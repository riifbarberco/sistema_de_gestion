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onfig" sheetId="2" r:id="rId6"/>
    <sheet state="visible" name="Reservas" sheetId="3" r:id="rId7"/>
    <sheet state="visible" name="Bloqueos" sheetId="4" r:id="rId8"/>
    <sheet state="visible" name="Horarios" sheetId="5" r:id="rId9"/>
    <sheet state="visible" name="Barberos" sheetId="6" r:id="rId10"/>
    <sheet state="visible" name="Registro" sheetId="7" r:id="rId11"/>
    <sheet state="visible" name="Cierre diario" sheetId="8" r:id="rId12"/>
    <sheet state="visible" name="Comisiones" sheetId="9" r:id="rId13"/>
    <sheet state="visible" name="Análisis" sheetId="10" r:id="rId14"/>
  </sheets>
  <definedNames>
    <definedName name="ListaBarberos">Config!$A$5:$A$10</definedName>
    <definedName name="ListaEstados">Config!$J$5:$J$7</definedName>
    <definedName name="ListaMetodos">Config!$H$5:$H$13</definedName>
    <definedName name="ListaServicios">Config!$D$5:$D$24</definedName>
  </definedNames>
  <calcPr/>
</workbook>
</file>

<file path=xl/sharedStrings.xml><?xml version="1.0" encoding="utf-8"?>
<sst xmlns="http://schemas.openxmlformats.org/spreadsheetml/2006/main" count="300" uniqueCount="202">
  <si>
    <t>CONFIGURACIÓN</t>
  </si>
  <si>
    <t>ID</t>
  </si>
  <si>
    <t>RIIF — CONTROL DE BARBERÍA · Registro, caja, comisiones y rentabilidad</t>
  </si>
  <si>
    <t>Creado</t>
  </si>
  <si>
    <t>Fecha</t>
  </si>
  <si>
    <t>Hora inicio</t>
  </si>
  <si>
    <t>Hora fin</t>
  </si>
  <si>
    <t>Barbero</t>
  </si>
  <si>
    <t>Servicio</t>
  </si>
  <si>
    <t>Duración (min)</t>
  </si>
  <si>
    <t>Precio</t>
  </si>
  <si>
    <t>Los servicios y precios ya están cargados desde tu carta. Solo faltan los nombres de los barberos.</t>
  </si>
  <si>
    <t>Cliente</t>
  </si>
  <si>
    <t>Teléfono</t>
  </si>
  <si>
    <t>Email</t>
  </si>
  <si>
    <t>Estado</t>
  </si>
  <si>
    <t>Notas</t>
  </si>
  <si>
    <t>ID Evento</t>
  </si>
  <si>
    <t>BARBEROS</t>
  </si>
  <si>
    <t>Avisar al barbero</t>
  </si>
  <si>
    <t>Desde</t>
  </si>
  <si>
    <t>Hasta</t>
  </si>
  <si>
    <t>SERVICIOS, PRECIOS Y DURACIÓN</t>
  </si>
  <si>
    <t>Motivo</t>
  </si>
  <si>
    <t>MÉTODOS DE PAGO</t>
  </si>
  <si>
    <t>ESTADOS</t>
  </si>
  <si>
    <t>Usa "Todos" en Barbero para cerrar el local completo ese rato.</t>
  </si>
  <si>
    <t>CÓMO FUNCIONA</t>
  </si>
  <si>
    <t>Nombre</t>
  </si>
  <si>
    <t>Una sola fuente de verdad: la hoja REGISTRO. Una fila = un servicio prestado.</t>
  </si>
  <si>
    <t>% Comisión</t>
  </si>
  <si>
    <t>Cierre diario, comisiones y análisis se calculan solos desde ahí. No se digita nada dos veces.</t>
  </si>
  <si>
    <t>Método</t>
  </si>
  <si>
    <t>ORDEN DE USO</t>
  </si>
  <si>
    <t>Rafael Castro</t>
  </si>
  <si>
    <t>1. CONFIG: pon los nombres reales de tus 2 barberos y su % de comisión. Tu carta de servicios ya está cargada con precios y duraciones.</t>
  </si>
  <si>
    <t>2. REGISTRO: se anota cada servicio (lo alimentan los barberos vía formulario, tú solo lees).</t>
  </si>
  <si>
    <t>3. CIERRE DIARIO: escribes una fecha y sale la caja del día, el desglose por medio de pago y lo que le debes a cada barbero.</t>
  </si>
  <si>
    <t>4. COMISIONES: año y mes, y sale la liquidación.</t>
  </si>
  <si>
    <t>Tinte (cambio de color)</t>
  </si>
  <si>
    <t>5. ANÁLISIS: el histórico. Qué servicio rinde más POR HORA de silla, qué días y horas se llenan, quién produce.</t>
  </si>
  <si>
    <t>QUÉ CELDAS TOCAS</t>
  </si>
  <si>
    <t>AZUL sobre amarillo = escribes ahí.   ·   NEGRO sobre gris = fórmula, no la toques.</t>
  </si>
  <si>
    <t>Efectivo</t>
  </si>
  <si>
    <t>Atendido</t>
  </si>
  <si>
    <t>EN REGISTRO SOLO SE ESCRIBE</t>
  </si>
  <si>
    <t>Daniel Avila</t>
  </si>
  <si>
    <t>Fecha · Hora · Barbero · Cliente · Teléfono · Servicio · Descuento · Propina · Método de pago · Estado · Notas</t>
  </si>
  <si>
    <t>Valor y Duración se llenan solos desde CONFIG. Si cobraste menos, usa Descuento (no cambies el precio de lista).</t>
  </si>
  <si>
    <t>Corte y Barba Riif Experience</t>
  </si>
  <si>
    <t>LA COLUMNA QUE DEBES MIRAR: INGRESO POR HORA</t>
  </si>
  <si>
    <t>Nequi</t>
  </si>
  <si>
    <t>Un Tinte de $180.000 ocupa 2h10 de silla; unos Bordes de $15.000 ocupan 20 minutos. El que más factura no siempre es el que más rinde.</t>
  </si>
  <si>
    <t>No asistió</t>
  </si>
  <si>
    <t>En ANÁLISIS calculo cuánto genera cada servicio por hora de silla ocupada. Ese número te dice qué promocionar, qué subir de precio</t>
  </si>
  <si>
    <t>Corte y Barba VIP</t>
  </si>
  <si>
    <t>y qué agendar en las horas pico, que es donde tu silla es escasa.</t>
  </si>
  <si>
    <t>Daviplata</t>
  </si>
  <si>
    <t>Cancelado</t>
  </si>
  <si>
    <t>Atendido = se hizo y se cobró. Es lo único que suma a caja y comisión.</t>
  </si>
  <si>
    <t>Tinte un Color</t>
  </si>
  <si>
    <t>No asistió = el cliente no llegó. No suma plata, pero queda el registro. Con 2 fallas, a ese cliente no le des cupo reservado en hora pico.</t>
  </si>
  <si>
    <t>Cancelado = avisó antes.</t>
  </si>
  <si>
    <t>Tarjeta débito</t>
  </si>
  <si>
    <t>LA FILA 2 ES UN EJEMPLO</t>
  </si>
  <si>
    <t>Está en naranja. Borra su contenido antes de arrancar en firme.</t>
  </si>
  <si>
    <t>Corte Riif Experience</t>
  </si>
  <si>
    <t>SUPUESTOS QUE PUSE (cámbialos si no aplican)</t>
  </si>
  <si>
    <t>· Comisión al 50% para ambos barberos. Ajústalo en CONFIG, celdas B5 y B6.</t>
  </si>
  <si>
    <t>· La comisión se calcula sobre el valor cobrado del servicio, después de descuento.</t>
  </si>
  <si>
    <t>· La propina va 100% al barbero y no entra ni a comisión ni al neto de la barbería.</t>
  </si>
  <si>
    <t>· Duraciones tomadas de tu carta publicada. Revisa 'Corte Riif Experience' (1h30) contra 'Corte y Barba Riif Experience' (1h20):</t>
  </si>
  <si>
    <t xml:space="preserve">  el servicio más barato aparece ocupando más silla que el más caro. Puede ser un error de tu carta que te está costando plata.</t>
  </si>
  <si>
    <t>· Preparado para 1.000 servicios. Al llenarse, copia las fórmulas hacia abajo.</t>
  </si>
  <si>
    <t>Tarjeta crédito</t>
  </si>
  <si>
    <t>Tratamiento facial</t>
  </si>
  <si>
    <t>Transferencia</t>
  </si>
  <si>
    <t>Corte y Barba</t>
  </si>
  <si>
    <t>Bold / Datáfono</t>
  </si>
  <si>
    <t>Corte VIP</t>
  </si>
  <si>
    <t>El % de comisión se aplica sobre el valor cobrado del servicio, sin propina.</t>
  </si>
  <si>
    <t>Matizante</t>
  </si>
  <si>
    <t>Barba VIP</t>
  </si>
  <si>
    <t>Barba + Tinte</t>
  </si>
  <si>
    <t>No borres 'Atendido' de Estados:</t>
  </si>
  <si>
    <t>Corte de Cabello</t>
  </si>
  <si>
    <t>los cálculos dependen de ese texto.</t>
  </si>
  <si>
    <t>Barba</t>
  </si>
  <si>
    <t>Mascarilla puntos negros</t>
  </si>
  <si>
    <t>Peinado</t>
  </si>
  <si>
    <t>Bordes / Line-up</t>
  </si>
  <si>
    <t>Cejas</t>
  </si>
  <si>
    <t>Duraciones tomadas de tu carta. Son las que alimentan el cálculo de ingreso por hora de silla.</t>
  </si>
  <si>
    <t>Día</t>
  </si>
  <si>
    <t>Abre</t>
  </si>
  <si>
    <t>Cierra</t>
  </si>
  <si>
    <t>Barbero 1</t>
  </si>
  <si>
    <t>Lunes</t>
  </si>
  <si>
    <t>10:00</t>
  </si>
  <si>
    <t>19:00</t>
  </si>
  <si>
    <t>Martes</t>
  </si>
  <si>
    <t>Miércoles</t>
  </si>
  <si>
    <t>Jueves</t>
  </si>
  <si>
    <t>Viernes</t>
  </si>
  <si>
    <t>Sábado</t>
  </si>
  <si>
    <t>Barbero 2</t>
  </si>
  <si>
    <t>Correo (Gmail)</t>
  </si>
  <si>
    <t>WhatsApp</t>
  </si>
  <si>
    <t>API key WhatsApp</t>
  </si>
  <si>
    <t>ID Calendario</t>
  </si>
  <si>
    <t>Notificar</t>
  </si>
  <si>
    <t>castroramirezrafael@gmail.com</t>
  </si>
  <si>
    <t>4edfee79d2ee807bf38c4c025a5816176cb050b32ab3a496088f75cf4e0e9604@group.calendar.google.com</t>
  </si>
  <si>
    <t>Sí</t>
  </si>
  <si>
    <t>avilaparracarlosdaniel@gmail.com</t>
  </si>
  <si>
    <t>ca3d6a08d3b68aaba22ce1dc60b7acd075d21dfd274f03149d95608de484821f@group.calendar.google.com</t>
  </si>
  <si>
    <t>Riif Reservas</t>
  </si>
  <si>
    <t>c3af741d23bce4618e828b631bbd643d96d0fe902424989351e5ed80212c5465@group.calendar.google.com</t>
  </si>
  <si>
    <t>Hora</t>
  </si>
  <si>
    <t>Valor servicio</t>
  </si>
  <si>
    <t>Descuento</t>
  </si>
  <si>
    <t>Total cobrado</t>
  </si>
  <si>
    <t>Propina</t>
  </si>
  <si>
    <t>Método de pago</t>
  </si>
  <si>
    <t>Comisión servicio</t>
  </si>
  <si>
    <t>Pago al barbero</t>
  </si>
  <si>
    <t>Neto barbería</t>
  </si>
  <si>
    <t>Año</t>
  </si>
  <si>
    <t>Mes</t>
  </si>
  <si>
    <t>Día semana</t>
  </si>
  <si>
    <t>Hora bloque</t>
  </si>
  <si>
    <t>Andrés Pérez</t>
  </si>
  <si>
    <t>3005551234</t>
  </si>
  <si>
    <t>EJEMPLO — BORRAR ESTA FILA</t>
  </si>
  <si>
    <t>CIERRE DIARIO</t>
  </si>
  <si>
    <t>Fecha a consultar:</t>
  </si>
  <si>
    <t>PRODUCCIÓN POR BARBERO</t>
  </si>
  <si>
    <t>Servicios</t>
  </si>
  <si>
    <t>Producido</t>
  </si>
  <si>
    <t>Propinas</t>
  </si>
  <si>
    <t>Comisión</t>
  </si>
  <si>
    <t>Horas en silla</t>
  </si>
  <si>
    <t>LIQUIDACIÓN DE COMISIONES POR MES</t>
  </si>
  <si>
    <t>Año:</t>
  </si>
  <si>
    <t>Mes (1-12):</t>
  </si>
  <si>
    <t>TOTAL A PAGAR</t>
  </si>
  <si>
    <t>TOTAL DÍA</t>
  </si>
  <si>
    <t>TOTAL MES</t>
  </si>
  <si>
    <t>CAJA POR MÉTODO DE PAGO</t>
  </si>
  <si>
    <t>CITAS PERDIDAS DEL DÍA</t>
  </si>
  <si>
    <t>Recaudado</t>
  </si>
  <si>
    <t>RESUMEN DEL MES</t>
  </si>
  <si>
    <t>Ingreso total por servicios</t>
  </si>
  <si>
    <t>Total propinas (van al barbero)</t>
  </si>
  <si>
    <t>Total comisiones a pagar</t>
  </si>
  <si>
    <t>Neto que queda en la barbería</t>
  </si>
  <si>
    <t>Servicios atendidos</t>
  </si>
  <si>
    <t>Valor no realizado</t>
  </si>
  <si>
    <t>Ticket promedio</t>
  </si>
  <si>
    <t>Horas de silla vendidas</t>
  </si>
  <si>
    <t>Horas de silla perdidas</t>
  </si>
  <si>
    <t>Ingreso por hora de silla</t>
  </si>
  <si>
    <t>Citas perdidas (no asistió + cancelado)</t>
  </si>
  <si>
    <t>Plata no realizada por citas perdidas</t>
  </si>
  <si>
    <t>TOTAL RECAUDADO</t>
  </si>
  <si>
    <t>Incluye propinas: es la plata que físicamente entró ese día.</t>
  </si>
  <si>
    <t>ANÁLISIS HISTÓRICO</t>
  </si>
  <si>
    <t>La columna clave es INGRESO/HORA: cuánto genera cada servicio por hora de silla ocupada. Ahí está la decisión de precios y de agenda.</t>
  </si>
  <si>
    <t>POR SERVICIO</t>
  </si>
  <si>
    <t>POR DÍA DE LA SEMANA</t>
  </si>
  <si>
    <t>POR FRANJA HORARIA</t>
  </si>
  <si>
    <t>Cantidad</t>
  </si>
  <si>
    <t>Ingresos</t>
  </si>
  <si>
    <t>Ticket prom.</t>
  </si>
  <si>
    <t>Horas</t>
  </si>
  <si>
    <t>Ingreso/hora</t>
  </si>
  <si>
    <t>7:00 - 8:00</t>
  </si>
  <si>
    <t>8:00 - 9:00</t>
  </si>
  <si>
    <t>9:00 - 10:00</t>
  </si>
  <si>
    <t>10:00 - 11:00</t>
  </si>
  <si>
    <t>11:00 - 12:00</t>
  </si>
  <si>
    <t>12:00 - 13:00</t>
  </si>
  <si>
    <t>Domingo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</si>
  <si>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</si>
  <si>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</si>
  <si>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</si>
  <si>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</si>
  <si>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</si>
  <si>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</si>
  <si>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</si>
  <si>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</si>
  <si>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</si>
  <si>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Ingreso/hora se calcula con el precio y la duración de la carta, así que ya tiene valor antes de registrar servicios.</t>
  </si>
  <si>
    <t>POR BARBERO (histórico)</t>
  </si>
  <si>
    <t>SALUD DEL NEGOCIO</t>
  </si>
  <si>
    <t>Servicios atendidos (total)</t>
  </si>
  <si>
    <t>Ingreso histórico</t>
  </si>
  <si>
    <t>Ticket promedio general</t>
  </si>
  <si>
    <t>Citas perdidas</t>
  </si>
  <si>
    <t>Tasa de citas perdidas</t>
  </si>
  <si>
    <t>Total pagado en comisiones</t>
  </si>
  <si>
    <t>Neto acumulado barbería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</si>
</sst>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\$#,##0;&quot;($&quot;#,##0\);\-"/>
    <numFmt numFmtId="166" formatCode="dd/mm/yyyy"/>
    <numFmt numFmtId="167" formatCode="hh:mm"/>
    <numFmt numFmtId="168" formatCode="0.0"/>
    <numFmt numFmtId="169" formatCode="0.0%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1F3864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sz val="11.0"/>
      <color rgb="FF1F1F1F"/>
      <name val="Calibri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2" numFmtId="164" xfId="0" applyAlignment="1" applyFont="1" applyNumberFormat="1">
      <alignment readingOrder="0"/>
    </xf>
    <xf borderId="0" fillId="2" fontId="2" numFmtId="49" xfId="0" applyAlignment="1" applyFont="1" applyNumberForma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164" xfId="0" applyFont="1" applyNumberFormat="1"/>
    <xf borderId="0" fillId="0" fontId="6" numFmtId="49" xfId="0" applyFont="1" applyNumberFormat="1"/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1" fillId="4" fontId="9" numFmtId="0" xfId="0" applyAlignment="1" applyBorder="1" applyFill="1" applyFont="1">
      <alignment readingOrder="0" shrinkToFit="0" vertical="bottom" wrapText="0"/>
    </xf>
    <xf borderId="1" fillId="4" fontId="9" numFmtId="9" xfId="0" applyAlignment="1" applyBorder="1" applyFont="1" applyNumberFormat="1">
      <alignment horizontal="center" shrinkToFit="0" vertical="bottom" wrapText="0"/>
    </xf>
    <xf borderId="1" fillId="4" fontId="9" numFmtId="0" xfId="0" applyAlignment="1" applyBorder="1" applyFont="1">
      <alignment shrinkToFit="0" vertical="bottom" wrapText="0"/>
    </xf>
    <xf borderId="1" fillId="4" fontId="9" numFmtId="165" xfId="0" applyAlignment="1" applyBorder="1" applyFont="1" applyNumberFormat="1">
      <alignment shrinkToFit="0" vertical="bottom" wrapText="0"/>
    </xf>
    <xf borderId="1" fillId="4" fontId="9" numFmtId="1" xfId="0" applyAlignment="1" applyBorder="1" applyFont="1" applyNumberFormat="1">
      <alignment horizontal="center" shrinkToFit="0" vertical="bottom" wrapText="0"/>
    </xf>
    <xf borderId="0" fillId="0" fontId="6" numFmtId="49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0" numFmtId="0" xfId="0" applyAlignment="1" applyFill="1" applyFont="1">
      <alignment vertical="bottom"/>
    </xf>
    <xf borderId="1" fillId="6" fontId="9" numFmtId="166" xfId="0" applyAlignment="1" applyBorder="1" applyFill="1" applyFont="1" applyNumberFormat="1">
      <alignment readingOrder="0" shrinkToFit="0" vertical="bottom" wrapText="0"/>
    </xf>
    <xf borderId="1" fillId="6" fontId="9" numFmtId="167" xfId="0" applyAlignment="1" applyBorder="1" applyFont="1" applyNumberFormat="1">
      <alignment shrinkToFit="0" vertical="bottom" wrapText="0"/>
    </xf>
    <xf borderId="1" fillId="6" fontId="9" numFmtId="0" xfId="0" applyAlignment="1" applyBorder="1" applyFont="1">
      <alignment shrinkToFit="0" vertical="bottom" wrapText="0"/>
    </xf>
    <xf borderId="1" fillId="6" fontId="8" numFmtId="165" xfId="0" applyAlignment="1" applyBorder="1" applyFont="1" applyNumberFormat="1">
      <alignment shrinkToFit="0" vertical="bottom" wrapText="0"/>
    </xf>
    <xf borderId="1" fillId="6" fontId="9" numFmtId="165" xfId="0" applyAlignment="1" applyBorder="1" applyFont="1" applyNumberFormat="1">
      <alignment readingOrder="0" shrinkToFit="0" vertical="bottom" wrapText="0"/>
    </xf>
    <xf borderId="1" fillId="6" fontId="9" numFmtId="165" xfId="0" applyAlignment="1" applyBorder="1" applyFont="1" applyNumberFormat="1">
      <alignment shrinkToFit="0" vertical="bottom" wrapText="0"/>
    </xf>
    <xf borderId="1" fillId="6" fontId="9" numFmtId="0" xfId="0" applyAlignment="1" applyBorder="1" applyFont="1">
      <alignment readingOrder="0" shrinkToFit="0" vertical="bottom" wrapText="0"/>
    </xf>
    <xf borderId="1" fillId="6" fontId="8" numFmtId="0" xfId="0" applyAlignment="1" applyBorder="1" applyFont="1">
      <alignment horizontal="center" shrinkToFit="0" vertical="bottom" wrapText="0"/>
    </xf>
    <xf borderId="1" fillId="7" fontId="8" numFmtId="49" xfId="0" applyAlignment="1" applyBorder="1" applyFill="1" applyFont="1" applyNumberFormat="1">
      <alignment horizontal="center" shrinkToFit="0" vertical="bottom" wrapText="0"/>
    </xf>
    <xf borderId="1" fillId="6" fontId="8" numFmtId="1" xfId="0" applyAlignment="1" applyBorder="1" applyFont="1" applyNumberFormat="1">
      <alignment horizontal="center" shrinkToFit="0" vertical="bottom" wrapText="0"/>
    </xf>
    <xf borderId="1" fillId="4" fontId="9" numFmtId="166" xfId="0" applyAlignment="1" applyBorder="1" applyFont="1" applyNumberFormat="1">
      <alignment shrinkToFit="0" vertical="bottom" wrapText="0"/>
    </xf>
    <xf borderId="1" fillId="4" fontId="9" numFmtId="167" xfId="0" applyAlignment="1" applyBorder="1" applyFont="1" applyNumberFormat="1">
      <alignment shrinkToFit="0" vertical="bottom" wrapText="0"/>
    </xf>
    <xf borderId="1" fillId="7" fontId="8" numFmtId="165" xfId="0" applyAlignment="1" applyBorder="1" applyFont="1" applyNumberFormat="1">
      <alignment shrinkToFit="0" vertical="bottom" wrapText="0"/>
    </xf>
    <xf borderId="1" fillId="7" fontId="8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1" fillId="7" fontId="8" numFmtId="0" xfId="0" applyAlignment="1" applyBorder="1" applyFont="1">
      <alignment shrinkToFit="0" vertical="bottom" wrapText="0"/>
    </xf>
    <xf borderId="1" fillId="4" fontId="9" numFmtId="0" xfId="0" applyAlignment="1" applyBorder="1" applyFont="1">
      <alignment horizontal="center" shrinkToFit="0" vertical="bottom" wrapText="0"/>
    </xf>
    <xf borderId="1" fillId="7" fontId="8" numFmtId="168" xfId="0" applyAlignment="1" applyBorder="1" applyFont="1" applyNumberFormat="1">
      <alignment horizontal="center" shrinkToFit="0" vertical="bottom" wrapText="0"/>
    </xf>
    <xf borderId="1" fillId="7" fontId="8" numFmtId="9" xfId="0" applyAlignment="1" applyBorder="1" applyFont="1" applyNumberFormat="1">
      <alignment horizontal="center" shrinkToFit="0" vertical="bottom" wrapText="0"/>
    </xf>
    <xf borderId="1" fillId="7" fontId="11" numFmtId="165" xfId="0" applyAlignment="1" applyBorder="1" applyFont="1" applyNumberFormat="1">
      <alignment shrinkToFit="0" vertical="bottom" wrapText="0"/>
    </xf>
    <xf borderId="1" fillId="8" fontId="11" numFmtId="0" xfId="0" applyAlignment="1" applyBorder="1" applyFill="1" applyFont="1">
      <alignment shrinkToFit="0" vertical="bottom" wrapText="0"/>
    </xf>
    <xf borderId="1" fillId="8" fontId="11" numFmtId="0" xfId="0" applyAlignment="1" applyBorder="1" applyFont="1">
      <alignment horizontal="center" shrinkToFit="0" vertical="bottom" wrapText="0"/>
    </xf>
    <xf borderId="1" fillId="8" fontId="11" numFmtId="165" xfId="0" applyAlignment="1" applyBorder="1" applyFont="1" applyNumberFormat="1">
      <alignment shrinkToFit="0" vertical="bottom" wrapText="0"/>
    </xf>
    <xf borderId="1" fillId="8" fontId="11" numFmtId="168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7" fontId="8" numFmtId="1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7" fontId="11" numFmtId="1" xfId="0" applyAlignment="1" applyBorder="1" applyFont="1" applyNumberFormat="1">
      <alignment horizontal="center" shrinkToFit="0" vertical="bottom" wrapText="0"/>
    </xf>
    <xf borderId="1" fillId="7" fontId="8" numFmtId="165" xfId="0" applyAlignment="1" applyBorder="1" applyFont="1" applyNumberFormat="1">
      <alignment horizontal="center" shrinkToFit="0" vertical="bottom" wrapText="0"/>
    </xf>
    <xf borderId="1" fillId="7" fontId="11" numFmtId="168" xfId="0" applyAlignment="1" applyBorder="1" applyFont="1" applyNumberFormat="1">
      <alignment horizontal="center" shrinkToFit="0" vertical="bottom" wrapText="0"/>
    </xf>
    <xf borderId="1" fillId="7" fontId="11" numFmtId="16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8.0"/>
    <col customWidth="1" min="3" max="26" width="8.71"/>
  </cols>
  <sheetData>
    <row r="1" ht="17.25" customHeight="1">
      <c r="A1" s="1"/>
      <c r="B1" s="3" t="s">
        <v>2</v>
      </c>
    </row>
    <row r="2" ht="15.0" customHeight="1">
      <c r="A2" s="1"/>
      <c r="B2" s="7"/>
    </row>
    <row r="3" ht="15.0" customHeight="1">
      <c r="A3" s="1"/>
      <c r="B3" s="7" t="s">
        <v>27</v>
      </c>
    </row>
    <row r="4" ht="15.0" customHeight="1">
      <c r="A4" s="1"/>
      <c r="B4" s="12" t="s">
        <v>29</v>
      </c>
    </row>
    <row r="5" ht="15.0" customHeight="1">
      <c r="A5" s="1"/>
      <c r="B5" s="12" t="s">
        <v>31</v>
      </c>
    </row>
    <row r="6" ht="15.0" customHeight="1">
      <c r="A6" s="1"/>
      <c r="B6" s="7"/>
    </row>
    <row r="7" ht="15.0" customHeight="1">
      <c r="A7" s="1"/>
      <c r="B7" s="7" t="s">
        <v>33</v>
      </c>
    </row>
    <row r="8" ht="23.25" customHeight="1">
      <c r="A8" s="1"/>
      <c r="B8" s="12" t="s">
        <v>35</v>
      </c>
    </row>
    <row r="9" ht="15.0" customHeight="1">
      <c r="A9" s="1"/>
      <c r="B9" s="12" t="s">
        <v>36</v>
      </c>
    </row>
    <row r="10" ht="15.0" customHeight="1">
      <c r="A10" s="1"/>
      <c r="B10" s="12" t="s">
        <v>37</v>
      </c>
    </row>
    <row r="11" ht="15.0" customHeight="1">
      <c r="A11" s="1"/>
      <c r="B11" s="12" t="s">
        <v>38</v>
      </c>
    </row>
    <row r="12" ht="15.0" customHeight="1">
      <c r="A12" s="1"/>
      <c r="B12" s="12" t="s">
        <v>40</v>
      </c>
    </row>
    <row r="13" ht="15.0" customHeight="1">
      <c r="A13" s="1"/>
      <c r="B13" s="7"/>
    </row>
    <row r="14" ht="15.0" customHeight="1">
      <c r="A14" s="1"/>
      <c r="B14" s="7" t="s">
        <v>41</v>
      </c>
    </row>
    <row r="15" ht="15.0" customHeight="1">
      <c r="A15" s="1"/>
      <c r="B15" s="12" t="s">
        <v>42</v>
      </c>
    </row>
    <row r="16" ht="15.0" customHeight="1">
      <c r="A16" s="1"/>
      <c r="B16" s="7"/>
    </row>
    <row r="17" ht="15.0" customHeight="1">
      <c r="A17" s="1"/>
      <c r="B17" s="7" t="s">
        <v>45</v>
      </c>
    </row>
    <row r="18" ht="15.0" customHeight="1">
      <c r="A18" s="1"/>
      <c r="B18" s="12" t="s">
        <v>47</v>
      </c>
    </row>
    <row r="19" ht="15.0" customHeight="1">
      <c r="A19" s="1"/>
      <c r="B19" s="12" t="s">
        <v>48</v>
      </c>
    </row>
    <row r="20" ht="15.0" customHeight="1">
      <c r="A20" s="1"/>
      <c r="B20" s="7"/>
    </row>
    <row r="21" ht="15.0" customHeight="1">
      <c r="A21" s="1"/>
      <c r="B21" s="7" t="s">
        <v>50</v>
      </c>
    </row>
    <row r="22" ht="23.25" customHeight="1">
      <c r="A22" s="1"/>
      <c r="B22" s="12" t="s">
        <v>52</v>
      </c>
    </row>
    <row r="23" ht="23.25" customHeight="1">
      <c r="A23" s="1"/>
      <c r="B23" s="12" t="s">
        <v>54</v>
      </c>
    </row>
    <row r="24" ht="15.0" customHeight="1">
      <c r="A24" s="1"/>
      <c r="B24" s="12" t="s">
        <v>56</v>
      </c>
    </row>
    <row r="25" ht="15.0" customHeight="1">
      <c r="A25" s="1"/>
      <c r="B25" s="7"/>
    </row>
    <row r="26" ht="15.0" customHeight="1">
      <c r="A26" s="1"/>
      <c r="B26" s="7" t="s">
        <v>25</v>
      </c>
    </row>
    <row r="27" ht="15.0" customHeight="1">
      <c r="A27" s="1"/>
      <c r="B27" s="12" t="s">
        <v>59</v>
      </c>
    </row>
    <row r="28" ht="23.25" customHeight="1">
      <c r="A28" s="1"/>
      <c r="B28" s="12" t="s">
        <v>61</v>
      </c>
    </row>
    <row r="29" ht="15.0" customHeight="1">
      <c r="A29" s="1"/>
      <c r="B29" s="12" t="s">
        <v>62</v>
      </c>
    </row>
    <row r="30" ht="15.0" customHeight="1">
      <c r="A30" s="1"/>
      <c r="B30" s="7"/>
    </row>
    <row r="31" ht="15.0" customHeight="1">
      <c r="A31" s="1"/>
      <c r="B31" s="7" t="s">
        <v>64</v>
      </c>
    </row>
    <row r="32" ht="15.0" customHeight="1">
      <c r="A32" s="1"/>
      <c r="B32" s="12" t="s">
        <v>65</v>
      </c>
    </row>
    <row r="33" ht="15.0" customHeight="1">
      <c r="A33" s="1"/>
      <c r="B33" s="7"/>
    </row>
    <row r="34" ht="15.0" customHeight="1">
      <c r="A34" s="1"/>
      <c r="B34" s="7" t="s">
        <v>67</v>
      </c>
    </row>
    <row r="35" ht="15.0" customHeight="1">
      <c r="A35" s="1"/>
      <c r="B35" s="12" t="s">
        <v>68</v>
      </c>
    </row>
    <row r="36" ht="15.0" customHeight="1">
      <c r="A36" s="1"/>
      <c r="B36" s="12" t="s">
        <v>69</v>
      </c>
    </row>
    <row r="37" ht="15.0" customHeight="1">
      <c r="A37" s="1"/>
      <c r="B37" s="12" t="s">
        <v>70</v>
      </c>
    </row>
    <row r="38" ht="15.0" customHeight="1">
      <c r="A38" s="1"/>
      <c r="B38" s="12" t="s">
        <v>71</v>
      </c>
    </row>
    <row r="39" ht="15.0" customHeight="1">
      <c r="A39" s="1"/>
      <c r="B39" s="12" t="s">
        <v>72</v>
      </c>
    </row>
    <row r="40" ht="15.0" customHeight="1">
      <c r="A40" s="1"/>
      <c r="B40" s="12" t="s">
        <v>73</v>
      </c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3.0"/>
    <col customWidth="1" min="3" max="3" width="3.0"/>
    <col customWidth="1" min="4" max="4" width="30.0"/>
    <col customWidth="1" min="5" max="6" width="13.0"/>
    <col customWidth="1" min="7" max="7" width="3.0"/>
    <col customWidth="1" min="8" max="8" width="20.0"/>
    <col customWidth="1" min="9" max="9" width="3.0"/>
    <col customWidth="1" min="10" max="10" width="16.0"/>
    <col customWidth="1" min="11" max="26" width="8.71"/>
  </cols>
  <sheetData>
    <row r="1" ht="17.25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0" customHeight="1">
      <c r="A2" s="6" t="s">
        <v>11</v>
      </c>
      <c r="B2" s="1"/>
      <c r="C2" s="1"/>
      <c r="D2" s="1"/>
      <c r="E2" s="1"/>
      <c r="F2" s="1"/>
      <c r="G2" s="1"/>
      <c r="H2" s="1"/>
      <c r="I2" s="1"/>
      <c r="J2" s="1"/>
    </row>
    <row r="3" ht="15.0" customHeight="1">
      <c r="A3" s="7" t="s">
        <v>18</v>
      </c>
      <c r="B3" s="1"/>
      <c r="C3" s="1"/>
      <c r="D3" s="7" t="s">
        <v>22</v>
      </c>
      <c r="E3" s="1"/>
      <c r="F3" s="1"/>
      <c r="G3" s="1"/>
      <c r="H3" s="7" t="s">
        <v>24</v>
      </c>
      <c r="I3" s="1"/>
      <c r="J3" s="7" t="s">
        <v>25</v>
      </c>
    </row>
    <row r="4" ht="23.25" customHeight="1">
      <c r="A4" s="11" t="s">
        <v>28</v>
      </c>
      <c r="B4" s="11" t="s">
        <v>30</v>
      </c>
      <c r="C4" s="1"/>
      <c r="D4" s="11" t="s">
        <v>8</v>
      </c>
      <c r="E4" s="11" t="s">
        <v>10</v>
      </c>
      <c r="F4" s="11" t="s">
        <v>9</v>
      </c>
      <c r="G4" s="1"/>
      <c r="H4" s="11" t="s">
        <v>32</v>
      </c>
      <c r="I4" s="1"/>
      <c r="J4" s="11" t="s">
        <v>15</v>
      </c>
    </row>
    <row r="5" ht="15.0" customHeight="1">
      <c r="A5" s="13" t="s">
        <v>34</v>
      </c>
      <c r="B5" s="14">
        <v>0.5</v>
      </c>
      <c r="C5" s="1"/>
      <c r="D5" s="15" t="s">
        <v>39</v>
      </c>
      <c r="E5" s="16">
        <v>180000.0</v>
      </c>
      <c r="F5" s="17">
        <v>130.0</v>
      </c>
      <c r="G5" s="1"/>
      <c r="H5" s="15" t="s">
        <v>43</v>
      </c>
      <c r="I5" s="1"/>
      <c r="J5" s="15" t="s">
        <v>44</v>
      </c>
    </row>
    <row r="6" ht="15.0" customHeight="1">
      <c r="A6" s="13" t="s">
        <v>46</v>
      </c>
      <c r="B6" s="14">
        <v>0.5</v>
      </c>
      <c r="C6" s="1"/>
      <c r="D6" s="15" t="s">
        <v>49</v>
      </c>
      <c r="E6" s="16">
        <v>110000.0</v>
      </c>
      <c r="F6" s="17">
        <v>80.0</v>
      </c>
      <c r="G6" s="1"/>
      <c r="H6" s="15" t="s">
        <v>51</v>
      </c>
      <c r="I6" s="1"/>
      <c r="J6" s="15" t="s">
        <v>53</v>
      </c>
    </row>
    <row r="7" ht="15.0" customHeight="1">
      <c r="A7" s="15"/>
      <c r="B7" s="14"/>
      <c r="C7" s="1"/>
      <c r="D7" s="15" t="s">
        <v>55</v>
      </c>
      <c r="E7" s="16">
        <v>85000.0</v>
      </c>
      <c r="F7" s="17">
        <v>75.0</v>
      </c>
      <c r="G7" s="1"/>
      <c r="H7" s="15" t="s">
        <v>57</v>
      </c>
      <c r="I7" s="1"/>
      <c r="J7" s="15" t="s">
        <v>58</v>
      </c>
    </row>
    <row r="8" ht="15.0" customHeight="1">
      <c r="A8" s="15"/>
      <c r="B8" s="14"/>
      <c r="C8" s="1"/>
      <c r="D8" s="15" t="s">
        <v>60</v>
      </c>
      <c r="E8" s="16">
        <v>80000.0</v>
      </c>
      <c r="F8" s="17">
        <v>45.0</v>
      </c>
      <c r="G8" s="1"/>
      <c r="H8" s="15" t="s">
        <v>63</v>
      </c>
      <c r="I8" s="1"/>
      <c r="J8" s="1"/>
    </row>
    <row r="9" ht="15.0" customHeight="1">
      <c r="A9" s="15"/>
      <c r="B9" s="14"/>
      <c r="C9" s="1"/>
      <c r="D9" s="15" t="s">
        <v>66</v>
      </c>
      <c r="E9" s="16">
        <v>75000.0</v>
      </c>
      <c r="F9" s="17">
        <v>90.0</v>
      </c>
      <c r="G9" s="1"/>
      <c r="H9" s="15" t="s">
        <v>74</v>
      </c>
      <c r="I9" s="1"/>
      <c r="J9" s="1"/>
    </row>
    <row r="10" ht="15.0" customHeight="1">
      <c r="A10" s="15"/>
      <c r="B10" s="14"/>
      <c r="C10" s="1"/>
      <c r="D10" s="15" t="s">
        <v>75</v>
      </c>
      <c r="E10" s="16">
        <v>60000.0</v>
      </c>
      <c r="F10" s="17">
        <v>60.0</v>
      </c>
      <c r="G10" s="1"/>
      <c r="H10" s="15" t="s">
        <v>76</v>
      </c>
      <c r="I10" s="1"/>
      <c r="J10" s="1"/>
    </row>
    <row r="11" ht="15.0" customHeight="1">
      <c r="A11" s="1"/>
      <c r="B11" s="1"/>
      <c r="C11" s="1"/>
      <c r="D11" s="15" t="s">
        <v>77</v>
      </c>
      <c r="E11" s="16">
        <v>60000.0</v>
      </c>
      <c r="F11" s="17">
        <v>45.0</v>
      </c>
      <c r="G11" s="1"/>
      <c r="H11" s="15" t="s">
        <v>78</v>
      </c>
      <c r="I11" s="1"/>
      <c r="J11" s="1"/>
    </row>
    <row r="12" ht="15.0" customHeight="1">
      <c r="A12" s="1"/>
      <c r="B12" s="1"/>
      <c r="C12" s="1"/>
      <c r="D12" s="15" t="s">
        <v>79</v>
      </c>
      <c r="E12" s="16">
        <v>50000.0</v>
      </c>
      <c r="F12" s="17">
        <v>50.0</v>
      </c>
      <c r="G12" s="1"/>
      <c r="H12" s="15"/>
      <c r="I12" s="1"/>
      <c r="J12" s="1"/>
    </row>
    <row r="13" ht="15.0" customHeight="1">
      <c r="A13" s="6" t="s">
        <v>80</v>
      </c>
      <c r="B13" s="1"/>
      <c r="C13" s="1"/>
      <c r="D13" s="15" t="s">
        <v>81</v>
      </c>
      <c r="E13" s="16">
        <v>45000.0</v>
      </c>
      <c r="F13" s="17">
        <v>30.0</v>
      </c>
      <c r="G13" s="1"/>
      <c r="H13" s="15"/>
      <c r="I13" s="1"/>
      <c r="J13" s="1"/>
    </row>
    <row r="14" ht="15.0" customHeight="1">
      <c r="A14" s="1"/>
      <c r="B14" s="1"/>
      <c r="C14" s="1"/>
      <c r="D14" s="15" t="s">
        <v>82</v>
      </c>
      <c r="E14" s="16">
        <v>40000.0</v>
      </c>
      <c r="F14" s="17">
        <v>40.0</v>
      </c>
      <c r="G14" s="1"/>
      <c r="H14" s="1"/>
      <c r="I14" s="1"/>
      <c r="J14" s="1"/>
    </row>
    <row r="15" ht="15.0" customHeight="1">
      <c r="A15" s="1"/>
      <c r="B15" s="1"/>
      <c r="C15" s="1"/>
      <c r="D15" s="15" t="s">
        <v>83</v>
      </c>
      <c r="E15" s="16">
        <v>40000.0</v>
      </c>
      <c r="F15" s="17">
        <v>30.0</v>
      </c>
      <c r="G15" s="1"/>
      <c r="H15" s="6" t="s">
        <v>84</v>
      </c>
      <c r="I15" s="1"/>
      <c r="J15" s="1"/>
    </row>
    <row r="16" ht="15.0" customHeight="1">
      <c r="A16" s="1"/>
      <c r="B16" s="1"/>
      <c r="C16" s="1"/>
      <c r="D16" s="15" t="s">
        <v>85</v>
      </c>
      <c r="E16" s="16">
        <v>35000.0</v>
      </c>
      <c r="F16" s="17">
        <v>35.0</v>
      </c>
      <c r="G16" s="1"/>
      <c r="H16" s="6" t="s">
        <v>86</v>
      </c>
      <c r="I16" s="1"/>
      <c r="J16" s="1"/>
    </row>
    <row r="17" ht="15.0" customHeight="1">
      <c r="A17" s="1"/>
      <c r="B17" s="1"/>
      <c r="C17" s="1"/>
      <c r="D17" s="15" t="s">
        <v>87</v>
      </c>
      <c r="E17" s="16">
        <v>25000.0</v>
      </c>
      <c r="F17" s="17">
        <v>25.0</v>
      </c>
      <c r="G17" s="1"/>
      <c r="H17" s="1"/>
      <c r="I17" s="1"/>
      <c r="J17" s="1"/>
    </row>
    <row r="18" ht="15.0" customHeight="1">
      <c r="A18" s="1"/>
      <c r="B18" s="1"/>
      <c r="C18" s="1"/>
      <c r="D18" s="15" t="s">
        <v>88</v>
      </c>
      <c r="E18" s="16">
        <v>20000.0</v>
      </c>
      <c r="F18" s="17">
        <v>25.0</v>
      </c>
      <c r="G18" s="1"/>
      <c r="H18" s="1"/>
      <c r="I18" s="1"/>
      <c r="J18" s="1"/>
    </row>
    <row r="19" ht="15.0" customHeight="1">
      <c r="A19" s="1"/>
      <c r="B19" s="1"/>
      <c r="C19" s="1"/>
      <c r="D19" s="15" t="s">
        <v>89</v>
      </c>
      <c r="E19" s="16">
        <v>20000.0</v>
      </c>
      <c r="F19" s="17">
        <v>15.0</v>
      </c>
      <c r="G19" s="1"/>
      <c r="H19" s="1"/>
      <c r="I19" s="1"/>
      <c r="J19" s="1"/>
    </row>
    <row r="20" ht="15.0" customHeight="1">
      <c r="A20" s="1"/>
      <c r="B20" s="1"/>
      <c r="C20" s="1"/>
      <c r="D20" s="15" t="s">
        <v>90</v>
      </c>
      <c r="E20" s="16">
        <v>15000.0</v>
      </c>
      <c r="F20" s="17">
        <v>20.0</v>
      </c>
      <c r="G20" s="1"/>
      <c r="H20" s="1"/>
      <c r="I20" s="1"/>
      <c r="J20" s="1"/>
    </row>
    <row r="21" ht="15.0" customHeight="1">
      <c r="A21" s="1"/>
      <c r="B21" s="1"/>
      <c r="C21" s="1"/>
      <c r="D21" s="15" t="s">
        <v>91</v>
      </c>
      <c r="E21" s="16">
        <v>10000.0</v>
      </c>
      <c r="F21" s="17">
        <v>15.0</v>
      </c>
      <c r="G21" s="1"/>
      <c r="H21" s="1"/>
      <c r="I21" s="1"/>
      <c r="J21" s="1"/>
    </row>
    <row r="22" ht="15.0" customHeight="1">
      <c r="A22" s="1"/>
      <c r="B22" s="1"/>
      <c r="C22" s="1"/>
      <c r="D22" s="15"/>
      <c r="E22" s="16"/>
      <c r="F22" s="17"/>
      <c r="G22" s="1"/>
      <c r="H22" s="1"/>
      <c r="I22" s="1"/>
      <c r="J22" s="1"/>
    </row>
    <row r="23" ht="15.0" customHeight="1">
      <c r="A23" s="1"/>
      <c r="B23" s="1"/>
      <c r="C23" s="1"/>
      <c r="D23" s="15"/>
      <c r="E23" s="16"/>
      <c r="F23" s="17"/>
      <c r="G23" s="1"/>
      <c r="H23" s="1"/>
      <c r="I23" s="1"/>
      <c r="J23" s="1"/>
    </row>
    <row r="24" ht="15.0" customHeight="1">
      <c r="A24" s="1"/>
      <c r="B24" s="1"/>
      <c r="C24" s="1"/>
      <c r="D24" s="15"/>
      <c r="E24" s="16"/>
      <c r="F24" s="17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0" customHeight="1">
      <c r="A26" s="1"/>
      <c r="B26" s="1"/>
      <c r="C26" s="1"/>
      <c r="D26" s="6" t="s">
        <v>92</v>
      </c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</v>
      </c>
      <c r="B1" s="2" t="s">
        <v>3</v>
      </c>
      <c r="C1" s="4" t="s">
        <v>4</v>
      </c>
      <c r="D1" s="5" t="s">
        <v>5</v>
      </c>
      <c r="E1" s="5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19</v>
      </c>
    </row>
    <row r="2">
      <c r="C2" s="8"/>
      <c r="D2" s="9"/>
      <c r="E2" s="9"/>
    </row>
    <row r="3">
      <c r="C3" s="8"/>
      <c r="D3" s="9"/>
      <c r="E3" s="9"/>
    </row>
    <row r="4">
      <c r="C4" s="8"/>
      <c r="D4" s="9"/>
      <c r="E4" s="9"/>
    </row>
    <row r="5">
      <c r="C5" s="8"/>
      <c r="D5" s="9"/>
      <c r="E5" s="9"/>
    </row>
    <row r="6">
      <c r="C6" s="8"/>
      <c r="D6" s="9"/>
      <c r="E6" s="9"/>
    </row>
    <row r="7">
      <c r="C7" s="8"/>
      <c r="D7" s="9"/>
      <c r="E7" s="9"/>
    </row>
    <row r="8">
      <c r="C8" s="8"/>
      <c r="D8" s="9"/>
      <c r="E8" s="9"/>
    </row>
    <row r="9">
      <c r="C9" s="8"/>
      <c r="D9" s="9"/>
      <c r="E9" s="9"/>
    </row>
    <row r="10">
      <c r="C10" s="8"/>
      <c r="D10" s="9"/>
      <c r="E10" s="9"/>
    </row>
    <row r="11">
      <c r="C11" s="8"/>
      <c r="D11" s="9"/>
      <c r="E11" s="9"/>
    </row>
    <row r="12">
      <c r="C12" s="8"/>
      <c r="D12" s="9"/>
      <c r="E12" s="9"/>
    </row>
    <row r="13">
      <c r="C13" s="8"/>
      <c r="D13" s="9"/>
      <c r="E13" s="9"/>
    </row>
    <row r="14">
      <c r="C14" s="8"/>
      <c r="D14" s="9"/>
      <c r="E14" s="9"/>
    </row>
    <row r="15">
      <c r="C15" s="8"/>
      <c r="D15" s="9"/>
      <c r="E15" s="9"/>
    </row>
    <row r="16">
      <c r="C16" s="8"/>
      <c r="D16" s="9"/>
      <c r="E16" s="9"/>
    </row>
    <row r="17">
      <c r="C17" s="8"/>
      <c r="D17" s="9"/>
      <c r="E17" s="9"/>
    </row>
    <row r="18">
      <c r="C18" s="8"/>
      <c r="D18" s="9"/>
      <c r="E18" s="9"/>
    </row>
    <row r="19">
      <c r="C19" s="8"/>
      <c r="D19" s="9"/>
      <c r="E19" s="9"/>
    </row>
    <row r="20">
      <c r="C20" s="8"/>
      <c r="D20" s="9"/>
      <c r="E20" s="9"/>
    </row>
    <row r="21">
      <c r="C21" s="8"/>
      <c r="D21" s="9"/>
      <c r="E21" s="9"/>
    </row>
    <row r="22">
      <c r="C22" s="8"/>
      <c r="D22" s="9"/>
      <c r="E22" s="9"/>
    </row>
    <row r="23">
      <c r="C23" s="8"/>
      <c r="D23" s="9"/>
      <c r="E23" s="9"/>
    </row>
    <row r="24">
      <c r="C24" s="8"/>
      <c r="D24" s="9"/>
      <c r="E24" s="9"/>
    </row>
    <row r="25">
      <c r="C25" s="8"/>
      <c r="D25" s="9"/>
      <c r="E25" s="9"/>
    </row>
    <row r="26">
      <c r="C26" s="8"/>
      <c r="D26" s="9"/>
      <c r="E26" s="9"/>
    </row>
    <row r="27">
      <c r="C27" s="8"/>
      <c r="D27" s="9"/>
      <c r="E27" s="9"/>
    </row>
    <row r="28">
      <c r="C28" s="8"/>
      <c r="D28" s="9"/>
      <c r="E28" s="9"/>
    </row>
    <row r="29">
      <c r="C29" s="8"/>
      <c r="D29" s="9"/>
      <c r="E29" s="9"/>
    </row>
    <row r="30">
      <c r="C30" s="8"/>
      <c r="D30" s="9"/>
      <c r="E30" s="9"/>
    </row>
    <row r="31">
      <c r="C31" s="8"/>
      <c r="D31" s="9"/>
      <c r="E31" s="9"/>
    </row>
    <row r="32">
      <c r="C32" s="8"/>
      <c r="D32" s="9"/>
      <c r="E32" s="9"/>
    </row>
    <row r="33">
      <c r="C33" s="8"/>
      <c r="D33" s="9"/>
      <c r="E33" s="9"/>
    </row>
    <row r="34">
      <c r="C34" s="8"/>
      <c r="D34" s="9"/>
      <c r="E34" s="9"/>
    </row>
    <row r="35">
      <c r="C35" s="8"/>
      <c r="D35" s="9"/>
      <c r="E35" s="9"/>
    </row>
    <row r="36">
      <c r="C36" s="8"/>
      <c r="D36" s="9"/>
      <c r="E36" s="9"/>
    </row>
    <row r="37">
      <c r="C37" s="8"/>
      <c r="D37" s="9"/>
      <c r="E37" s="9"/>
    </row>
    <row r="38">
      <c r="C38" s="8"/>
      <c r="D38" s="9"/>
      <c r="E38" s="9"/>
    </row>
    <row r="39">
      <c r="C39" s="8"/>
      <c r="D39" s="9"/>
      <c r="E39" s="9"/>
    </row>
    <row r="40">
      <c r="C40" s="8"/>
      <c r="D40" s="9"/>
      <c r="E40" s="9"/>
    </row>
    <row r="41">
      <c r="C41" s="8"/>
      <c r="D41" s="9"/>
      <c r="E41" s="9"/>
    </row>
    <row r="42">
      <c r="C42" s="8"/>
      <c r="D42" s="9"/>
      <c r="E42" s="9"/>
    </row>
    <row r="43">
      <c r="C43" s="8"/>
      <c r="D43" s="9"/>
      <c r="E43" s="9"/>
    </row>
    <row r="44">
      <c r="C44" s="8"/>
      <c r="D44" s="9"/>
      <c r="E44" s="9"/>
    </row>
    <row r="45">
      <c r="C45" s="8"/>
      <c r="D45" s="9"/>
      <c r="E45" s="9"/>
    </row>
    <row r="46">
      <c r="C46" s="8"/>
      <c r="D46" s="9"/>
      <c r="E46" s="9"/>
    </row>
    <row r="47">
      <c r="C47" s="8"/>
      <c r="D47" s="9"/>
      <c r="E47" s="9"/>
    </row>
    <row r="48">
      <c r="C48" s="8"/>
      <c r="D48" s="9"/>
      <c r="E48" s="9"/>
    </row>
    <row r="49">
      <c r="C49" s="8"/>
      <c r="D49" s="9"/>
      <c r="E49" s="9"/>
    </row>
    <row r="50">
      <c r="C50" s="8"/>
      <c r="D50" s="9"/>
      <c r="E50" s="9"/>
    </row>
    <row r="51">
      <c r="C51" s="8"/>
      <c r="D51" s="9"/>
      <c r="E51" s="9"/>
    </row>
    <row r="52">
      <c r="C52" s="8"/>
      <c r="D52" s="9"/>
      <c r="E52" s="9"/>
    </row>
    <row r="53">
      <c r="C53" s="8"/>
      <c r="D53" s="9"/>
      <c r="E53" s="9"/>
    </row>
    <row r="54">
      <c r="C54" s="8"/>
      <c r="D54" s="9"/>
      <c r="E54" s="9"/>
    </row>
    <row r="55">
      <c r="C55" s="8"/>
      <c r="D55" s="9"/>
      <c r="E55" s="9"/>
    </row>
    <row r="56">
      <c r="C56" s="8"/>
      <c r="D56" s="9"/>
      <c r="E56" s="9"/>
    </row>
    <row r="57">
      <c r="C57" s="8"/>
      <c r="D57" s="9"/>
      <c r="E57" s="9"/>
    </row>
    <row r="58">
      <c r="C58" s="8"/>
      <c r="D58" s="9"/>
      <c r="E58" s="9"/>
    </row>
    <row r="59">
      <c r="C59" s="8"/>
      <c r="D59" s="9"/>
      <c r="E59" s="9"/>
    </row>
    <row r="60">
      <c r="C60" s="8"/>
      <c r="D60" s="9"/>
      <c r="E60" s="9"/>
    </row>
    <row r="61">
      <c r="C61" s="8"/>
      <c r="D61" s="9"/>
      <c r="E61" s="9"/>
    </row>
    <row r="62">
      <c r="C62" s="8"/>
      <c r="D62" s="9"/>
      <c r="E62" s="9"/>
    </row>
    <row r="63">
      <c r="C63" s="8"/>
      <c r="D63" s="9"/>
      <c r="E63" s="9"/>
    </row>
    <row r="64">
      <c r="C64" s="8"/>
      <c r="D64" s="9"/>
      <c r="E64" s="9"/>
    </row>
    <row r="65">
      <c r="C65" s="8"/>
      <c r="D65" s="9"/>
      <c r="E65" s="9"/>
    </row>
    <row r="66">
      <c r="C66" s="8"/>
      <c r="D66" s="9"/>
      <c r="E66" s="9"/>
    </row>
    <row r="67">
      <c r="C67" s="8"/>
      <c r="D67" s="9"/>
      <c r="E67" s="9"/>
    </row>
    <row r="68">
      <c r="C68" s="8"/>
      <c r="D68" s="9"/>
      <c r="E68" s="9"/>
    </row>
    <row r="69">
      <c r="C69" s="8"/>
      <c r="D69" s="9"/>
      <c r="E69" s="9"/>
    </row>
    <row r="70">
      <c r="C70" s="8"/>
      <c r="D70" s="9"/>
      <c r="E70" s="9"/>
    </row>
    <row r="71">
      <c r="C71" s="8"/>
      <c r="D71" s="9"/>
      <c r="E71" s="9"/>
    </row>
    <row r="72">
      <c r="C72" s="8"/>
      <c r="D72" s="9"/>
      <c r="E72" s="9"/>
    </row>
    <row r="73">
      <c r="C73" s="8"/>
      <c r="D73" s="9"/>
      <c r="E73" s="9"/>
    </row>
    <row r="74">
      <c r="C74" s="8"/>
      <c r="D74" s="9"/>
      <c r="E74" s="9"/>
    </row>
    <row r="75">
      <c r="C75" s="8"/>
      <c r="D75" s="9"/>
      <c r="E75" s="9"/>
    </row>
    <row r="76">
      <c r="C76" s="8"/>
      <c r="D76" s="9"/>
      <c r="E76" s="9"/>
    </row>
    <row r="77">
      <c r="C77" s="8"/>
      <c r="D77" s="9"/>
      <c r="E77" s="9"/>
    </row>
    <row r="78">
      <c r="C78" s="8"/>
      <c r="D78" s="9"/>
      <c r="E78" s="9"/>
    </row>
    <row r="79">
      <c r="C79" s="8"/>
      <c r="D79" s="9"/>
      <c r="E79" s="9"/>
    </row>
    <row r="80">
      <c r="C80" s="8"/>
      <c r="D80" s="9"/>
      <c r="E80" s="9"/>
    </row>
    <row r="81">
      <c r="C81" s="8"/>
      <c r="D81" s="9"/>
      <c r="E81" s="9"/>
    </row>
    <row r="82">
      <c r="C82" s="8"/>
      <c r="D82" s="9"/>
      <c r="E82" s="9"/>
    </row>
    <row r="83">
      <c r="C83" s="8"/>
      <c r="D83" s="9"/>
      <c r="E83" s="9"/>
    </row>
    <row r="84">
      <c r="C84" s="8"/>
      <c r="D84" s="9"/>
      <c r="E84" s="9"/>
    </row>
    <row r="85">
      <c r="C85" s="8"/>
      <c r="D85" s="9"/>
      <c r="E85" s="9"/>
    </row>
    <row r="86">
      <c r="C86" s="8"/>
      <c r="D86" s="9"/>
      <c r="E86" s="9"/>
    </row>
    <row r="87">
      <c r="C87" s="8"/>
      <c r="D87" s="9"/>
      <c r="E87" s="9"/>
    </row>
    <row r="88">
      <c r="C88" s="8"/>
      <c r="D88" s="9"/>
      <c r="E88" s="9"/>
    </row>
    <row r="89">
      <c r="C89" s="8"/>
      <c r="D89" s="9"/>
      <c r="E89" s="9"/>
    </row>
    <row r="90">
      <c r="C90" s="8"/>
      <c r="D90" s="9"/>
      <c r="E90" s="9"/>
    </row>
    <row r="91">
      <c r="C91" s="8"/>
      <c r="D91" s="9"/>
      <c r="E91" s="9"/>
    </row>
    <row r="92">
      <c r="C92" s="8"/>
      <c r="D92" s="9"/>
      <c r="E92" s="9"/>
    </row>
    <row r="93">
      <c r="C93" s="8"/>
      <c r="D93" s="9"/>
      <c r="E93" s="9"/>
    </row>
    <row r="94">
      <c r="C94" s="8"/>
      <c r="D94" s="9"/>
      <c r="E94" s="9"/>
    </row>
    <row r="95">
      <c r="C95" s="8"/>
      <c r="D95" s="9"/>
      <c r="E95" s="9"/>
    </row>
    <row r="96">
      <c r="C96" s="8"/>
      <c r="D96" s="9"/>
      <c r="E96" s="9"/>
    </row>
    <row r="97">
      <c r="C97" s="8"/>
      <c r="D97" s="9"/>
      <c r="E97" s="9"/>
    </row>
    <row r="98">
      <c r="C98" s="8"/>
      <c r="D98" s="9"/>
      <c r="E98" s="9"/>
    </row>
    <row r="99">
      <c r="C99" s="8"/>
      <c r="D99" s="9"/>
      <c r="E99" s="9"/>
    </row>
    <row r="100">
      <c r="C100" s="8"/>
      <c r="D100" s="9"/>
      <c r="E100" s="9"/>
    </row>
    <row r="101">
      <c r="C101" s="8"/>
      <c r="D101" s="9"/>
      <c r="E101" s="9"/>
    </row>
    <row r="102">
      <c r="C102" s="8"/>
      <c r="D102" s="9"/>
      <c r="E102" s="9"/>
    </row>
    <row r="103">
      <c r="C103" s="8"/>
      <c r="D103" s="9"/>
      <c r="E103" s="9"/>
    </row>
    <row r="104">
      <c r="C104" s="8"/>
      <c r="D104" s="9"/>
      <c r="E104" s="9"/>
    </row>
    <row r="105">
      <c r="C105" s="8"/>
      <c r="D105" s="9"/>
      <c r="E105" s="9"/>
    </row>
    <row r="106">
      <c r="C106" s="8"/>
      <c r="D106" s="9"/>
      <c r="E106" s="9"/>
    </row>
    <row r="107">
      <c r="C107" s="8"/>
      <c r="D107" s="9"/>
      <c r="E107" s="9"/>
    </row>
    <row r="108">
      <c r="C108" s="8"/>
      <c r="D108" s="9"/>
      <c r="E108" s="9"/>
    </row>
    <row r="109">
      <c r="C109" s="8"/>
      <c r="D109" s="9"/>
      <c r="E109" s="9"/>
    </row>
    <row r="110">
      <c r="C110" s="8"/>
      <c r="D110" s="9"/>
      <c r="E110" s="9"/>
    </row>
    <row r="111">
      <c r="C111" s="8"/>
      <c r="D111" s="9"/>
      <c r="E111" s="9"/>
    </row>
    <row r="112">
      <c r="C112" s="8"/>
      <c r="D112" s="9"/>
      <c r="E112" s="9"/>
    </row>
    <row r="113">
      <c r="C113" s="8"/>
      <c r="D113" s="9"/>
      <c r="E113" s="9"/>
    </row>
    <row r="114">
      <c r="C114" s="8"/>
      <c r="D114" s="9"/>
      <c r="E114" s="9"/>
    </row>
    <row r="115">
      <c r="C115" s="8"/>
      <c r="D115" s="9"/>
      <c r="E115" s="9"/>
    </row>
    <row r="116">
      <c r="C116" s="8"/>
      <c r="D116" s="9"/>
      <c r="E116" s="9"/>
    </row>
    <row r="117">
      <c r="C117" s="8"/>
      <c r="D117" s="9"/>
      <c r="E117" s="9"/>
    </row>
    <row r="118">
      <c r="C118" s="8"/>
      <c r="D118" s="9"/>
      <c r="E118" s="9"/>
    </row>
    <row r="119">
      <c r="C119" s="8"/>
      <c r="D119" s="9"/>
      <c r="E119" s="9"/>
    </row>
    <row r="120">
      <c r="C120" s="8"/>
      <c r="D120" s="9"/>
      <c r="E120" s="9"/>
    </row>
    <row r="121">
      <c r="C121" s="8"/>
      <c r="D121" s="9"/>
      <c r="E121" s="9"/>
    </row>
    <row r="122">
      <c r="C122" s="8"/>
      <c r="D122" s="9"/>
      <c r="E122" s="9"/>
    </row>
    <row r="123">
      <c r="C123" s="8"/>
      <c r="D123" s="9"/>
      <c r="E123" s="9"/>
    </row>
    <row r="124">
      <c r="C124" s="8"/>
      <c r="D124" s="9"/>
      <c r="E124" s="9"/>
    </row>
    <row r="125">
      <c r="C125" s="8"/>
      <c r="D125" s="9"/>
      <c r="E125" s="9"/>
    </row>
    <row r="126">
      <c r="C126" s="8"/>
      <c r="D126" s="9"/>
      <c r="E126" s="9"/>
    </row>
    <row r="127">
      <c r="C127" s="8"/>
      <c r="D127" s="9"/>
      <c r="E127" s="9"/>
    </row>
    <row r="128">
      <c r="C128" s="8"/>
      <c r="D128" s="9"/>
      <c r="E128" s="9"/>
    </row>
    <row r="129">
      <c r="C129" s="8"/>
      <c r="D129" s="9"/>
      <c r="E129" s="9"/>
    </row>
    <row r="130">
      <c r="C130" s="8"/>
      <c r="D130" s="9"/>
      <c r="E130" s="9"/>
    </row>
    <row r="131">
      <c r="C131" s="8"/>
      <c r="D131" s="9"/>
      <c r="E131" s="9"/>
    </row>
    <row r="132">
      <c r="C132" s="8"/>
      <c r="D132" s="9"/>
      <c r="E132" s="9"/>
    </row>
    <row r="133">
      <c r="C133" s="8"/>
      <c r="D133" s="9"/>
      <c r="E133" s="9"/>
    </row>
    <row r="134">
      <c r="C134" s="8"/>
      <c r="D134" s="9"/>
      <c r="E134" s="9"/>
    </row>
    <row r="135">
      <c r="C135" s="8"/>
      <c r="D135" s="9"/>
      <c r="E135" s="9"/>
    </row>
    <row r="136">
      <c r="C136" s="8"/>
      <c r="D136" s="9"/>
      <c r="E136" s="9"/>
    </row>
    <row r="137">
      <c r="C137" s="8"/>
      <c r="D137" s="9"/>
      <c r="E137" s="9"/>
    </row>
    <row r="138">
      <c r="C138" s="8"/>
      <c r="D138" s="9"/>
      <c r="E138" s="9"/>
    </row>
    <row r="139">
      <c r="C139" s="8"/>
      <c r="D139" s="9"/>
      <c r="E139" s="9"/>
    </row>
    <row r="140">
      <c r="C140" s="8"/>
      <c r="D140" s="9"/>
      <c r="E140" s="9"/>
    </row>
    <row r="141">
      <c r="C141" s="8"/>
      <c r="D141" s="9"/>
      <c r="E141" s="9"/>
    </row>
    <row r="142">
      <c r="C142" s="8"/>
      <c r="D142" s="9"/>
      <c r="E142" s="9"/>
    </row>
    <row r="143">
      <c r="C143" s="8"/>
      <c r="D143" s="9"/>
      <c r="E143" s="9"/>
    </row>
    <row r="144">
      <c r="C144" s="8"/>
      <c r="D144" s="9"/>
      <c r="E144" s="9"/>
    </row>
    <row r="145">
      <c r="C145" s="8"/>
      <c r="D145" s="9"/>
      <c r="E145" s="9"/>
    </row>
    <row r="146">
      <c r="C146" s="8"/>
      <c r="D146" s="9"/>
      <c r="E146" s="9"/>
    </row>
    <row r="147">
      <c r="C147" s="8"/>
      <c r="D147" s="9"/>
      <c r="E147" s="9"/>
    </row>
    <row r="148">
      <c r="C148" s="8"/>
      <c r="D148" s="9"/>
      <c r="E148" s="9"/>
    </row>
    <row r="149">
      <c r="C149" s="8"/>
      <c r="D149" s="9"/>
      <c r="E149" s="9"/>
    </row>
    <row r="150">
      <c r="C150" s="8"/>
      <c r="D150" s="9"/>
      <c r="E150" s="9"/>
    </row>
    <row r="151">
      <c r="C151" s="8"/>
      <c r="D151" s="9"/>
      <c r="E151" s="9"/>
    </row>
    <row r="152">
      <c r="C152" s="8"/>
      <c r="D152" s="9"/>
      <c r="E152" s="9"/>
    </row>
    <row r="153">
      <c r="C153" s="8"/>
      <c r="D153" s="9"/>
      <c r="E153" s="9"/>
    </row>
    <row r="154">
      <c r="C154" s="8"/>
      <c r="D154" s="9"/>
      <c r="E154" s="9"/>
    </row>
    <row r="155">
      <c r="C155" s="8"/>
      <c r="D155" s="9"/>
      <c r="E155" s="9"/>
    </row>
    <row r="156">
      <c r="C156" s="8"/>
      <c r="D156" s="9"/>
      <c r="E156" s="9"/>
    </row>
    <row r="157">
      <c r="C157" s="8"/>
      <c r="D157" s="9"/>
      <c r="E157" s="9"/>
    </row>
    <row r="158">
      <c r="C158" s="8"/>
      <c r="D158" s="9"/>
      <c r="E158" s="9"/>
    </row>
    <row r="159">
      <c r="C159" s="8"/>
      <c r="D159" s="9"/>
      <c r="E159" s="9"/>
    </row>
    <row r="160">
      <c r="C160" s="8"/>
      <c r="D160" s="9"/>
      <c r="E160" s="9"/>
    </row>
    <row r="161">
      <c r="C161" s="8"/>
      <c r="D161" s="9"/>
      <c r="E161" s="9"/>
    </row>
    <row r="162">
      <c r="C162" s="8"/>
      <c r="D162" s="9"/>
      <c r="E162" s="9"/>
    </row>
    <row r="163">
      <c r="C163" s="8"/>
      <c r="D163" s="9"/>
      <c r="E163" s="9"/>
    </row>
    <row r="164">
      <c r="C164" s="8"/>
      <c r="D164" s="9"/>
      <c r="E164" s="9"/>
    </row>
    <row r="165">
      <c r="C165" s="8"/>
      <c r="D165" s="9"/>
      <c r="E165" s="9"/>
    </row>
    <row r="166">
      <c r="C166" s="8"/>
      <c r="D166" s="9"/>
      <c r="E166" s="9"/>
    </row>
    <row r="167">
      <c r="C167" s="8"/>
      <c r="D167" s="9"/>
      <c r="E167" s="9"/>
    </row>
    <row r="168">
      <c r="C168" s="8"/>
      <c r="D168" s="9"/>
      <c r="E168" s="9"/>
    </row>
    <row r="169">
      <c r="C169" s="8"/>
      <c r="D169" s="9"/>
      <c r="E169" s="9"/>
    </row>
    <row r="170">
      <c r="C170" s="8"/>
      <c r="D170" s="9"/>
      <c r="E170" s="9"/>
    </row>
    <row r="171">
      <c r="C171" s="8"/>
      <c r="D171" s="9"/>
      <c r="E171" s="9"/>
    </row>
    <row r="172">
      <c r="C172" s="8"/>
      <c r="D172" s="9"/>
      <c r="E172" s="9"/>
    </row>
    <row r="173">
      <c r="C173" s="8"/>
      <c r="D173" s="9"/>
      <c r="E173" s="9"/>
    </row>
    <row r="174">
      <c r="C174" s="8"/>
      <c r="D174" s="9"/>
      <c r="E174" s="9"/>
    </row>
    <row r="175">
      <c r="C175" s="8"/>
      <c r="D175" s="9"/>
      <c r="E175" s="9"/>
    </row>
    <row r="176">
      <c r="C176" s="8"/>
      <c r="D176" s="9"/>
      <c r="E176" s="9"/>
    </row>
    <row r="177">
      <c r="C177" s="8"/>
      <c r="D177" s="9"/>
      <c r="E177" s="9"/>
    </row>
    <row r="178">
      <c r="C178" s="8"/>
      <c r="D178" s="9"/>
      <c r="E178" s="9"/>
    </row>
    <row r="179">
      <c r="C179" s="8"/>
      <c r="D179" s="9"/>
      <c r="E179" s="9"/>
    </row>
    <row r="180">
      <c r="C180" s="8"/>
      <c r="D180" s="9"/>
      <c r="E180" s="9"/>
    </row>
    <row r="181">
      <c r="C181" s="8"/>
      <c r="D181" s="9"/>
      <c r="E181" s="9"/>
    </row>
    <row r="182">
      <c r="C182" s="8"/>
      <c r="D182" s="9"/>
      <c r="E182" s="9"/>
    </row>
    <row r="183">
      <c r="C183" s="8"/>
      <c r="D183" s="9"/>
      <c r="E183" s="9"/>
    </row>
    <row r="184">
      <c r="C184" s="8"/>
      <c r="D184" s="9"/>
      <c r="E184" s="9"/>
    </row>
    <row r="185">
      <c r="C185" s="8"/>
      <c r="D185" s="9"/>
      <c r="E185" s="9"/>
    </row>
    <row r="186">
      <c r="C186" s="8"/>
      <c r="D186" s="9"/>
      <c r="E186" s="9"/>
    </row>
    <row r="187">
      <c r="C187" s="8"/>
      <c r="D187" s="9"/>
      <c r="E187" s="9"/>
    </row>
    <row r="188">
      <c r="C188" s="8"/>
      <c r="D188" s="9"/>
      <c r="E188" s="9"/>
    </row>
    <row r="189">
      <c r="C189" s="8"/>
      <c r="D189" s="9"/>
      <c r="E189" s="9"/>
    </row>
    <row r="190">
      <c r="C190" s="8"/>
      <c r="D190" s="9"/>
      <c r="E190" s="9"/>
    </row>
    <row r="191">
      <c r="C191" s="8"/>
      <c r="D191" s="9"/>
      <c r="E191" s="9"/>
    </row>
    <row r="192">
      <c r="C192" s="8"/>
      <c r="D192" s="9"/>
      <c r="E192" s="9"/>
    </row>
    <row r="193">
      <c r="C193" s="8"/>
      <c r="D193" s="9"/>
      <c r="E193" s="9"/>
    </row>
    <row r="194">
      <c r="C194" s="8"/>
      <c r="D194" s="9"/>
      <c r="E194" s="9"/>
    </row>
    <row r="195">
      <c r="C195" s="8"/>
      <c r="D195" s="9"/>
      <c r="E195" s="9"/>
    </row>
    <row r="196">
      <c r="C196" s="8"/>
      <c r="D196" s="9"/>
      <c r="E196" s="9"/>
    </row>
    <row r="197">
      <c r="C197" s="8"/>
      <c r="D197" s="9"/>
      <c r="E197" s="9"/>
    </row>
    <row r="198">
      <c r="C198" s="8"/>
      <c r="D198" s="9"/>
      <c r="E198" s="9"/>
    </row>
    <row r="199">
      <c r="C199" s="8"/>
      <c r="D199" s="9"/>
      <c r="E199" s="9"/>
    </row>
    <row r="200">
      <c r="C200" s="8"/>
      <c r="D200" s="9"/>
      <c r="E200" s="9"/>
    </row>
    <row r="201">
      <c r="C201" s="8"/>
      <c r="D201" s="9"/>
      <c r="E201" s="9"/>
    </row>
    <row r="202">
      <c r="C202" s="8"/>
      <c r="D202" s="9"/>
      <c r="E202" s="9"/>
    </row>
    <row r="203">
      <c r="C203" s="8"/>
      <c r="D203" s="9"/>
      <c r="E203" s="9"/>
    </row>
    <row r="204">
      <c r="C204" s="8"/>
      <c r="D204" s="9"/>
      <c r="E204" s="9"/>
    </row>
    <row r="205">
      <c r="C205" s="8"/>
      <c r="D205" s="9"/>
      <c r="E205" s="9"/>
    </row>
    <row r="206">
      <c r="C206" s="8"/>
      <c r="D206" s="9"/>
      <c r="E206" s="9"/>
    </row>
    <row r="207">
      <c r="C207" s="8"/>
      <c r="D207" s="9"/>
      <c r="E207" s="9"/>
    </row>
    <row r="208">
      <c r="C208" s="8"/>
      <c r="D208" s="9"/>
      <c r="E208" s="9"/>
    </row>
    <row r="209">
      <c r="C209" s="8"/>
      <c r="D209" s="9"/>
      <c r="E209" s="9"/>
    </row>
    <row r="210">
      <c r="C210" s="8"/>
      <c r="D210" s="9"/>
      <c r="E210" s="9"/>
    </row>
    <row r="211">
      <c r="C211" s="8"/>
      <c r="D211" s="9"/>
      <c r="E211" s="9"/>
    </row>
    <row r="212">
      <c r="C212" s="8"/>
      <c r="D212" s="9"/>
      <c r="E212" s="9"/>
    </row>
    <row r="213">
      <c r="C213" s="8"/>
      <c r="D213" s="9"/>
      <c r="E213" s="9"/>
    </row>
    <row r="214">
      <c r="C214" s="8"/>
      <c r="D214" s="9"/>
      <c r="E214" s="9"/>
    </row>
    <row r="215">
      <c r="C215" s="8"/>
      <c r="D215" s="9"/>
      <c r="E215" s="9"/>
    </row>
    <row r="216">
      <c r="C216" s="8"/>
      <c r="D216" s="9"/>
      <c r="E216" s="9"/>
    </row>
    <row r="217">
      <c r="C217" s="8"/>
      <c r="D217" s="9"/>
      <c r="E217" s="9"/>
    </row>
    <row r="218">
      <c r="C218" s="8"/>
      <c r="D218" s="9"/>
      <c r="E218" s="9"/>
    </row>
    <row r="219">
      <c r="C219" s="8"/>
      <c r="D219" s="9"/>
      <c r="E219" s="9"/>
    </row>
    <row r="220">
      <c r="C220" s="8"/>
      <c r="D220" s="9"/>
      <c r="E220" s="9"/>
    </row>
    <row r="221">
      <c r="C221" s="8"/>
      <c r="D221" s="9"/>
      <c r="E221" s="9"/>
    </row>
    <row r="222">
      <c r="C222" s="8"/>
      <c r="D222" s="9"/>
      <c r="E222" s="9"/>
    </row>
    <row r="223">
      <c r="C223" s="8"/>
      <c r="D223" s="9"/>
      <c r="E223" s="9"/>
    </row>
    <row r="224">
      <c r="C224" s="8"/>
      <c r="D224" s="9"/>
      <c r="E224" s="9"/>
    </row>
    <row r="225">
      <c r="C225" s="8"/>
      <c r="D225" s="9"/>
      <c r="E225" s="9"/>
    </row>
    <row r="226">
      <c r="C226" s="8"/>
      <c r="D226" s="9"/>
      <c r="E226" s="9"/>
    </row>
    <row r="227">
      <c r="C227" s="8"/>
      <c r="D227" s="9"/>
      <c r="E227" s="9"/>
    </row>
    <row r="228">
      <c r="C228" s="8"/>
      <c r="D228" s="9"/>
      <c r="E228" s="9"/>
    </row>
    <row r="229">
      <c r="C229" s="8"/>
      <c r="D229" s="9"/>
      <c r="E229" s="9"/>
    </row>
    <row r="230">
      <c r="C230" s="8"/>
      <c r="D230" s="9"/>
      <c r="E230" s="9"/>
    </row>
    <row r="231">
      <c r="C231" s="8"/>
      <c r="D231" s="9"/>
      <c r="E231" s="9"/>
    </row>
    <row r="232">
      <c r="C232" s="8"/>
      <c r="D232" s="9"/>
      <c r="E232" s="9"/>
    </row>
    <row r="233">
      <c r="C233" s="8"/>
      <c r="D233" s="9"/>
      <c r="E233" s="9"/>
    </row>
    <row r="234">
      <c r="C234" s="8"/>
      <c r="D234" s="9"/>
      <c r="E234" s="9"/>
    </row>
    <row r="235">
      <c r="C235" s="8"/>
      <c r="D235" s="9"/>
      <c r="E235" s="9"/>
    </row>
    <row r="236">
      <c r="C236" s="8"/>
      <c r="D236" s="9"/>
      <c r="E236" s="9"/>
    </row>
    <row r="237">
      <c r="C237" s="8"/>
      <c r="D237" s="9"/>
      <c r="E237" s="9"/>
    </row>
    <row r="238">
      <c r="C238" s="8"/>
      <c r="D238" s="9"/>
      <c r="E238" s="9"/>
    </row>
    <row r="239">
      <c r="C239" s="8"/>
      <c r="D239" s="9"/>
      <c r="E239" s="9"/>
    </row>
    <row r="240">
      <c r="C240" s="8"/>
      <c r="D240" s="9"/>
      <c r="E240" s="9"/>
    </row>
    <row r="241">
      <c r="C241" s="8"/>
      <c r="D241" s="9"/>
      <c r="E241" s="9"/>
    </row>
    <row r="242">
      <c r="C242" s="8"/>
      <c r="D242" s="9"/>
      <c r="E242" s="9"/>
    </row>
    <row r="243">
      <c r="C243" s="8"/>
      <c r="D243" s="9"/>
      <c r="E243" s="9"/>
    </row>
    <row r="244">
      <c r="C244" s="8"/>
      <c r="D244" s="9"/>
      <c r="E244" s="9"/>
    </row>
    <row r="245">
      <c r="C245" s="8"/>
      <c r="D245" s="9"/>
      <c r="E245" s="9"/>
    </row>
    <row r="246">
      <c r="C246" s="8"/>
      <c r="D246" s="9"/>
      <c r="E246" s="9"/>
    </row>
    <row r="247">
      <c r="C247" s="8"/>
      <c r="D247" s="9"/>
      <c r="E247" s="9"/>
    </row>
    <row r="248">
      <c r="C248" s="8"/>
      <c r="D248" s="9"/>
      <c r="E248" s="9"/>
    </row>
    <row r="249">
      <c r="C249" s="8"/>
      <c r="D249" s="9"/>
      <c r="E249" s="9"/>
    </row>
    <row r="250">
      <c r="C250" s="8"/>
      <c r="D250" s="9"/>
      <c r="E250" s="9"/>
    </row>
    <row r="251">
      <c r="C251" s="8"/>
      <c r="D251" s="9"/>
      <c r="E251" s="9"/>
    </row>
    <row r="252">
      <c r="C252" s="8"/>
      <c r="D252" s="9"/>
      <c r="E252" s="9"/>
    </row>
    <row r="253">
      <c r="C253" s="8"/>
      <c r="D253" s="9"/>
      <c r="E253" s="9"/>
    </row>
    <row r="254">
      <c r="C254" s="8"/>
      <c r="D254" s="9"/>
      <c r="E254" s="9"/>
    </row>
    <row r="255">
      <c r="C255" s="8"/>
      <c r="D255" s="9"/>
      <c r="E255" s="9"/>
    </row>
    <row r="256">
      <c r="C256" s="8"/>
      <c r="D256" s="9"/>
      <c r="E256" s="9"/>
    </row>
    <row r="257">
      <c r="C257" s="8"/>
      <c r="D257" s="9"/>
      <c r="E257" s="9"/>
    </row>
    <row r="258">
      <c r="C258" s="8"/>
      <c r="D258" s="9"/>
      <c r="E258" s="9"/>
    </row>
    <row r="259">
      <c r="C259" s="8"/>
      <c r="D259" s="9"/>
      <c r="E259" s="9"/>
    </row>
    <row r="260">
      <c r="C260" s="8"/>
      <c r="D260" s="9"/>
      <c r="E260" s="9"/>
    </row>
    <row r="261">
      <c r="C261" s="8"/>
      <c r="D261" s="9"/>
      <c r="E261" s="9"/>
    </row>
    <row r="262">
      <c r="C262" s="8"/>
      <c r="D262" s="9"/>
      <c r="E262" s="9"/>
    </row>
    <row r="263">
      <c r="C263" s="8"/>
      <c r="D263" s="9"/>
      <c r="E263" s="9"/>
    </row>
    <row r="264">
      <c r="C264" s="8"/>
      <c r="D264" s="9"/>
      <c r="E264" s="9"/>
    </row>
    <row r="265">
      <c r="C265" s="8"/>
      <c r="D265" s="9"/>
      <c r="E265" s="9"/>
    </row>
    <row r="266">
      <c r="C266" s="8"/>
      <c r="D266" s="9"/>
      <c r="E266" s="9"/>
    </row>
    <row r="267">
      <c r="C267" s="8"/>
      <c r="D267" s="9"/>
      <c r="E267" s="9"/>
    </row>
    <row r="268">
      <c r="C268" s="8"/>
      <c r="D268" s="9"/>
      <c r="E268" s="9"/>
    </row>
    <row r="269">
      <c r="C269" s="8"/>
      <c r="D269" s="9"/>
      <c r="E269" s="9"/>
    </row>
    <row r="270">
      <c r="C270" s="8"/>
      <c r="D270" s="9"/>
      <c r="E270" s="9"/>
    </row>
    <row r="271">
      <c r="C271" s="8"/>
      <c r="D271" s="9"/>
      <c r="E271" s="9"/>
    </row>
    <row r="272">
      <c r="C272" s="8"/>
      <c r="D272" s="9"/>
      <c r="E272" s="9"/>
    </row>
    <row r="273">
      <c r="C273" s="8"/>
      <c r="D273" s="9"/>
      <c r="E273" s="9"/>
    </row>
    <row r="274">
      <c r="C274" s="8"/>
      <c r="D274" s="9"/>
      <c r="E274" s="9"/>
    </row>
    <row r="275">
      <c r="C275" s="8"/>
      <c r="D275" s="9"/>
      <c r="E275" s="9"/>
    </row>
    <row r="276">
      <c r="C276" s="8"/>
      <c r="D276" s="9"/>
      <c r="E276" s="9"/>
    </row>
    <row r="277">
      <c r="C277" s="8"/>
      <c r="D277" s="9"/>
      <c r="E277" s="9"/>
    </row>
    <row r="278">
      <c r="C278" s="8"/>
      <c r="D278" s="9"/>
      <c r="E278" s="9"/>
    </row>
    <row r="279">
      <c r="C279" s="8"/>
      <c r="D279" s="9"/>
      <c r="E279" s="9"/>
    </row>
    <row r="280">
      <c r="C280" s="8"/>
      <c r="D280" s="9"/>
      <c r="E280" s="9"/>
    </row>
    <row r="281">
      <c r="C281" s="8"/>
      <c r="D281" s="9"/>
      <c r="E281" s="9"/>
    </row>
    <row r="282">
      <c r="C282" s="8"/>
      <c r="D282" s="9"/>
      <c r="E282" s="9"/>
    </row>
    <row r="283">
      <c r="C283" s="8"/>
      <c r="D283" s="9"/>
      <c r="E283" s="9"/>
    </row>
    <row r="284">
      <c r="C284" s="8"/>
      <c r="D284" s="9"/>
      <c r="E284" s="9"/>
    </row>
    <row r="285">
      <c r="C285" s="8"/>
      <c r="D285" s="9"/>
      <c r="E285" s="9"/>
    </row>
    <row r="286">
      <c r="C286" s="8"/>
      <c r="D286" s="9"/>
      <c r="E286" s="9"/>
    </row>
    <row r="287">
      <c r="C287" s="8"/>
      <c r="D287" s="9"/>
      <c r="E287" s="9"/>
    </row>
    <row r="288">
      <c r="C288" s="8"/>
      <c r="D288" s="9"/>
      <c r="E288" s="9"/>
    </row>
    <row r="289">
      <c r="C289" s="8"/>
      <c r="D289" s="9"/>
      <c r="E289" s="9"/>
    </row>
    <row r="290">
      <c r="C290" s="8"/>
      <c r="D290" s="9"/>
      <c r="E290" s="9"/>
    </row>
    <row r="291">
      <c r="C291" s="8"/>
      <c r="D291" s="9"/>
      <c r="E291" s="9"/>
    </row>
    <row r="292">
      <c r="C292" s="8"/>
      <c r="D292" s="9"/>
      <c r="E292" s="9"/>
    </row>
    <row r="293">
      <c r="C293" s="8"/>
      <c r="D293" s="9"/>
      <c r="E293" s="9"/>
    </row>
    <row r="294">
      <c r="C294" s="8"/>
      <c r="D294" s="9"/>
      <c r="E294" s="9"/>
    </row>
    <row r="295">
      <c r="C295" s="8"/>
      <c r="D295" s="9"/>
      <c r="E295" s="9"/>
    </row>
    <row r="296">
      <c r="C296" s="8"/>
      <c r="D296" s="9"/>
      <c r="E296" s="9"/>
    </row>
    <row r="297">
      <c r="C297" s="8"/>
      <c r="D297" s="9"/>
      <c r="E297" s="9"/>
    </row>
    <row r="298">
      <c r="C298" s="8"/>
      <c r="D298" s="9"/>
      <c r="E298" s="9"/>
    </row>
    <row r="299">
      <c r="C299" s="8"/>
      <c r="D299" s="9"/>
      <c r="E299" s="9"/>
    </row>
    <row r="300">
      <c r="C300" s="8"/>
      <c r="D300" s="9"/>
      <c r="E300" s="9"/>
    </row>
    <row r="301">
      <c r="C301" s="8"/>
      <c r="D301" s="9"/>
      <c r="E301" s="9"/>
    </row>
    <row r="302">
      <c r="C302" s="8"/>
      <c r="D302" s="9"/>
      <c r="E302" s="9"/>
    </row>
    <row r="303">
      <c r="C303" s="8"/>
      <c r="D303" s="9"/>
      <c r="E303" s="9"/>
    </row>
    <row r="304">
      <c r="C304" s="8"/>
      <c r="D304" s="9"/>
      <c r="E304" s="9"/>
    </row>
    <row r="305">
      <c r="C305" s="8"/>
      <c r="D305" s="9"/>
      <c r="E305" s="9"/>
    </row>
    <row r="306">
      <c r="C306" s="8"/>
      <c r="D306" s="9"/>
      <c r="E306" s="9"/>
    </row>
    <row r="307">
      <c r="C307" s="8"/>
      <c r="D307" s="9"/>
      <c r="E307" s="9"/>
    </row>
    <row r="308">
      <c r="C308" s="8"/>
      <c r="D308" s="9"/>
      <c r="E308" s="9"/>
    </row>
    <row r="309">
      <c r="C309" s="8"/>
      <c r="D309" s="9"/>
      <c r="E309" s="9"/>
    </row>
    <row r="310">
      <c r="C310" s="8"/>
      <c r="D310" s="9"/>
      <c r="E310" s="9"/>
    </row>
    <row r="311">
      <c r="C311" s="8"/>
      <c r="D311" s="9"/>
      <c r="E311" s="9"/>
    </row>
    <row r="312">
      <c r="C312" s="8"/>
      <c r="D312" s="9"/>
      <c r="E312" s="9"/>
    </row>
    <row r="313">
      <c r="C313" s="8"/>
      <c r="D313" s="9"/>
      <c r="E313" s="9"/>
    </row>
    <row r="314">
      <c r="C314" s="8"/>
      <c r="D314" s="9"/>
      <c r="E314" s="9"/>
    </row>
    <row r="315">
      <c r="C315" s="8"/>
      <c r="D315" s="9"/>
      <c r="E315" s="9"/>
    </row>
    <row r="316">
      <c r="C316" s="8"/>
      <c r="D316" s="9"/>
      <c r="E316" s="9"/>
    </row>
    <row r="317">
      <c r="C317" s="8"/>
      <c r="D317" s="9"/>
      <c r="E317" s="9"/>
    </row>
    <row r="318">
      <c r="C318" s="8"/>
      <c r="D318" s="9"/>
      <c r="E318" s="9"/>
    </row>
    <row r="319">
      <c r="C319" s="8"/>
      <c r="D319" s="9"/>
      <c r="E319" s="9"/>
    </row>
    <row r="320">
      <c r="C320" s="8"/>
      <c r="D320" s="9"/>
      <c r="E320" s="9"/>
    </row>
    <row r="321">
      <c r="C321" s="8"/>
      <c r="D321" s="9"/>
      <c r="E321" s="9"/>
    </row>
    <row r="322">
      <c r="C322" s="8"/>
      <c r="D322" s="9"/>
      <c r="E322" s="9"/>
    </row>
    <row r="323">
      <c r="C323" s="8"/>
      <c r="D323" s="9"/>
      <c r="E323" s="9"/>
    </row>
    <row r="324">
      <c r="C324" s="8"/>
      <c r="D324" s="9"/>
      <c r="E324" s="9"/>
    </row>
    <row r="325">
      <c r="C325" s="8"/>
      <c r="D325" s="9"/>
      <c r="E325" s="9"/>
    </row>
    <row r="326">
      <c r="C326" s="8"/>
      <c r="D326" s="9"/>
      <c r="E326" s="9"/>
    </row>
    <row r="327">
      <c r="C327" s="8"/>
      <c r="D327" s="9"/>
      <c r="E327" s="9"/>
    </row>
    <row r="328">
      <c r="C328" s="8"/>
      <c r="D328" s="9"/>
      <c r="E328" s="9"/>
    </row>
    <row r="329">
      <c r="C329" s="8"/>
      <c r="D329" s="9"/>
      <c r="E329" s="9"/>
    </row>
    <row r="330">
      <c r="C330" s="8"/>
      <c r="D330" s="9"/>
      <c r="E330" s="9"/>
    </row>
    <row r="331">
      <c r="C331" s="8"/>
      <c r="D331" s="9"/>
      <c r="E331" s="9"/>
    </row>
    <row r="332">
      <c r="C332" s="8"/>
      <c r="D332" s="9"/>
      <c r="E332" s="9"/>
    </row>
    <row r="333">
      <c r="C333" s="8"/>
      <c r="D333" s="9"/>
      <c r="E333" s="9"/>
    </row>
    <row r="334">
      <c r="C334" s="8"/>
      <c r="D334" s="9"/>
      <c r="E334" s="9"/>
    </row>
    <row r="335">
      <c r="C335" s="8"/>
      <c r="D335" s="9"/>
      <c r="E335" s="9"/>
    </row>
    <row r="336">
      <c r="C336" s="8"/>
      <c r="D336" s="9"/>
      <c r="E336" s="9"/>
    </row>
    <row r="337">
      <c r="C337" s="8"/>
      <c r="D337" s="9"/>
      <c r="E337" s="9"/>
    </row>
    <row r="338">
      <c r="C338" s="8"/>
      <c r="D338" s="9"/>
      <c r="E338" s="9"/>
    </row>
    <row r="339">
      <c r="C339" s="8"/>
      <c r="D339" s="9"/>
      <c r="E339" s="9"/>
    </row>
    <row r="340">
      <c r="C340" s="8"/>
      <c r="D340" s="9"/>
      <c r="E340" s="9"/>
    </row>
    <row r="341">
      <c r="C341" s="8"/>
      <c r="D341" s="9"/>
      <c r="E341" s="9"/>
    </row>
    <row r="342">
      <c r="C342" s="8"/>
      <c r="D342" s="9"/>
      <c r="E342" s="9"/>
    </row>
    <row r="343">
      <c r="C343" s="8"/>
      <c r="D343" s="9"/>
      <c r="E343" s="9"/>
    </row>
    <row r="344">
      <c r="C344" s="8"/>
      <c r="D344" s="9"/>
      <c r="E344" s="9"/>
    </row>
    <row r="345">
      <c r="C345" s="8"/>
      <c r="D345" s="9"/>
      <c r="E345" s="9"/>
    </row>
    <row r="346">
      <c r="C346" s="8"/>
      <c r="D346" s="9"/>
      <c r="E346" s="9"/>
    </row>
    <row r="347">
      <c r="C347" s="8"/>
      <c r="D347" s="9"/>
      <c r="E347" s="9"/>
    </row>
    <row r="348">
      <c r="C348" s="8"/>
      <c r="D348" s="9"/>
      <c r="E348" s="9"/>
    </row>
    <row r="349">
      <c r="C349" s="8"/>
      <c r="D349" s="9"/>
      <c r="E349" s="9"/>
    </row>
    <row r="350">
      <c r="C350" s="8"/>
      <c r="D350" s="9"/>
      <c r="E350" s="9"/>
    </row>
    <row r="351">
      <c r="C351" s="8"/>
      <c r="D351" s="9"/>
      <c r="E351" s="9"/>
    </row>
    <row r="352">
      <c r="C352" s="8"/>
      <c r="D352" s="9"/>
      <c r="E352" s="9"/>
    </row>
    <row r="353">
      <c r="C353" s="8"/>
      <c r="D353" s="9"/>
      <c r="E353" s="9"/>
    </row>
    <row r="354">
      <c r="C354" s="8"/>
      <c r="D354" s="9"/>
      <c r="E354" s="9"/>
    </row>
    <row r="355">
      <c r="C355" s="8"/>
      <c r="D355" s="9"/>
      <c r="E355" s="9"/>
    </row>
    <row r="356">
      <c r="C356" s="8"/>
      <c r="D356" s="9"/>
      <c r="E356" s="9"/>
    </row>
    <row r="357">
      <c r="C357" s="8"/>
      <c r="D357" s="9"/>
      <c r="E357" s="9"/>
    </row>
    <row r="358">
      <c r="C358" s="8"/>
      <c r="D358" s="9"/>
      <c r="E358" s="9"/>
    </row>
    <row r="359">
      <c r="C359" s="8"/>
      <c r="D359" s="9"/>
      <c r="E359" s="9"/>
    </row>
    <row r="360">
      <c r="C360" s="8"/>
      <c r="D360" s="9"/>
      <c r="E360" s="9"/>
    </row>
    <row r="361">
      <c r="C361" s="8"/>
      <c r="D361" s="9"/>
      <c r="E361" s="9"/>
    </row>
    <row r="362">
      <c r="C362" s="8"/>
      <c r="D362" s="9"/>
      <c r="E362" s="9"/>
    </row>
    <row r="363">
      <c r="C363" s="8"/>
      <c r="D363" s="9"/>
      <c r="E363" s="9"/>
    </row>
    <row r="364">
      <c r="C364" s="8"/>
      <c r="D364" s="9"/>
      <c r="E364" s="9"/>
    </row>
    <row r="365">
      <c r="C365" s="8"/>
      <c r="D365" s="9"/>
      <c r="E365" s="9"/>
    </row>
    <row r="366">
      <c r="C366" s="8"/>
      <c r="D366" s="9"/>
      <c r="E366" s="9"/>
    </row>
    <row r="367">
      <c r="C367" s="8"/>
      <c r="D367" s="9"/>
      <c r="E367" s="9"/>
    </row>
    <row r="368">
      <c r="C368" s="8"/>
      <c r="D368" s="9"/>
      <c r="E368" s="9"/>
    </row>
    <row r="369">
      <c r="C369" s="8"/>
      <c r="D369" s="9"/>
      <c r="E369" s="9"/>
    </row>
    <row r="370">
      <c r="C370" s="8"/>
      <c r="D370" s="9"/>
      <c r="E370" s="9"/>
    </row>
    <row r="371">
      <c r="C371" s="8"/>
      <c r="D371" s="9"/>
      <c r="E371" s="9"/>
    </row>
    <row r="372">
      <c r="C372" s="8"/>
      <c r="D372" s="9"/>
      <c r="E372" s="9"/>
    </row>
    <row r="373">
      <c r="C373" s="8"/>
      <c r="D373" s="9"/>
      <c r="E373" s="9"/>
    </row>
    <row r="374">
      <c r="C374" s="8"/>
      <c r="D374" s="9"/>
      <c r="E374" s="9"/>
    </row>
    <row r="375">
      <c r="C375" s="8"/>
      <c r="D375" s="9"/>
      <c r="E375" s="9"/>
    </row>
    <row r="376">
      <c r="C376" s="8"/>
      <c r="D376" s="9"/>
      <c r="E376" s="9"/>
    </row>
    <row r="377">
      <c r="C377" s="8"/>
      <c r="D377" s="9"/>
      <c r="E377" s="9"/>
    </row>
    <row r="378">
      <c r="C378" s="8"/>
      <c r="D378" s="9"/>
      <c r="E378" s="9"/>
    </row>
    <row r="379">
      <c r="C379" s="8"/>
      <c r="D379" s="9"/>
      <c r="E379" s="9"/>
    </row>
    <row r="380">
      <c r="C380" s="8"/>
      <c r="D380" s="9"/>
      <c r="E380" s="9"/>
    </row>
    <row r="381">
      <c r="C381" s="8"/>
      <c r="D381" s="9"/>
      <c r="E381" s="9"/>
    </row>
    <row r="382">
      <c r="C382" s="8"/>
      <c r="D382" s="9"/>
      <c r="E382" s="9"/>
    </row>
    <row r="383">
      <c r="C383" s="8"/>
      <c r="D383" s="9"/>
      <c r="E383" s="9"/>
    </row>
    <row r="384">
      <c r="C384" s="8"/>
      <c r="D384" s="9"/>
      <c r="E384" s="9"/>
    </row>
    <row r="385">
      <c r="C385" s="8"/>
      <c r="D385" s="9"/>
      <c r="E385" s="9"/>
    </row>
    <row r="386">
      <c r="C386" s="8"/>
      <c r="D386" s="9"/>
      <c r="E386" s="9"/>
    </row>
    <row r="387">
      <c r="C387" s="8"/>
      <c r="D387" s="9"/>
      <c r="E387" s="9"/>
    </row>
    <row r="388">
      <c r="C388" s="8"/>
      <c r="D388" s="9"/>
      <c r="E388" s="9"/>
    </row>
    <row r="389">
      <c r="C389" s="8"/>
      <c r="D389" s="9"/>
      <c r="E389" s="9"/>
    </row>
    <row r="390">
      <c r="C390" s="8"/>
      <c r="D390" s="9"/>
      <c r="E390" s="9"/>
    </row>
    <row r="391">
      <c r="C391" s="8"/>
      <c r="D391" s="9"/>
      <c r="E391" s="9"/>
    </row>
    <row r="392">
      <c r="C392" s="8"/>
      <c r="D392" s="9"/>
      <c r="E392" s="9"/>
    </row>
    <row r="393">
      <c r="C393" s="8"/>
      <c r="D393" s="9"/>
      <c r="E393" s="9"/>
    </row>
    <row r="394">
      <c r="C394" s="8"/>
      <c r="D394" s="9"/>
      <c r="E394" s="9"/>
    </row>
    <row r="395">
      <c r="C395" s="8"/>
      <c r="D395" s="9"/>
      <c r="E395" s="9"/>
    </row>
    <row r="396">
      <c r="C396" s="8"/>
      <c r="D396" s="9"/>
      <c r="E396" s="9"/>
    </row>
    <row r="397">
      <c r="C397" s="8"/>
      <c r="D397" s="9"/>
      <c r="E397" s="9"/>
    </row>
    <row r="398">
      <c r="C398" s="8"/>
      <c r="D398" s="9"/>
      <c r="E398" s="9"/>
    </row>
    <row r="399">
      <c r="C399" s="8"/>
      <c r="D399" s="9"/>
      <c r="E399" s="9"/>
    </row>
    <row r="400">
      <c r="C400" s="8"/>
      <c r="D400" s="9"/>
      <c r="E400" s="9"/>
    </row>
    <row r="401">
      <c r="C401" s="8"/>
      <c r="D401" s="9"/>
      <c r="E401" s="9"/>
    </row>
    <row r="402">
      <c r="C402" s="8"/>
      <c r="D402" s="9"/>
      <c r="E402" s="9"/>
    </row>
    <row r="403">
      <c r="C403" s="8"/>
      <c r="D403" s="9"/>
      <c r="E403" s="9"/>
    </row>
    <row r="404">
      <c r="C404" s="8"/>
      <c r="D404" s="9"/>
      <c r="E404" s="9"/>
    </row>
    <row r="405">
      <c r="C405" s="8"/>
      <c r="D405" s="9"/>
      <c r="E405" s="9"/>
    </row>
    <row r="406">
      <c r="C406" s="8"/>
      <c r="D406" s="9"/>
      <c r="E406" s="9"/>
    </row>
    <row r="407">
      <c r="C407" s="8"/>
      <c r="D407" s="9"/>
      <c r="E407" s="9"/>
    </row>
    <row r="408">
      <c r="C408" s="8"/>
      <c r="D408" s="9"/>
      <c r="E408" s="9"/>
    </row>
    <row r="409">
      <c r="C409" s="8"/>
      <c r="D409" s="9"/>
      <c r="E409" s="9"/>
    </row>
    <row r="410">
      <c r="C410" s="8"/>
      <c r="D410" s="9"/>
      <c r="E410" s="9"/>
    </row>
    <row r="411">
      <c r="C411" s="8"/>
      <c r="D411" s="9"/>
      <c r="E411" s="9"/>
    </row>
    <row r="412">
      <c r="C412" s="8"/>
      <c r="D412" s="9"/>
      <c r="E412" s="9"/>
    </row>
    <row r="413">
      <c r="C413" s="8"/>
      <c r="D413" s="9"/>
      <c r="E413" s="9"/>
    </row>
    <row r="414">
      <c r="C414" s="8"/>
      <c r="D414" s="9"/>
      <c r="E414" s="9"/>
    </row>
    <row r="415">
      <c r="C415" s="8"/>
      <c r="D415" s="9"/>
      <c r="E415" s="9"/>
    </row>
    <row r="416">
      <c r="C416" s="8"/>
      <c r="D416" s="9"/>
      <c r="E416" s="9"/>
    </row>
    <row r="417">
      <c r="C417" s="8"/>
      <c r="D417" s="9"/>
      <c r="E417" s="9"/>
    </row>
    <row r="418">
      <c r="C418" s="8"/>
      <c r="D418" s="9"/>
      <c r="E418" s="9"/>
    </row>
    <row r="419">
      <c r="C419" s="8"/>
      <c r="D419" s="9"/>
      <c r="E419" s="9"/>
    </row>
    <row r="420">
      <c r="C420" s="8"/>
      <c r="D420" s="9"/>
      <c r="E420" s="9"/>
    </row>
    <row r="421">
      <c r="C421" s="8"/>
      <c r="D421" s="9"/>
      <c r="E421" s="9"/>
    </row>
    <row r="422">
      <c r="C422" s="8"/>
      <c r="D422" s="9"/>
      <c r="E422" s="9"/>
    </row>
    <row r="423">
      <c r="C423" s="8"/>
      <c r="D423" s="9"/>
      <c r="E423" s="9"/>
    </row>
    <row r="424">
      <c r="C424" s="8"/>
      <c r="D424" s="9"/>
      <c r="E424" s="9"/>
    </row>
    <row r="425">
      <c r="C425" s="8"/>
      <c r="D425" s="9"/>
      <c r="E425" s="9"/>
    </row>
    <row r="426">
      <c r="C426" s="8"/>
      <c r="D426" s="9"/>
      <c r="E426" s="9"/>
    </row>
    <row r="427">
      <c r="C427" s="8"/>
      <c r="D427" s="9"/>
      <c r="E427" s="9"/>
    </row>
    <row r="428">
      <c r="C428" s="8"/>
      <c r="D428" s="9"/>
      <c r="E428" s="9"/>
    </row>
    <row r="429">
      <c r="C429" s="8"/>
      <c r="D429" s="9"/>
      <c r="E429" s="9"/>
    </row>
    <row r="430">
      <c r="C430" s="8"/>
      <c r="D430" s="9"/>
      <c r="E430" s="9"/>
    </row>
    <row r="431">
      <c r="C431" s="8"/>
      <c r="D431" s="9"/>
      <c r="E431" s="9"/>
    </row>
    <row r="432">
      <c r="C432" s="8"/>
      <c r="D432" s="9"/>
      <c r="E432" s="9"/>
    </row>
    <row r="433">
      <c r="C433" s="8"/>
      <c r="D433" s="9"/>
      <c r="E433" s="9"/>
    </row>
    <row r="434">
      <c r="C434" s="8"/>
      <c r="D434" s="9"/>
      <c r="E434" s="9"/>
    </row>
    <row r="435">
      <c r="C435" s="8"/>
      <c r="D435" s="9"/>
      <c r="E435" s="9"/>
    </row>
    <row r="436">
      <c r="C436" s="8"/>
      <c r="D436" s="9"/>
      <c r="E436" s="9"/>
    </row>
    <row r="437">
      <c r="C437" s="8"/>
      <c r="D437" s="9"/>
      <c r="E437" s="9"/>
    </row>
    <row r="438">
      <c r="C438" s="8"/>
      <c r="D438" s="9"/>
      <c r="E438" s="9"/>
    </row>
    <row r="439">
      <c r="C439" s="8"/>
      <c r="D439" s="9"/>
      <c r="E439" s="9"/>
    </row>
    <row r="440">
      <c r="C440" s="8"/>
      <c r="D440" s="9"/>
      <c r="E440" s="9"/>
    </row>
    <row r="441">
      <c r="C441" s="8"/>
      <c r="D441" s="9"/>
      <c r="E441" s="9"/>
    </row>
    <row r="442">
      <c r="C442" s="8"/>
      <c r="D442" s="9"/>
      <c r="E442" s="9"/>
    </row>
    <row r="443">
      <c r="C443" s="8"/>
      <c r="D443" s="9"/>
      <c r="E443" s="9"/>
    </row>
    <row r="444">
      <c r="C444" s="8"/>
      <c r="D444" s="9"/>
      <c r="E444" s="9"/>
    </row>
    <row r="445">
      <c r="C445" s="8"/>
      <c r="D445" s="9"/>
      <c r="E445" s="9"/>
    </row>
    <row r="446">
      <c r="C446" s="8"/>
      <c r="D446" s="9"/>
      <c r="E446" s="9"/>
    </row>
    <row r="447">
      <c r="C447" s="8"/>
      <c r="D447" s="9"/>
      <c r="E447" s="9"/>
    </row>
    <row r="448">
      <c r="C448" s="8"/>
      <c r="D448" s="9"/>
      <c r="E448" s="9"/>
    </row>
    <row r="449">
      <c r="C449" s="8"/>
      <c r="D449" s="9"/>
      <c r="E449" s="9"/>
    </row>
    <row r="450">
      <c r="C450" s="8"/>
      <c r="D450" s="9"/>
      <c r="E450" s="9"/>
    </row>
    <row r="451">
      <c r="C451" s="8"/>
      <c r="D451" s="9"/>
      <c r="E451" s="9"/>
    </row>
    <row r="452">
      <c r="C452" s="8"/>
      <c r="D452" s="9"/>
      <c r="E452" s="9"/>
    </row>
    <row r="453">
      <c r="C453" s="8"/>
      <c r="D453" s="9"/>
      <c r="E453" s="9"/>
    </row>
    <row r="454">
      <c r="C454" s="8"/>
      <c r="D454" s="9"/>
      <c r="E454" s="9"/>
    </row>
    <row r="455">
      <c r="C455" s="8"/>
      <c r="D455" s="9"/>
      <c r="E455" s="9"/>
    </row>
    <row r="456">
      <c r="C456" s="8"/>
      <c r="D456" s="9"/>
      <c r="E456" s="9"/>
    </row>
    <row r="457">
      <c r="C457" s="8"/>
      <c r="D457" s="9"/>
      <c r="E457" s="9"/>
    </row>
    <row r="458">
      <c r="C458" s="8"/>
      <c r="D458" s="9"/>
      <c r="E458" s="9"/>
    </row>
    <row r="459">
      <c r="C459" s="8"/>
      <c r="D459" s="9"/>
      <c r="E459" s="9"/>
    </row>
    <row r="460">
      <c r="C460" s="8"/>
      <c r="D460" s="9"/>
      <c r="E460" s="9"/>
    </row>
    <row r="461">
      <c r="C461" s="8"/>
      <c r="D461" s="9"/>
      <c r="E461" s="9"/>
    </row>
    <row r="462">
      <c r="C462" s="8"/>
      <c r="D462" s="9"/>
      <c r="E462" s="9"/>
    </row>
    <row r="463">
      <c r="C463" s="8"/>
      <c r="D463" s="9"/>
      <c r="E463" s="9"/>
    </row>
    <row r="464">
      <c r="C464" s="8"/>
      <c r="D464" s="9"/>
      <c r="E464" s="9"/>
    </row>
    <row r="465">
      <c r="C465" s="8"/>
      <c r="D465" s="9"/>
      <c r="E465" s="9"/>
    </row>
    <row r="466">
      <c r="C466" s="8"/>
      <c r="D466" s="9"/>
      <c r="E466" s="9"/>
    </row>
    <row r="467">
      <c r="C467" s="8"/>
      <c r="D467" s="9"/>
      <c r="E467" s="9"/>
    </row>
    <row r="468">
      <c r="C468" s="8"/>
      <c r="D468" s="9"/>
      <c r="E468" s="9"/>
    </row>
    <row r="469">
      <c r="C469" s="8"/>
      <c r="D469" s="9"/>
      <c r="E469" s="9"/>
    </row>
    <row r="470">
      <c r="C470" s="8"/>
      <c r="D470" s="9"/>
      <c r="E470" s="9"/>
    </row>
    <row r="471">
      <c r="C471" s="8"/>
      <c r="D471" s="9"/>
      <c r="E471" s="9"/>
    </row>
    <row r="472">
      <c r="C472" s="8"/>
      <c r="D472" s="9"/>
      <c r="E472" s="9"/>
    </row>
    <row r="473">
      <c r="C473" s="8"/>
      <c r="D473" s="9"/>
      <c r="E473" s="9"/>
    </row>
    <row r="474">
      <c r="C474" s="8"/>
      <c r="D474" s="9"/>
      <c r="E474" s="9"/>
    </row>
    <row r="475">
      <c r="C475" s="8"/>
      <c r="D475" s="9"/>
      <c r="E475" s="9"/>
    </row>
    <row r="476">
      <c r="C476" s="8"/>
      <c r="D476" s="9"/>
      <c r="E476" s="9"/>
    </row>
    <row r="477">
      <c r="C477" s="8"/>
      <c r="D477" s="9"/>
      <c r="E477" s="9"/>
    </row>
    <row r="478">
      <c r="C478" s="8"/>
      <c r="D478" s="9"/>
      <c r="E478" s="9"/>
    </row>
    <row r="479">
      <c r="C479" s="8"/>
      <c r="D479" s="9"/>
      <c r="E479" s="9"/>
    </row>
    <row r="480">
      <c r="C480" s="8"/>
      <c r="D480" s="9"/>
      <c r="E480" s="9"/>
    </row>
    <row r="481">
      <c r="C481" s="8"/>
      <c r="D481" s="9"/>
      <c r="E481" s="9"/>
    </row>
    <row r="482">
      <c r="C482" s="8"/>
      <c r="D482" s="9"/>
      <c r="E482" s="9"/>
    </row>
    <row r="483">
      <c r="C483" s="8"/>
      <c r="D483" s="9"/>
      <c r="E483" s="9"/>
    </row>
    <row r="484">
      <c r="C484" s="8"/>
      <c r="D484" s="9"/>
      <c r="E484" s="9"/>
    </row>
    <row r="485">
      <c r="C485" s="8"/>
      <c r="D485" s="9"/>
      <c r="E485" s="9"/>
    </row>
    <row r="486">
      <c r="C486" s="8"/>
      <c r="D486" s="9"/>
      <c r="E486" s="9"/>
    </row>
    <row r="487">
      <c r="C487" s="8"/>
      <c r="D487" s="9"/>
      <c r="E487" s="9"/>
    </row>
    <row r="488">
      <c r="C488" s="8"/>
      <c r="D488" s="9"/>
      <c r="E488" s="9"/>
    </row>
    <row r="489">
      <c r="C489" s="8"/>
      <c r="D489" s="9"/>
      <c r="E489" s="9"/>
    </row>
    <row r="490">
      <c r="C490" s="8"/>
      <c r="D490" s="9"/>
      <c r="E490" s="9"/>
    </row>
    <row r="491">
      <c r="C491" s="8"/>
      <c r="D491" s="9"/>
      <c r="E491" s="9"/>
    </row>
    <row r="492">
      <c r="C492" s="8"/>
      <c r="D492" s="9"/>
      <c r="E492" s="9"/>
    </row>
    <row r="493">
      <c r="C493" s="8"/>
      <c r="D493" s="9"/>
      <c r="E493" s="9"/>
    </row>
    <row r="494">
      <c r="C494" s="8"/>
      <c r="D494" s="9"/>
      <c r="E494" s="9"/>
    </row>
    <row r="495">
      <c r="C495" s="8"/>
      <c r="D495" s="9"/>
      <c r="E495" s="9"/>
    </row>
    <row r="496">
      <c r="C496" s="8"/>
      <c r="D496" s="9"/>
      <c r="E496" s="9"/>
    </row>
    <row r="497">
      <c r="C497" s="8"/>
      <c r="D497" s="9"/>
      <c r="E497" s="9"/>
    </row>
    <row r="498">
      <c r="C498" s="8"/>
      <c r="D498" s="9"/>
      <c r="E498" s="9"/>
    </row>
    <row r="499">
      <c r="C499" s="8"/>
      <c r="D499" s="9"/>
      <c r="E499" s="9"/>
    </row>
    <row r="500">
      <c r="C500" s="8"/>
      <c r="D500" s="9"/>
      <c r="E500" s="9"/>
    </row>
    <row r="501">
      <c r="C501" s="8"/>
      <c r="D501" s="9"/>
      <c r="E501" s="9"/>
    </row>
    <row r="502">
      <c r="C502" s="8"/>
      <c r="D502" s="9"/>
      <c r="E502" s="9"/>
    </row>
    <row r="503">
      <c r="C503" s="8"/>
      <c r="D503" s="9"/>
      <c r="E503" s="9"/>
    </row>
    <row r="504">
      <c r="C504" s="8"/>
      <c r="D504" s="9"/>
      <c r="E504" s="9"/>
    </row>
    <row r="505">
      <c r="C505" s="8"/>
      <c r="D505" s="9"/>
      <c r="E505" s="9"/>
    </row>
    <row r="506">
      <c r="C506" s="8"/>
      <c r="D506" s="9"/>
      <c r="E506" s="9"/>
    </row>
    <row r="507">
      <c r="C507" s="8"/>
      <c r="D507" s="9"/>
      <c r="E507" s="9"/>
    </row>
    <row r="508">
      <c r="C508" s="8"/>
      <c r="D508" s="9"/>
      <c r="E508" s="9"/>
    </row>
    <row r="509">
      <c r="C509" s="8"/>
      <c r="D509" s="9"/>
      <c r="E509" s="9"/>
    </row>
    <row r="510">
      <c r="C510" s="8"/>
      <c r="D510" s="9"/>
      <c r="E510" s="9"/>
    </row>
    <row r="511">
      <c r="C511" s="8"/>
      <c r="D511" s="9"/>
      <c r="E511" s="9"/>
    </row>
    <row r="512">
      <c r="C512" s="8"/>
      <c r="D512" s="9"/>
      <c r="E512" s="9"/>
    </row>
    <row r="513">
      <c r="C513" s="8"/>
      <c r="D513" s="9"/>
      <c r="E513" s="9"/>
    </row>
    <row r="514">
      <c r="C514" s="8"/>
      <c r="D514" s="9"/>
      <c r="E514" s="9"/>
    </row>
    <row r="515">
      <c r="C515" s="8"/>
      <c r="D515" s="9"/>
      <c r="E515" s="9"/>
    </row>
    <row r="516">
      <c r="C516" s="8"/>
      <c r="D516" s="9"/>
      <c r="E516" s="9"/>
    </row>
    <row r="517">
      <c r="C517" s="8"/>
      <c r="D517" s="9"/>
      <c r="E517" s="9"/>
    </row>
    <row r="518">
      <c r="C518" s="8"/>
      <c r="D518" s="9"/>
      <c r="E518" s="9"/>
    </row>
    <row r="519">
      <c r="C519" s="8"/>
      <c r="D519" s="9"/>
      <c r="E519" s="9"/>
    </row>
    <row r="520">
      <c r="C520" s="8"/>
      <c r="D520" s="9"/>
      <c r="E520" s="9"/>
    </row>
    <row r="521">
      <c r="C521" s="8"/>
      <c r="D521" s="9"/>
      <c r="E521" s="9"/>
    </row>
    <row r="522">
      <c r="C522" s="8"/>
      <c r="D522" s="9"/>
      <c r="E522" s="9"/>
    </row>
    <row r="523">
      <c r="C523" s="8"/>
      <c r="D523" s="9"/>
      <c r="E523" s="9"/>
    </row>
    <row r="524">
      <c r="C524" s="8"/>
      <c r="D524" s="9"/>
      <c r="E524" s="9"/>
    </row>
    <row r="525">
      <c r="C525" s="8"/>
      <c r="D525" s="9"/>
      <c r="E525" s="9"/>
    </row>
    <row r="526">
      <c r="C526" s="8"/>
      <c r="D526" s="9"/>
      <c r="E526" s="9"/>
    </row>
    <row r="527">
      <c r="C527" s="8"/>
      <c r="D527" s="9"/>
      <c r="E527" s="9"/>
    </row>
    <row r="528">
      <c r="C528" s="8"/>
      <c r="D528" s="9"/>
      <c r="E528" s="9"/>
    </row>
    <row r="529">
      <c r="C529" s="8"/>
      <c r="D529" s="9"/>
      <c r="E529" s="9"/>
    </row>
    <row r="530">
      <c r="C530" s="8"/>
      <c r="D530" s="9"/>
      <c r="E530" s="9"/>
    </row>
    <row r="531">
      <c r="C531" s="8"/>
      <c r="D531" s="9"/>
      <c r="E531" s="9"/>
    </row>
    <row r="532">
      <c r="C532" s="8"/>
      <c r="D532" s="9"/>
      <c r="E532" s="9"/>
    </row>
    <row r="533">
      <c r="C533" s="8"/>
      <c r="D533" s="9"/>
      <c r="E533" s="9"/>
    </row>
    <row r="534">
      <c r="C534" s="8"/>
      <c r="D534" s="9"/>
      <c r="E534" s="9"/>
    </row>
    <row r="535">
      <c r="C535" s="8"/>
      <c r="D535" s="9"/>
      <c r="E535" s="9"/>
    </row>
    <row r="536">
      <c r="C536" s="8"/>
      <c r="D536" s="9"/>
      <c r="E536" s="9"/>
    </row>
    <row r="537">
      <c r="C537" s="8"/>
      <c r="D537" s="9"/>
      <c r="E537" s="9"/>
    </row>
    <row r="538">
      <c r="C538" s="8"/>
      <c r="D538" s="9"/>
      <c r="E538" s="9"/>
    </row>
    <row r="539">
      <c r="C539" s="8"/>
      <c r="D539" s="9"/>
      <c r="E539" s="9"/>
    </row>
    <row r="540">
      <c r="C540" s="8"/>
      <c r="D540" s="9"/>
      <c r="E540" s="9"/>
    </row>
    <row r="541">
      <c r="C541" s="8"/>
      <c r="D541" s="9"/>
      <c r="E541" s="9"/>
    </row>
    <row r="542">
      <c r="C542" s="8"/>
      <c r="D542" s="9"/>
      <c r="E542" s="9"/>
    </row>
    <row r="543">
      <c r="C543" s="8"/>
      <c r="D543" s="9"/>
      <c r="E543" s="9"/>
    </row>
    <row r="544">
      <c r="C544" s="8"/>
      <c r="D544" s="9"/>
      <c r="E544" s="9"/>
    </row>
    <row r="545">
      <c r="C545" s="8"/>
      <c r="D545" s="9"/>
      <c r="E545" s="9"/>
    </row>
    <row r="546">
      <c r="C546" s="8"/>
      <c r="D546" s="9"/>
      <c r="E546" s="9"/>
    </row>
    <row r="547">
      <c r="C547" s="8"/>
      <c r="D547" s="9"/>
      <c r="E547" s="9"/>
    </row>
    <row r="548">
      <c r="C548" s="8"/>
      <c r="D548" s="9"/>
      <c r="E548" s="9"/>
    </row>
    <row r="549">
      <c r="C549" s="8"/>
      <c r="D549" s="9"/>
      <c r="E549" s="9"/>
    </row>
    <row r="550">
      <c r="C550" s="8"/>
      <c r="D550" s="9"/>
      <c r="E550" s="9"/>
    </row>
    <row r="551">
      <c r="C551" s="8"/>
      <c r="D551" s="9"/>
      <c r="E551" s="9"/>
    </row>
    <row r="552">
      <c r="C552" s="8"/>
      <c r="D552" s="9"/>
      <c r="E552" s="9"/>
    </row>
    <row r="553">
      <c r="C553" s="8"/>
      <c r="D553" s="9"/>
      <c r="E553" s="9"/>
    </row>
    <row r="554">
      <c r="C554" s="8"/>
      <c r="D554" s="9"/>
      <c r="E554" s="9"/>
    </row>
    <row r="555">
      <c r="C555" s="8"/>
      <c r="D555" s="9"/>
      <c r="E555" s="9"/>
    </row>
    <row r="556">
      <c r="C556" s="8"/>
      <c r="D556" s="9"/>
      <c r="E556" s="9"/>
    </row>
    <row r="557">
      <c r="C557" s="8"/>
      <c r="D557" s="9"/>
      <c r="E557" s="9"/>
    </row>
    <row r="558">
      <c r="C558" s="8"/>
      <c r="D558" s="9"/>
      <c r="E558" s="9"/>
    </row>
    <row r="559">
      <c r="C559" s="8"/>
      <c r="D559" s="9"/>
      <c r="E559" s="9"/>
    </row>
    <row r="560">
      <c r="C560" s="8"/>
      <c r="D560" s="9"/>
      <c r="E560" s="9"/>
    </row>
    <row r="561">
      <c r="C561" s="8"/>
      <c r="D561" s="9"/>
      <c r="E561" s="9"/>
    </row>
    <row r="562">
      <c r="C562" s="8"/>
      <c r="D562" s="9"/>
      <c r="E562" s="9"/>
    </row>
    <row r="563">
      <c r="C563" s="8"/>
      <c r="D563" s="9"/>
      <c r="E563" s="9"/>
    </row>
    <row r="564">
      <c r="C564" s="8"/>
      <c r="D564" s="9"/>
      <c r="E564" s="9"/>
    </row>
    <row r="565">
      <c r="C565" s="8"/>
      <c r="D565" s="9"/>
      <c r="E565" s="9"/>
    </row>
    <row r="566">
      <c r="C566" s="8"/>
      <c r="D566" s="9"/>
      <c r="E566" s="9"/>
    </row>
    <row r="567">
      <c r="C567" s="8"/>
      <c r="D567" s="9"/>
      <c r="E567" s="9"/>
    </row>
    <row r="568">
      <c r="C568" s="8"/>
      <c r="D568" s="9"/>
      <c r="E568" s="9"/>
    </row>
    <row r="569">
      <c r="C569" s="8"/>
      <c r="D569" s="9"/>
      <c r="E569" s="9"/>
    </row>
    <row r="570">
      <c r="C570" s="8"/>
      <c r="D570" s="9"/>
      <c r="E570" s="9"/>
    </row>
    <row r="571">
      <c r="C571" s="8"/>
      <c r="D571" s="9"/>
      <c r="E571" s="9"/>
    </row>
    <row r="572">
      <c r="C572" s="8"/>
      <c r="D572" s="9"/>
      <c r="E572" s="9"/>
    </row>
    <row r="573">
      <c r="C573" s="8"/>
      <c r="D573" s="9"/>
      <c r="E573" s="9"/>
    </row>
    <row r="574">
      <c r="C574" s="8"/>
      <c r="D574" s="9"/>
      <c r="E574" s="9"/>
    </row>
    <row r="575">
      <c r="C575" s="8"/>
      <c r="D575" s="9"/>
      <c r="E575" s="9"/>
    </row>
    <row r="576">
      <c r="C576" s="8"/>
      <c r="D576" s="9"/>
      <c r="E576" s="9"/>
    </row>
    <row r="577">
      <c r="C577" s="8"/>
      <c r="D577" s="9"/>
      <c r="E577" s="9"/>
    </row>
    <row r="578">
      <c r="C578" s="8"/>
      <c r="D578" s="9"/>
      <c r="E578" s="9"/>
    </row>
    <row r="579">
      <c r="C579" s="8"/>
      <c r="D579" s="9"/>
      <c r="E579" s="9"/>
    </row>
    <row r="580">
      <c r="C580" s="8"/>
      <c r="D580" s="9"/>
      <c r="E580" s="9"/>
    </row>
    <row r="581">
      <c r="C581" s="8"/>
      <c r="D581" s="9"/>
      <c r="E581" s="9"/>
    </row>
    <row r="582">
      <c r="C582" s="8"/>
      <c r="D582" s="9"/>
      <c r="E582" s="9"/>
    </row>
    <row r="583">
      <c r="C583" s="8"/>
      <c r="D583" s="9"/>
      <c r="E583" s="9"/>
    </row>
    <row r="584">
      <c r="C584" s="8"/>
      <c r="D584" s="9"/>
      <c r="E584" s="9"/>
    </row>
    <row r="585">
      <c r="C585" s="8"/>
      <c r="D585" s="9"/>
      <c r="E585" s="9"/>
    </row>
    <row r="586">
      <c r="C586" s="8"/>
      <c r="D586" s="9"/>
      <c r="E586" s="9"/>
    </row>
    <row r="587">
      <c r="C587" s="8"/>
      <c r="D587" s="9"/>
      <c r="E587" s="9"/>
    </row>
    <row r="588">
      <c r="C588" s="8"/>
      <c r="D588" s="9"/>
      <c r="E588" s="9"/>
    </row>
    <row r="589">
      <c r="C589" s="8"/>
      <c r="D589" s="9"/>
      <c r="E589" s="9"/>
    </row>
    <row r="590">
      <c r="C590" s="8"/>
      <c r="D590" s="9"/>
      <c r="E590" s="9"/>
    </row>
    <row r="591">
      <c r="C591" s="8"/>
      <c r="D591" s="9"/>
      <c r="E591" s="9"/>
    </row>
    <row r="592">
      <c r="C592" s="8"/>
      <c r="D592" s="9"/>
      <c r="E592" s="9"/>
    </row>
    <row r="593">
      <c r="C593" s="8"/>
      <c r="D593" s="9"/>
      <c r="E593" s="9"/>
    </row>
    <row r="594">
      <c r="C594" s="8"/>
      <c r="D594" s="9"/>
      <c r="E594" s="9"/>
    </row>
    <row r="595">
      <c r="C595" s="8"/>
      <c r="D595" s="9"/>
      <c r="E595" s="9"/>
    </row>
    <row r="596">
      <c r="C596" s="8"/>
      <c r="D596" s="9"/>
      <c r="E596" s="9"/>
    </row>
    <row r="597">
      <c r="C597" s="8"/>
      <c r="D597" s="9"/>
      <c r="E597" s="9"/>
    </row>
    <row r="598">
      <c r="C598" s="8"/>
      <c r="D598" s="9"/>
      <c r="E598" s="9"/>
    </row>
    <row r="599">
      <c r="C599" s="8"/>
      <c r="D599" s="9"/>
      <c r="E599" s="9"/>
    </row>
    <row r="600">
      <c r="C600" s="8"/>
      <c r="D600" s="9"/>
      <c r="E600" s="9"/>
    </row>
    <row r="601">
      <c r="C601" s="8"/>
      <c r="D601" s="9"/>
      <c r="E601" s="9"/>
    </row>
    <row r="602">
      <c r="C602" s="8"/>
      <c r="D602" s="9"/>
      <c r="E602" s="9"/>
    </row>
    <row r="603">
      <c r="C603" s="8"/>
      <c r="D603" s="9"/>
      <c r="E603" s="9"/>
    </row>
    <row r="604">
      <c r="C604" s="8"/>
      <c r="D604" s="9"/>
      <c r="E604" s="9"/>
    </row>
    <row r="605">
      <c r="C605" s="8"/>
      <c r="D605" s="9"/>
      <c r="E605" s="9"/>
    </row>
    <row r="606">
      <c r="C606" s="8"/>
      <c r="D606" s="9"/>
      <c r="E606" s="9"/>
    </row>
    <row r="607">
      <c r="C607" s="8"/>
      <c r="D607" s="9"/>
      <c r="E607" s="9"/>
    </row>
    <row r="608">
      <c r="C608" s="8"/>
      <c r="D608" s="9"/>
      <c r="E608" s="9"/>
    </row>
    <row r="609">
      <c r="C609" s="8"/>
      <c r="D609" s="9"/>
      <c r="E609" s="9"/>
    </row>
    <row r="610">
      <c r="C610" s="8"/>
      <c r="D610" s="9"/>
      <c r="E610" s="9"/>
    </row>
    <row r="611">
      <c r="C611" s="8"/>
      <c r="D611" s="9"/>
      <c r="E611" s="9"/>
    </row>
    <row r="612">
      <c r="C612" s="8"/>
      <c r="D612" s="9"/>
      <c r="E612" s="9"/>
    </row>
    <row r="613">
      <c r="C613" s="8"/>
      <c r="D613" s="9"/>
      <c r="E613" s="9"/>
    </row>
    <row r="614">
      <c r="C614" s="8"/>
      <c r="D614" s="9"/>
      <c r="E614" s="9"/>
    </row>
    <row r="615">
      <c r="C615" s="8"/>
      <c r="D615" s="9"/>
      <c r="E615" s="9"/>
    </row>
    <row r="616">
      <c r="C616" s="8"/>
      <c r="D616" s="9"/>
      <c r="E616" s="9"/>
    </row>
    <row r="617">
      <c r="C617" s="8"/>
      <c r="D617" s="9"/>
      <c r="E617" s="9"/>
    </row>
    <row r="618">
      <c r="C618" s="8"/>
      <c r="D618" s="9"/>
      <c r="E618" s="9"/>
    </row>
    <row r="619">
      <c r="C619" s="8"/>
      <c r="D619" s="9"/>
      <c r="E619" s="9"/>
    </row>
    <row r="620">
      <c r="C620" s="8"/>
      <c r="D620" s="9"/>
      <c r="E620" s="9"/>
    </row>
    <row r="621">
      <c r="C621" s="8"/>
      <c r="D621" s="9"/>
      <c r="E621" s="9"/>
    </row>
    <row r="622">
      <c r="C622" s="8"/>
      <c r="D622" s="9"/>
      <c r="E622" s="9"/>
    </row>
    <row r="623">
      <c r="C623" s="8"/>
      <c r="D623" s="9"/>
      <c r="E623" s="9"/>
    </row>
    <row r="624">
      <c r="C624" s="8"/>
      <c r="D624" s="9"/>
      <c r="E624" s="9"/>
    </row>
    <row r="625">
      <c r="C625" s="8"/>
      <c r="D625" s="9"/>
      <c r="E625" s="9"/>
    </row>
    <row r="626">
      <c r="C626" s="8"/>
      <c r="D626" s="9"/>
      <c r="E626" s="9"/>
    </row>
    <row r="627">
      <c r="C627" s="8"/>
      <c r="D627" s="9"/>
      <c r="E627" s="9"/>
    </row>
    <row r="628">
      <c r="C628" s="8"/>
      <c r="D628" s="9"/>
      <c r="E628" s="9"/>
    </row>
    <row r="629">
      <c r="C629" s="8"/>
      <c r="D629" s="9"/>
      <c r="E629" s="9"/>
    </row>
    <row r="630">
      <c r="C630" s="8"/>
      <c r="D630" s="9"/>
      <c r="E630" s="9"/>
    </row>
    <row r="631">
      <c r="C631" s="8"/>
      <c r="D631" s="9"/>
      <c r="E631" s="9"/>
    </row>
    <row r="632">
      <c r="C632" s="8"/>
      <c r="D632" s="9"/>
      <c r="E632" s="9"/>
    </row>
    <row r="633">
      <c r="C633" s="8"/>
      <c r="D633" s="9"/>
      <c r="E633" s="9"/>
    </row>
    <row r="634">
      <c r="C634" s="8"/>
      <c r="D634" s="9"/>
      <c r="E634" s="9"/>
    </row>
    <row r="635">
      <c r="C635" s="8"/>
      <c r="D635" s="9"/>
      <c r="E635" s="9"/>
    </row>
    <row r="636">
      <c r="C636" s="8"/>
      <c r="D636" s="9"/>
      <c r="E636" s="9"/>
    </row>
    <row r="637">
      <c r="C637" s="8"/>
      <c r="D637" s="9"/>
      <c r="E637" s="9"/>
    </row>
    <row r="638">
      <c r="C638" s="8"/>
      <c r="D638" s="9"/>
      <c r="E638" s="9"/>
    </row>
    <row r="639">
      <c r="C639" s="8"/>
      <c r="D639" s="9"/>
      <c r="E639" s="9"/>
    </row>
    <row r="640">
      <c r="C640" s="8"/>
      <c r="D640" s="9"/>
      <c r="E640" s="9"/>
    </row>
    <row r="641">
      <c r="C641" s="8"/>
      <c r="D641" s="9"/>
      <c r="E641" s="9"/>
    </row>
    <row r="642">
      <c r="C642" s="8"/>
      <c r="D642" s="9"/>
      <c r="E642" s="9"/>
    </row>
    <row r="643">
      <c r="C643" s="8"/>
      <c r="D643" s="9"/>
      <c r="E643" s="9"/>
    </row>
    <row r="644">
      <c r="C644" s="8"/>
      <c r="D644" s="9"/>
      <c r="E644" s="9"/>
    </row>
    <row r="645">
      <c r="C645" s="8"/>
      <c r="D645" s="9"/>
      <c r="E645" s="9"/>
    </row>
    <row r="646">
      <c r="C646" s="8"/>
      <c r="D646" s="9"/>
      <c r="E646" s="9"/>
    </row>
    <row r="647">
      <c r="C647" s="8"/>
      <c r="D647" s="9"/>
      <c r="E647" s="9"/>
    </row>
    <row r="648">
      <c r="C648" s="8"/>
      <c r="D648" s="9"/>
      <c r="E648" s="9"/>
    </row>
    <row r="649">
      <c r="C649" s="8"/>
      <c r="D649" s="9"/>
      <c r="E649" s="9"/>
    </row>
    <row r="650">
      <c r="C650" s="8"/>
      <c r="D650" s="9"/>
      <c r="E650" s="9"/>
    </row>
    <row r="651">
      <c r="C651" s="8"/>
      <c r="D651" s="9"/>
      <c r="E651" s="9"/>
    </row>
    <row r="652">
      <c r="C652" s="8"/>
      <c r="D652" s="9"/>
      <c r="E652" s="9"/>
    </row>
    <row r="653">
      <c r="C653" s="8"/>
      <c r="D653" s="9"/>
      <c r="E653" s="9"/>
    </row>
    <row r="654">
      <c r="C654" s="8"/>
      <c r="D654" s="9"/>
      <c r="E654" s="9"/>
    </row>
    <row r="655">
      <c r="C655" s="8"/>
      <c r="D655" s="9"/>
      <c r="E655" s="9"/>
    </row>
    <row r="656">
      <c r="C656" s="8"/>
      <c r="D656" s="9"/>
      <c r="E656" s="9"/>
    </row>
    <row r="657">
      <c r="C657" s="8"/>
      <c r="D657" s="9"/>
      <c r="E657" s="9"/>
    </row>
    <row r="658">
      <c r="C658" s="8"/>
      <c r="D658" s="9"/>
      <c r="E658" s="9"/>
    </row>
    <row r="659">
      <c r="C659" s="8"/>
      <c r="D659" s="9"/>
      <c r="E659" s="9"/>
    </row>
    <row r="660">
      <c r="C660" s="8"/>
      <c r="D660" s="9"/>
      <c r="E660" s="9"/>
    </row>
    <row r="661">
      <c r="C661" s="8"/>
      <c r="D661" s="9"/>
      <c r="E661" s="9"/>
    </row>
    <row r="662">
      <c r="C662" s="8"/>
      <c r="D662" s="9"/>
      <c r="E662" s="9"/>
    </row>
    <row r="663">
      <c r="C663" s="8"/>
      <c r="D663" s="9"/>
      <c r="E663" s="9"/>
    </row>
    <row r="664">
      <c r="C664" s="8"/>
      <c r="D664" s="9"/>
      <c r="E664" s="9"/>
    </row>
    <row r="665">
      <c r="C665" s="8"/>
      <c r="D665" s="9"/>
      <c r="E665" s="9"/>
    </row>
    <row r="666">
      <c r="C666" s="8"/>
      <c r="D666" s="9"/>
      <c r="E666" s="9"/>
    </row>
    <row r="667">
      <c r="C667" s="8"/>
      <c r="D667" s="9"/>
      <c r="E667" s="9"/>
    </row>
    <row r="668">
      <c r="C668" s="8"/>
      <c r="D668" s="9"/>
      <c r="E668" s="9"/>
    </row>
    <row r="669">
      <c r="C669" s="8"/>
      <c r="D669" s="9"/>
      <c r="E669" s="9"/>
    </row>
    <row r="670">
      <c r="C670" s="8"/>
      <c r="D670" s="9"/>
      <c r="E670" s="9"/>
    </row>
    <row r="671">
      <c r="C671" s="8"/>
      <c r="D671" s="9"/>
      <c r="E671" s="9"/>
    </row>
    <row r="672">
      <c r="C672" s="8"/>
      <c r="D672" s="9"/>
      <c r="E672" s="9"/>
    </row>
    <row r="673">
      <c r="C673" s="8"/>
      <c r="D673" s="9"/>
      <c r="E673" s="9"/>
    </row>
    <row r="674">
      <c r="C674" s="8"/>
      <c r="D674" s="9"/>
      <c r="E674" s="9"/>
    </row>
    <row r="675">
      <c r="C675" s="8"/>
      <c r="D675" s="9"/>
      <c r="E675" s="9"/>
    </row>
    <row r="676">
      <c r="C676" s="8"/>
      <c r="D676" s="9"/>
      <c r="E676" s="9"/>
    </row>
    <row r="677">
      <c r="C677" s="8"/>
      <c r="D677" s="9"/>
      <c r="E677" s="9"/>
    </row>
    <row r="678">
      <c r="C678" s="8"/>
      <c r="D678" s="9"/>
      <c r="E678" s="9"/>
    </row>
    <row r="679">
      <c r="C679" s="8"/>
      <c r="D679" s="9"/>
      <c r="E679" s="9"/>
    </row>
    <row r="680">
      <c r="C680" s="8"/>
      <c r="D680" s="9"/>
      <c r="E680" s="9"/>
    </row>
    <row r="681">
      <c r="C681" s="8"/>
      <c r="D681" s="9"/>
      <c r="E681" s="9"/>
    </row>
    <row r="682">
      <c r="C682" s="8"/>
      <c r="D682" s="9"/>
      <c r="E682" s="9"/>
    </row>
    <row r="683">
      <c r="C683" s="8"/>
      <c r="D683" s="9"/>
      <c r="E683" s="9"/>
    </row>
    <row r="684">
      <c r="C684" s="8"/>
      <c r="D684" s="9"/>
      <c r="E684" s="9"/>
    </row>
    <row r="685">
      <c r="C685" s="8"/>
      <c r="D685" s="9"/>
      <c r="E685" s="9"/>
    </row>
    <row r="686">
      <c r="C686" s="8"/>
      <c r="D686" s="9"/>
      <c r="E686" s="9"/>
    </row>
    <row r="687">
      <c r="C687" s="8"/>
      <c r="D687" s="9"/>
      <c r="E687" s="9"/>
    </row>
    <row r="688">
      <c r="C688" s="8"/>
      <c r="D688" s="9"/>
      <c r="E688" s="9"/>
    </row>
    <row r="689">
      <c r="C689" s="8"/>
      <c r="D689" s="9"/>
      <c r="E689" s="9"/>
    </row>
    <row r="690">
      <c r="C690" s="8"/>
      <c r="D690" s="9"/>
      <c r="E690" s="9"/>
    </row>
    <row r="691">
      <c r="C691" s="8"/>
      <c r="D691" s="9"/>
      <c r="E691" s="9"/>
    </row>
    <row r="692">
      <c r="C692" s="8"/>
      <c r="D692" s="9"/>
      <c r="E692" s="9"/>
    </row>
    <row r="693">
      <c r="C693" s="8"/>
      <c r="D693" s="9"/>
      <c r="E693" s="9"/>
    </row>
    <row r="694">
      <c r="C694" s="8"/>
      <c r="D694" s="9"/>
      <c r="E694" s="9"/>
    </row>
    <row r="695">
      <c r="C695" s="8"/>
      <c r="D695" s="9"/>
      <c r="E695" s="9"/>
    </row>
    <row r="696">
      <c r="C696" s="8"/>
      <c r="D696" s="9"/>
      <c r="E696" s="9"/>
    </row>
    <row r="697">
      <c r="C697" s="8"/>
      <c r="D697" s="9"/>
      <c r="E697" s="9"/>
    </row>
    <row r="698">
      <c r="C698" s="8"/>
      <c r="D698" s="9"/>
      <c r="E698" s="9"/>
    </row>
    <row r="699">
      <c r="C699" s="8"/>
      <c r="D699" s="9"/>
      <c r="E699" s="9"/>
    </row>
    <row r="700">
      <c r="C700" s="8"/>
      <c r="D700" s="9"/>
      <c r="E700" s="9"/>
    </row>
    <row r="701">
      <c r="C701" s="8"/>
      <c r="D701" s="9"/>
      <c r="E701" s="9"/>
    </row>
    <row r="702">
      <c r="C702" s="8"/>
      <c r="D702" s="9"/>
      <c r="E702" s="9"/>
    </row>
    <row r="703">
      <c r="C703" s="8"/>
      <c r="D703" s="9"/>
      <c r="E703" s="9"/>
    </row>
    <row r="704">
      <c r="C704" s="8"/>
      <c r="D704" s="9"/>
      <c r="E704" s="9"/>
    </row>
    <row r="705">
      <c r="C705" s="8"/>
      <c r="D705" s="9"/>
      <c r="E705" s="9"/>
    </row>
    <row r="706">
      <c r="C706" s="8"/>
      <c r="D706" s="9"/>
      <c r="E706" s="9"/>
    </row>
    <row r="707">
      <c r="C707" s="8"/>
      <c r="D707" s="9"/>
      <c r="E707" s="9"/>
    </row>
    <row r="708">
      <c r="C708" s="8"/>
      <c r="D708" s="9"/>
      <c r="E708" s="9"/>
    </row>
    <row r="709">
      <c r="C709" s="8"/>
      <c r="D709" s="9"/>
      <c r="E709" s="9"/>
    </row>
    <row r="710">
      <c r="C710" s="8"/>
      <c r="D710" s="9"/>
      <c r="E710" s="9"/>
    </row>
    <row r="711">
      <c r="C711" s="8"/>
      <c r="D711" s="9"/>
      <c r="E711" s="9"/>
    </row>
    <row r="712">
      <c r="C712" s="8"/>
      <c r="D712" s="9"/>
      <c r="E712" s="9"/>
    </row>
    <row r="713">
      <c r="C713" s="8"/>
      <c r="D713" s="9"/>
      <c r="E713" s="9"/>
    </row>
    <row r="714">
      <c r="C714" s="8"/>
      <c r="D714" s="9"/>
      <c r="E714" s="9"/>
    </row>
    <row r="715">
      <c r="C715" s="8"/>
      <c r="D715" s="9"/>
      <c r="E715" s="9"/>
    </row>
    <row r="716">
      <c r="C716" s="8"/>
      <c r="D716" s="9"/>
      <c r="E716" s="9"/>
    </row>
    <row r="717">
      <c r="C717" s="8"/>
      <c r="D717" s="9"/>
      <c r="E717" s="9"/>
    </row>
    <row r="718">
      <c r="C718" s="8"/>
      <c r="D718" s="9"/>
      <c r="E718" s="9"/>
    </row>
    <row r="719">
      <c r="C719" s="8"/>
      <c r="D719" s="9"/>
      <c r="E719" s="9"/>
    </row>
    <row r="720">
      <c r="C720" s="8"/>
      <c r="D720" s="9"/>
      <c r="E720" s="9"/>
    </row>
    <row r="721">
      <c r="C721" s="8"/>
      <c r="D721" s="9"/>
      <c r="E721" s="9"/>
    </row>
    <row r="722">
      <c r="C722" s="8"/>
      <c r="D722" s="9"/>
      <c r="E722" s="9"/>
    </row>
    <row r="723">
      <c r="C723" s="8"/>
      <c r="D723" s="9"/>
      <c r="E723" s="9"/>
    </row>
    <row r="724">
      <c r="C724" s="8"/>
      <c r="D724" s="9"/>
      <c r="E724" s="9"/>
    </row>
    <row r="725">
      <c r="C725" s="8"/>
      <c r="D725" s="9"/>
      <c r="E725" s="9"/>
    </row>
    <row r="726">
      <c r="C726" s="8"/>
      <c r="D726" s="9"/>
      <c r="E726" s="9"/>
    </row>
    <row r="727">
      <c r="C727" s="8"/>
      <c r="D727" s="9"/>
      <c r="E727" s="9"/>
    </row>
    <row r="728">
      <c r="C728" s="8"/>
      <c r="D728" s="9"/>
      <c r="E728" s="9"/>
    </row>
    <row r="729">
      <c r="C729" s="8"/>
      <c r="D729" s="9"/>
      <c r="E729" s="9"/>
    </row>
    <row r="730">
      <c r="C730" s="8"/>
      <c r="D730" s="9"/>
      <c r="E730" s="9"/>
    </row>
    <row r="731">
      <c r="C731" s="8"/>
      <c r="D731" s="9"/>
      <c r="E731" s="9"/>
    </row>
    <row r="732">
      <c r="C732" s="8"/>
      <c r="D732" s="9"/>
      <c r="E732" s="9"/>
    </row>
    <row r="733">
      <c r="C733" s="8"/>
      <c r="D733" s="9"/>
      <c r="E733" s="9"/>
    </row>
    <row r="734">
      <c r="C734" s="8"/>
      <c r="D734" s="9"/>
      <c r="E734" s="9"/>
    </row>
    <row r="735">
      <c r="C735" s="8"/>
      <c r="D735" s="9"/>
      <c r="E735" s="9"/>
    </row>
    <row r="736">
      <c r="C736" s="8"/>
      <c r="D736" s="9"/>
      <c r="E736" s="9"/>
    </row>
    <row r="737">
      <c r="C737" s="8"/>
      <c r="D737" s="9"/>
      <c r="E737" s="9"/>
    </row>
    <row r="738">
      <c r="C738" s="8"/>
      <c r="D738" s="9"/>
      <c r="E738" s="9"/>
    </row>
    <row r="739">
      <c r="C739" s="8"/>
      <c r="D739" s="9"/>
      <c r="E739" s="9"/>
    </row>
    <row r="740">
      <c r="C740" s="8"/>
      <c r="D740" s="9"/>
      <c r="E740" s="9"/>
    </row>
    <row r="741">
      <c r="C741" s="8"/>
      <c r="D741" s="9"/>
      <c r="E741" s="9"/>
    </row>
    <row r="742">
      <c r="C742" s="8"/>
      <c r="D742" s="9"/>
      <c r="E742" s="9"/>
    </row>
    <row r="743">
      <c r="C743" s="8"/>
      <c r="D743" s="9"/>
      <c r="E743" s="9"/>
    </row>
    <row r="744">
      <c r="C744" s="8"/>
      <c r="D744" s="9"/>
      <c r="E744" s="9"/>
    </row>
    <row r="745">
      <c r="C745" s="8"/>
      <c r="D745" s="9"/>
      <c r="E745" s="9"/>
    </row>
    <row r="746">
      <c r="C746" s="8"/>
      <c r="D746" s="9"/>
      <c r="E746" s="9"/>
    </row>
    <row r="747">
      <c r="C747" s="8"/>
      <c r="D747" s="9"/>
      <c r="E747" s="9"/>
    </row>
    <row r="748">
      <c r="C748" s="8"/>
      <c r="D748" s="9"/>
      <c r="E748" s="9"/>
    </row>
    <row r="749">
      <c r="C749" s="8"/>
      <c r="D749" s="9"/>
      <c r="E749" s="9"/>
    </row>
    <row r="750">
      <c r="C750" s="8"/>
      <c r="D750" s="9"/>
      <c r="E750" s="9"/>
    </row>
    <row r="751">
      <c r="C751" s="8"/>
      <c r="D751" s="9"/>
      <c r="E751" s="9"/>
    </row>
    <row r="752">
      <c r="C752" s="8"/>
      <c r="D752" s="9"/>
      <c r="E752" s="9"/>
    </row>
    <row r="753">
      <c r="C753" s="8"/>
      <c r="D753" s="9"/>
      <c r="E753" s="9"/>
    </row>
    <row r="754">
      <c r="C754" s="8"/>
      <c r="D754" s="9"/>
      <c r="E754" s="9"/>
    </row>
    <row r="755">
      <c r="C755" s="8"/>
      <c r="D755" s="9"/>
      <c r="E755" s="9"/>
    </row>
    <row r="756">
      <c r="C756" s="8"/>
      <c r="D756" s="9"/>
      <c r="E756" s="9"/>
    </row>
    <row r="757">
      <c r="C757" s="8"/>
      <c r="D757" s="9"/>
      <c r="E757" s="9"/>
    </row>
    <row r="758">
      <c r="C758" s="8"/>
      <c r="D758" s="9"/>
      <c r="E758" s="9"/>
    </row>
    <row r="759">
      <c r="C759" s="8"/>
      <c r="D759" s="9"/>
      <c r="E759" s="9"/>
    </row>
    <row r="760">
      <c r="C760" s="8"/>
      <c r="D760" s="9"/>
      <c r="E760" s="9"/>
    </row>
    <row r="761">
      <c r="C761" s="8"/>
      <c r="D761" s="9"/>
      <c r="E761" s="9"/>
    </row>
    <row r="762">
      <c r="C762" s="8"/>
      <c r="D762" s="9"/>
      <c r="E762" s="9"/>
    </row>
    <row r="763">
      <c r="C763" s="8"/>
      <c r="D763" s="9"/>
      <c r="E763" s="9"/>
    </row>
    <row r="764">
      <c r="C764" s="8"/>
      <c r="D764" s="9"/>
      <c r="E764" s="9"/>
    </row>
    <row r="765">
      <c r="C765" s="8"/>
      <c r="D765" s="9"/>
      <c r="E765" s="9"/>
    </row>
    <row r="766">
      <c r="C766" s="8"/>
      <c r="D766" s="9"/>
      <c r="E766" s="9"/>
    </row>
    <row r="767">
      <c r="C767" s="8"/>
      <c r="D767" s="9"/>
      <c r="E767" s="9"/>
    </row>
    <row r="768">
      <c r="C768" s="8"/>
      <c r="D768" s="9"/>
      <c r="E768" s="9"/>
    </row>
    <row r="769">
      <c r="C769" s="8"/>
      <c r="D769" s="9"/>
      <c r="E769" s="9"/>
    </row>
    <row r="770">
      <c r="C770" s="8"/>
      <c r="D770" s="9"/>
      <c r="E770" s="9"/>
    </row>
    <row r="771">
      <c r="C771" s="8"/>
      <c r="D771" s="9"/>
      <c r="E771" s="9"/>
    </row>
    <row r="772">
      <c r="C772" s="8"/>
      <c r="D772" s="9"/>
      <c r="E772" s="9"/>
    </row>
    <row r="773">
      <c r="C773" s="8"/>
      <c r="D773" s="9"/>
      <c r="E773" s="9"/>
    </row>
    <row r="774">
      <c r="C774" s="8"/>
      <c r="D774" s="9"/>
      <c r="E774" s="9"/>
    </row>
    <row r="775">
      <c r="C775" s="8"/>
      <c r="D775" s="9"/>
      <c r="E775" s="9"/>
    </row>
    <row r="776">
      <c r="C776" s="8"/>
      <c r="D776" s="9"/>
      <c r="E776" s="9"/>
    </row>
    <row r="777">
      <c r="C777" s="8"/>
      <c r="D777" s="9"/>
      <c r="E777" s="9"/>
    </row>
    <row r="778">
      <c r="C778" s="8"/>
      <c r="D778" s="9"/>
      <c r="E778" s="9"/>
    </row>
    <row r="779">
      <c r="C779" s="8"/>
      <c r="D779" s="9"/>
      <c r="E779" s="9"/>
    </row>
    <row r="780">
      <c r="C780" s="8"/>
      <c r="D780" s="9"/>
      <c r="E780" s="9"/>
    </row>
    <row r="781">
      <c r="C781" s="8"/>
      <c r="D781" s="9"/>
      <c r="E781" s="9"/>
    </row>
    <row r="782">
      <c r="C782" s="8"/>
      <c r="D782" s="9"/>
      <c r="E782" s="9"/>
    </row>
    <row r="783">
      <c r="C783" s="8"/>
      <c r="D783" s="9"/>
      <c r="E783" s="9"/>
    </row>
    <row r="784">
      <c r="C784" s="8"/>
      <c r="D784" s="9"/>
      <c r="E784" s="9"/>
    </row>
    <row r="785">
      <c r="C785" s="8"/>
      <c r="D785" s="9"/>
      <c r="E785" s="9"/>
    </row>
    <row r="786">
      <c r="C786" s="8"/>
      <c r="D786" s="9"/>
      <c r="E786" s="9"/>
    </row>
    <row r="787">
      <c r="C787" s="8"/>
      <c r="D787" s="9"/>
      <c r="E787" s="9"/>
    </row>
    <row r="788">
      <c r="C788" s="8"/>
      <c r="D788" s="9"/>
      <c r="E788" s="9"/>
    </row>
    <row r="789">
      <c r="C789" s="8"/>
      <c r="D789" s="9"/>
      <c r="E789" s="9"/>
    </row>
    <row r="790">
      <c r="C790" s="8"/>
      <c r="D790" s="9"/>
      <c r="E790" s="9"/>
    </row>
    <row r="791">
      <c r="C791" s="8"/>
      <c r="D791" s="9"/>
      <c r="E791" s="9"/>
    </row>
    <row r="792">
      <c r="C792" s="8"/>
      <c r="D792" s="9"/>
      <c r="E792" s="9"/>
    </row>
    <row r="793">
      <c r="C793" s="8"/>
      <c r="D793" s="9"/>
      <c r="E793" s="9"/>
    </row>
    <row r="794">
      <c r="C794" s="8"/>
      <c r="D794" s="9"/>
      <c r="E794" s="9"/>
    </row>
    <row r="795">
      <c r="C795" s="8"/>
      <c r="D795" s="9"/>
      <c r="E795" s="9"/>
    </row>
    <row r="796">
      <c r="C796" s="8"/>
      <c r="D796" s="9"/>
      <c r="E796" s="9"/>
    </row>
    <row r="797">
      <c r="C797" s="8"/>
      <c r="D797" s="9"/>
      <c r="E797" s="9"/>
    </row>
    <row r="798">
      <c r="C798" s="8"/>
      <c r="D798" s="9"/>
      <c r="E798" s="9"/>
    </row>
    <row r="799">
      <c r="C799" s="8"/>
      <c r="D799" s="9"/>
      <c r="E799" s="9"/>
    </row>
    <row r="800">
      <c r="C800" s="8"/>
      <c r="D800" s="9"/>
      <c r="E800" s="9"/>
    </row>
    <row r="801">
      <c r="C801" s="8"/>
      <c r="D801" s="9"/>
      <c r="E801" s="9"/>
    </row>
    <row r="802">
      <c r="C802" s="8"/>
      <c r="D802" s="9"/>
      <c r="E802" s="9"/>
    </row>
    <row r="803">
      <c r="C803" s="8"/>
      <c r="D803" s="9"/>
      <c r="E803" s="9"/>
    </row>
    <row r="804">
      <c r="C804" s="8"/>
      <c r="D804" s="9"/>
      <c r="E804" s="9"/>
    </row>
    <row r="805">
      <c r="C805" s="8"/>
      <c r="D805" s="9"/>
      <c r="E805" s="9"/>
    </row>
    <row r="806">
      <c r="C806" s="8"/>
      <c r="D806" s="9"/>
      <c r="E806" s="9"/>
    </row>
    <row r="807">
      <c r="C807" s="8"/>
      <c r="D807" s="9"/>
      <c r="E807" s="9"/>
    </row>
    <row r="808">
      <c r="C808" s="8"/>
      <c r="D808" s="9"/>
      <c r="E808" s="9"/>
    </row>
    <row r="809">
      <c r="C809" s="8"/>
      <c r="D809" s="9"/>
      <c r="E809" s="9"/>
    </row>
    <row r="810">
      <c r="C810" s="8"/>
      <c r="D810" s="9"/>
      <c r="E810" s="9"/>
    </row>
    <row r="811">
      <c r="C811" s="8"/>
      <c r="D811" s="9"/>
      <c r="E811" s="9"/>
    </row>
    <row r="812">
      <c r="C812" s="8"/>
      <c r="D812" s="9"/>
      <c r="E812" s="9"/>
    </row>
    <row r="813">
      <c r="C813" s="8"/>
      <c r="D813" s="9"/>
      <c r="E813" s="9"/>
    </row>
    <row r="814">
      <c r="C814" s="8"/>
      <c r="D814" s="9"/>
      <c r="E814" s="9"/>
    </row>
    <row r="815">
      <c r="C815" s="8"/>
      <c r="D815" s="9"/>
      <c r="E815" s="9"/>
    </row>
    <row r="816">
      <c r="C816" s="8"/>
      <c r="D816" s="9"/>
      <c r="E816" s="9"/>
    </row>
    <row r="817">
      <c r="C817" s="8"/>
      <c r="D817" s="9"/>
      <c r="E817" s="9"/>
    </row>
    <row r="818">
      <c r="C818" s="8"/>
      <c r="D818" s="9"/>
      <c r="E818" s="9"/>
    </row>
    <row r="819">
      <c r="C819" s="8"/>
      <c r="D819" s="9"/>
      <c r="E819" s="9"/>
    </row>
    <row r="820">
      <c r="C820" s="8"/>
      <c r="D820" s="9"/>
      <c r="E820" s="9"/>
    </row>
    <row r="821">
      <c r="C821" s="8"/>
      <c r="D821" s="9"/>
      <c r="E821" s="9"/>
    </row>
    <row r="822">
      <c r="C822" s="8"/>
      <c r="D822" s="9"/>
      <c r="E822" s="9"/>
    </row>
    <row r="823">
      <c r="C823" s="8"/>
      <c r="D823" s="9"/>
      <c r="E823" s="9"/>
    </row>
    <row r="824">
      <c r="C824" s="8"/>
      <c r="D824" s="9"/>
      <c r="E824" s="9"/>
    </row>
    <row r="825">
      <c r="C825" s="8"/>
      <c r="D825" s="9"/>
      <c r="E825" s="9"/>
    </row>
    <row r="826">
      <c r="C826" s="8"/>
      <c r="D826" s="9"/>
      <c r="E826" s="9"/>
    </row>
    <row r="827">
      <c r="C827" s="8"/>
      <c r="D827" s="9"/>
      <c r="E827" s="9"/>
    </row>
    <row r="828">
      <c r="C828" s="8"/>
      <c r="D828" s="9"/>
      <c r="E828" s="9"/>
    </row>
    <row r="829">
      <c r="C829" s="8"/>
      <c r="D829" s="9"/>
      <c r="E829" s="9"/>
    </row>
    <row r="830">
      <c r="C830" s="8"/>
      <c r="D830" s="9"/>
      <c r="E830" s="9"/>
    </row>
    <row r="831">
      <c r="C831" s="8"/>
      <c r="D831" s="9"/>
      <c r="E831" s="9"/>
    </row>
    <row r="832">
      <c r="C832" s="8"/>
      <c r="D832" s="9"/>
      <c r="E832" s="9"/>
    </row>
    <row r="833">
      <c r="C833" s="8"/>
      <c r="D833" s="9"/>
      <c r="E833" s="9"/>
    </row>
    <row r="834">
      <c r="C834" s="8"/>
      <c r="D834" s="9"/>
      <c r="E834" s="9"/>
    </row>
    <row r="835">
      <c r="C835" s="8"/>
      <c r="D835" s="9"/>
      <c r="E835" s="9"/>
    </row>
    <row r="836">
      <c r="C836" s="8"/>
      <c r="D836" s="9"/>
      <c r="E836" s="9"/>
    </row>
    <row r="837">
      <c r="C837" s="8"/>
      <c r="D837" s="9"/>
      <c r="E837" s="9"/>
    </row>
    <row r="838">
      <c r="C838" s="8"/>
      <c r="D838" s="9"/>
      <c r="E838" s="9"/>
    </row>
    <row r="839">
      <c r="C839" s="8"/>
      <c r="D839" s="9"/>
      <c r="E839" s="9"/>
    </row>
    <row r="840">
      <c r="C840" s="8"/>
      <c r="D840" s="9"/>
      <c r="E840" s="9"/>
    </row>
    <row r="841">
      <c r="C841" s="8"/>
      <c r="D841" s="9"/>
      <c r="E841" s="9"/>
    </row>
    <row r="842">
      <c r="C842" s="8"/>
      <c r="D842" s="9"/>
      <c r="E842" s="9"/>
    </row>
    <row r="843">
      <c r="C843" s="8"/>
      <c r="D843" s="9"/>
      <c r="E843" s="9"/>
    </row>
    <row r="844">
      <c r="C844" s="8"/>
      <c r="D844" s="9"/>
      <c r="E844" s="9"/>
    </row>
    <row r="845">
      <c r="C845" s="8"/>
      <c r="D845" s="9"/>
      <c r="E845" s="9"/>
    </row>
    <row r="846">
      <c r="C846" s="8"/>
      <c r="D846" s="9"/>
      <c r="E846" s="9"/>
    </row>
    <row r="847">
      <c r="C847" s="8"/>
      <c r="D847" s="9"/>
      <c r="E847" s="9"/>
    </row>
    <row r="848">
      <c r="C848" s="8"/>
      <c r="D848" s="9"/>
      <c r="E848" s="9"/>
    </row>
    <row r="849">
      <c r="C849" s="8"/>
      <c r="D849" s="9"/>
      <c r="E849" s="9"/>
    </row>
    <row r="850">
      <c r="C850" s="8"/>
      <c r="D850" s="9"/>
      <c r="E850" s="9"/>
    </row>
    <row r="851">
      <c r="C851" s="8"/>
      <c r="D851" s="9"/>
      <c r="E851" s="9"/>
    </row>
    <row r="852">
      <c r="C852" s="8"/>
      <c r="D852" s="9"/>
      <c r="E852" s="9"/>
    </row>
    <row r="853">
      <c r="C853" s="8"/>
      <c r="D853" s="9"/>
      <c r="E853" s="9"/>
    </row>
    <row r="854">
      <c r="C854" s="8"/>
      <c r="D854" s="9"/>
      <c r="E854" s="9"/>
    </row>
    <row r="855">
      <c r="C855" s="8"/>
      <c r="D855" s="9"/>
      <c r="E855" s="9"/>
    </row>
    <row r="856">
      <c r="C856" s="8"/>
      <c r="D856" s="9"/>
      <c r="E856" s="9"/>
    </row>
    <row r="857">
      <c r="C857" s="8"/>
      <c r="D857" s="9"/>
      <c r="E857" s="9"/>
    </row>
    <row r="858">
      <c r="C858" s="8"/>
      <c r="D858" s="9"/>
      <c r="E858" s="9"/>
    </row>
    <row r="859">
      <c r="C859" s="8"/>
      <c r="D859" s="9"/>
      <c r="E859" s="9"/>
    </row>
    <row r="860">
      <c r="C860" s="8"/>
      <c r="D860" s="9"/>
      <c r="E860" s="9"/>
    </row>
    <row r="861">
      <c r="C861" s="8"/>
      <c r="D861" s="9"/>
      <c r="E861" s="9"/>
    </row>
    <row r="862">
      <c r="C862" s="8"/>
      <c r="D862" s="9"/>
      <c r="E862" s="9"/>
    </row>
    <row r="863">
      <c r="C863" s="8"/>
      <c r="D863" s="9"/>
      <c r="E863" s="9"/>
    </row>
    <row r="864">
      <c r="C864" s="8"/>
      <c r="D864" s="9"/>
      <c r="E864" s="9"/>
    </row>
    <row r="865">
      <c r="C865" s="8"/>
      <c r="D865" s="9"/>
      <c r="E865" s="9"/>
    </row>
    <row r="866">
      <c r="C866" s="8"/>
      <c r="D866" s="9"/>
      <c r="E866" s="9"/>
    </row>
    <row r="867">
      <c r="C867" s="8"/>
      <c r="D867" s="9"/>
      <c r="E867" s="9"/>
    </row>
    <row r="868">
      <c r="C868" s="8"/>
      <c r="D868" s="9"/>
      <c r="E868" s="9"/>
    </row>
    <row r="869">
      <c r="C869" s="8"/>
      <c r="D869" s="9"/>
      <c r="E869" s="9"/>
    </row>
    <row r="870">
      <c r="C870" s="8"/>
      <c r="D870" s="9"/>
      <c r="E870" s="9"/>
    </row>
    <row r="871">
      <c r="C871" s="8"/>
      <c r="D871" s="9"/>
      <c r="E871" s="9"/>
    </row>
    <row r="872">
      <c r="C872" s="8"/>
      <c r="D872" s="9"/>
      <c r="E872" s="9"/>
    </row>
    <row r="873">
      <c r="C873" s="8"/>
      <c r="D873" s="9"/>
      <c r="E873" s="9"/>
    </row>
    <row r="874">
      <c r="C874" s="8"/>
      <c r="D874" s="9"/>
      <c r="E874" s="9"/>
    </row>
    <row r="875">
      <c r="C875" s="8"/>
      <c r="D875" s="9"/>
      <c r="E875" s="9"/>
    </row>
    <row r="876">
      <c r="C876" s="8"/>
      <c r="D876" s="9"/>
      <c r="E876" s="9"/>
    </row>
    <row r="877">
      <c r="C877" s="8"/>
      <c r="D877" s="9"/>
      <c r="E877" s="9"/>
    </row>
    <row r="878">
      <c r="C878" s="8"/>
      <c r="D878" s="9"/>
      <c r="E878" s="9"/>
    </row>
    <row r="879">
      <c r="C879" s="8"/>
      <c r="D879" s="9"/>
      <c r="E879" s="9"/>
    </row>
    <row r="880">
      <c r="C880" s="8"/>
      <c r="D880" s="9"/>
      <c r="E880" s="9"/>
    </row>
    <row r="881">
      <c r="C881" s="8"/>
      <c r="D881" s="9"/>
      <c r="E881" s="9"/>
    </row>
    <row r="882">
      <c r="C882" s="8"/>
      <c r="D882" s="9"/>
      <c r="E882" s="9"/>
    </row>
    <row r="883">
      <c r="C883" s="8"/>
      <c r="D883" s="9"/>
      <c r="E883" s="9"/>
    </row>
    <row r="884">
      <c r="C884" s="8"/>
      <c r="D884" s="9"/>
      <c r="E884" s="9"/>
    </row>
    <row r="885">
      <c r="C885" s="8"/>
      <c r="D885" s="9"/>
      <c r="E885" s="9"/>
    </row>
    <row r="886">
      <c r="C886" s="8"/>
      <c r="D886" s="9"/>
      <c r="E886" s="9"/>
    </row>
    <row r="887">
      <c r="C887" s="8"/>
      <c r="D887" s="9"/>
      <c r="E887" s="9"/>
    </row>
    <row r="888">
      <c r="C888" s="8"/>
      <c r="D888" s="9"/>
      <c r="E888" s="9"/>
    </row>
    <row r="889">
      <c r="C889" s="8"/>
      <c r="D889" s="9"/>
      <c r="E889" s="9"/>
    </row>
    <row r="890">
      <c r="C890" s="8"/>
      <c r="D890" s="9"/>
      <c r="E890" s="9"/>
    </row>
    <row r="891">
      <c r="C891" s="8"/>
      <c r="D891" s="9"/>
      <c r="E891" s="9"/>
    </row>
    <row r="892">
      <c r="C892" s="8"/>
      <c r="D892" s="9"/>
      <c r="E892" s="9"/>
    </row>
    <row r="893">
      <c r="C893" s="8"/>
      <c r="D893" s="9"/>
      <c r="E893" s="9"/>
    </row>
    <row r="894">
      <c r="C894" s="8"/>
      <c r="D894" s="9"/>
      <c r="E894" s="9"/>
    </row>
    <row r="895">
      <c r="C895" s="8"/>
      <c r="D895" s="9"/>
      <c r="E895" s="9"/>
    </row>
    <row r="896">
      <c r="C896" s="8"/>
      <c r="D896" s="9"/>
      <c r="E896" s="9"/>
    </row>
    <row r="897">
      <c r="C897" s="8"/>
      <c r="D897" s="9"/>
      <c r="E897" s="9"/>
    </row>
    <row r="898">
      <c r="C898" s="8"/>
      <c r="D898" s="9"/>
      <c r="E898" s="9"/>
    </row>
    <row r="899">
      <c r="C899" s="8"/>
      <c r="D899" s="9"/>
      <c r="E899" s="9"/>
    </row>
    <row r="900">
      <c r="C900" s="8"/>
      <c r="D900" s="9"/>
      <c r="E900" s="9"/>
    </row>
    <row r="901">
      <c r="C901" s="8"/>
      <c r="D901" s="9"/>
      <c r="E901" s="9"/>
    </row>
    <row r="902">
      <c r="C902" s="8"/>
      <c r="D902" s="9"/>
      <c r="E902" s="9"/>
    </row>
    <row r="903">
      <c r="C903" s="8"/>
      <c r="D903" s="9"/>
      <c r="E903" s="9"/>
    </row>
    <row r="904">
      <c r="C904" s="8"/>
      <c r="D904" s="9"/>
      <c r="E904" s="9"/>
    </row>
    <row r="905">
      <c r="C905" s="8"/>
      <c r="D905" s="9"/>
      <c r="E905" s="9"/>
    </row>
    <row r="906">
      <c r="C906" s="8"/>
      <c r="D906" s="9"/>
      <c r="E906" s="9"/>
    </row>
    <row r="907">
      <c r="C907" s="8"/>
      <c r="D907" s="9"/>
      <c r="E907" s="9"/>
    </row>
    <row r="908">
      <c r="C908" s="8"/>
      <c r="D908" s="9"/>
      <c r="E908" s="9"/>
    </row>
    <row r="909">
      <c r="C909" s="8"/>
      <c r="D909" s="9"/>
      <c r="E909" s="9"/>
    </row>
    <row r="910">
      <c r="C910" s="8"/>
      <c r="D910" s="9"/>
      <c r="E910" s="9"/>
    </row>
    <row r="911">
      <c r="C911" s="8"/>
      <c r="D911" s="9"/>
      <c r="E911" s="9"/>
    </row>
    <row r="912">
      <c r="C912" s="8"/>
      <c r="D912" s="9"/>
      <c r="E912" s="9"/>
    </row>
    <row r="913">
      <c r="C913" s="8"/>
      <c r="D913" s="9"/>
      <c r="E913" s="9"/>
    </row>
    <row r="914">
      <c r="C914" s="8"/>
      <c r="D914" s="9"/>
      <c r="E914" s="9"/>
    </row>
    <row r="915">
      <c r="C915" s="8"/>
      <c r="D915" s="9"/>
      <c r="E915" s="9"/>
    </row>
    <row r="916">
      <c r="C916" s="8"/>
      <c r="D916" s="9"/>
      <c r="E916" s="9"/>
    </row>
    <row r="917">
      <c r="C917" s="8"/>
      <c r="D917" s="9"/>
      <c r="E917" s="9"/>
    </row>
    <row r="918">
      <c r="C918" s="8"/>
      <c r="D918" s="9"/>
      <c r="E918" s="9"/>
    </row>
    <row r="919">
      <c r="C919" s="8"/>
      <c r="D919" s="9"/>
      <c r="E919" s="9"/>
    </row>
    <row r="920">
      <c r="C920" s="8"/>
      <c r="D920" s="9"/>
      <c r="E920" s="9"/>
    </row>
    <row r="921">
      <c r="C921" s="8"/>
      <c r="D921" s="9"/>
      <c r="E921" s="9"/>
    </row>
    <row r="922">
      <c r="C922" s="8"/>
      <c r="D922" s="9"/>
      <c r="E922" s="9"/>
    </row>
    <row r="923">
      <c r="C923" s="8"/>
      <c r="D923" s="9"/>
      <c r="E923" s="9"/>
    </row>
    <row r="924">
      <c r="C924" s="8"/>
      <c r="D924" s="9"/>
      <c r="E924" s="9"/>
    </row>
    <row r="925">
      <c r="C925" s="8"/>
      <c r="D925" s="9"/>
      <c r="E925" s="9"/>
    </row>
    <row r="926">
      <c r="C926" s="8"/>
      <c r="D926" s="9"/>
      <c r="E926" s="9"/>
    </row>
    <row r="927">
      <c r="C927" s="8"/>
      <c r="D927" s="9"/>
      <c r="E927" s="9"/>
    </row>
    <row r="928">
      <c r="C928" s="8"/>
      <c r="D928" s="9"/>
      <c r="E928" s="9"/>
    </row>
    <row r="929">
      <c r="C929" s="8"/>
      <c r="D929" s="9"/>
      <c r="E929" s="9"/>
    </row>
    <row r="930">
      <c r="C930" s="8"/>
      <c r="D930" s="9"/>
      <c r="E930" s="9"/>
    </row>
    <row r="931">
      <c r="C931" s="8"/>
      <c r="D931" s="9"/>
      <c r="E931" s="9"/>
    </row>
    <row r="932">
      <c r="C932" s="8"/>
      <c r="D932" s="9"/>
      <c r="E932" s="9"/>
    </row>
    <row r="933">
      <c r="C933" s="8"/>
      <c r="D933" s="9"/>
      <c r="E933" s="9"/>
    </row>
    <row r="934">
      <c r="C934" s="8"/>
      <c r="D934" s="9"/>
      <c r="E934" s="9"/>
    </row>
    <row r="935">
      <c r="C935" s="8"/>
      <c r="D935" s="9"/>
      <c r="E935" s="9"/>
    </row>
    <row r="936">
      <c r="C936" s="8"/>
      <c r="D936" s="9"/>
      <c r="E936" s="9"/>
    </row>
    <row r="937">
      <c r="C937" s="8"/>
      <c r="D937" s="9"/>
      <c r="E937" s="9"/>
    </row>
    <row r="938">
      <c r="C938" s="8"/>
      <c r="D938" s="9"/>
      <c r="E938" s="9"/>
    </row>
    <row r="939">
      <c r="C939" s="8"/>
      <c r="D939" s="9"/>
      <c r="E939" s="9"/>
    </row>
    <row r="940">
      <c r="C940" s="8"/>
      <c r="D940" s="9"/>
      <c r="E940" s="9"/>
    </row>
    <row r="941">
      <c r="C941" s="8"/>
      <c r="D941" s="9"/>
      <c r="E941" s="9"/>
    </row>
    <row r="942">
      <c r="C942" s="8"/>
      <c r="D942" s="9"/>
      <c r="E942" s="9"/>
    </row>
    <row r="943">
      <c r="C943" s="8"/>
      <c r="D943" s="9"/>
      <c r="E943" s="9"/>
    </row>
    <row r="944">
      <c r="C944" s="8"/>
      <c r="D944" s="9"/>
      <c r="E944" s="9"/>
    </row>
    <row r="945">
      <c r="C945" s="8"/>
      <c r="D945" s="9"/>
      <c r="E945" s="9"/>
    </row>
    <row r="946">
      <c r="C946" s="8"/>
      <c r="D946" s="9"/>
      <c r="E946" s="9"/>
    </row>
    <row r="947">
      <c r="C947" s="8"/>
      <c r="D947" s="9"/>
      <c r="E947" s="9"/>
    </row>
    <row r="948">
      <c r="C948" s="8"/>
      <c r="D948" s="9"/>
      <c r="E948" s="9"/>
    </row>
    <row r="949">
      <c r="C949" s="8"/>
      <c r="D949" s="9"/>
      <c r="E949" s="9"/>
    </row>
    <row r="950">
      <c r="C950" s="8"/>
      <c r="D950" s="9"/>
      <c r="E950" s="9"/>
    </row>
    <row r="951">
      <c r="C951" s="8"/>
      <c r="D951" s="9"/>
      <c r="E951" s="9"/>
    </row>
    <row r="952">
      <c r="C952" s="8"/>
      <c r="D952" s="9"/>
      <c r="E952" s="9"/>
    </row>
    <row r="953">
      <c r="C953" s="8"/>
      <c r="D953" s="9"/>
      <c r="E953" s="9"/>
    </row>
    <row r="954">
      <c r="C954" s="8"/>
      <c r="D954" s="9"/>
      <c r="E954" s="9"/>
    </row>
    <row r="955">
      <c r="C955" s="8"/>
      <c r="D955" s="9"/>
      <c r="E955" s="9"/>
    </row>
    <row r="956">
      <c r="C956" s="8"/>
      <c r="D956" s="9"/>
      <c r="E956" s="9"/>
    </row>
    <row r="957">
      <c r="C957" s="8"/>
      <c r="D957" s="9"/>
      <c r="E957" s="9"/>
    </row>
    <row r="958">
      <c r="C958" s="8"/>
      <c r="D958" s="9"/>
      <c r="E958" s="9"/>
    </row>
    <row r="959">
      <c r="C959" s="8"/>
      <c r="D959" s="9"/>
      <c r="E959" s="9"/>
    </row>
    <row r="960">
      <c r="C960" s="8"/>
      <c r="D960" s="9"/>
      <c r="E960" s="9"/>
    </row>
    <row r="961">
      <c r="C961" s="8"/>
      <c r="D961" s="9"/>
      <c r="E961" s="9"/>
    </row>
    <row r="962">
      <c r="C962" s="8"/>
      <c r="D962" s="9"/>
      <c r="E962" s="9"/>
    </row>
    <row r="963">
      <c r="C963" s="8"/>
      <c r="D963" s="9"/>
      <c r="E963" s="9"/>
    </row>
    <row r="964">
      <c r="C964" s="8"/>
      <c r="D964" s="9"/>
      <c r="E964" s="9"/>
    </row>
    <row r="965">
      <c r="C965" s="8"/>
      <c r="D965" s="9"/>
      <c r="E965" s="9"/>
    </row>
    <row r="966">
      <c r="C966" s="8"/>
      <c r="D966" s="9"/>
      <c r="E966" s="9"/>
    </row>
    <row r="967">
      <c r="C967" s="8"/>
      <c r="D967" s="9"/>
      <c r="E967" s="9"/>
    </row>
    <row r="968">
      <c r="C968" s="8"/>
      <c r="D968" s="9"/>
      <c r="E968" s="9"/>
    </row>
    <row r="969">
      <c r="C969" s="8"/>
      <c r="D969" s="9"/>
      <c r="E969" s="9"/>
    </row>
    <row r="970">
      <c r="C970" s="8"/>
      <c r="D970" s="9"/>
      <c r="E970" s="9"/>
    </row>
    <row r="971">
      <c r="C971" s="8"/>
      <c r="D971" s="9"/>
      <c r="E971" s="9"/>
    </row>
    <row r="972">
      <c r="C972" s="8"/>
      <c r="D972" s="9"/>
      <c r="E972" s="9"/>
    </row>
    <row r="973">
      <c r="C973" s="8"/>
      <c r="D973" s="9"/>
      <c r="E973" s="9"/>
    </row>
    <row r="974">
      <c r="C974" s="8"/>
      <c r="D974" s="9"/>
      <c r="E974" s="9"/>
    </row>
    <row r="975">
      <c r="C975" s="8"/>
      <c r="D975" s="9"/>
      <c r="E975" s="9"/>
    </row>
    <row r="976">
      <c r="C976" s="8"/>
      <c r="D976" s="9"/>
      <c r="E976" s="9"/>
    </row>
    <row r="977">
      <c r="C977" s="8"/>
      <c r="D977" s="9"/>
      <c r="E977" s="9"/>
    </row>
    <row r="978">
      <c r="C978" s="8"/>
      <c r="D978" s="9"/>
      <c r="E978" s="9"/>
    </row>
    <row r="979">
      <c r="C979" s="8"/>
      <c r="D979" s="9"/>
      <c r="E979" s="9"/>
    </row>
    <row r="980">
      <c r="C980" s="8"/>
      <c r="D980" s="9"/>
      <c r="E980" s="9"/>
    </row>
    <row r="981">
      <c r="C981" s="8"/>
      <c r="D981" s="9"/>
      <c r="E981" s="9"/>
    </row>
    <row r="982">
      <c r="C982" s="8"/>
      <c r="D982" s="9"/>
      <c r="E982" s="9"/>
    </row>
    <row r="983">
      <c r="C983" s="8"/>
      <c r="D983" s="9"/>
      <c r="E983" s="9"/>
    </row>
    <row r="984">
      <c r="C984" s="8"/>
      <c r="D984" s="9"/>
      <c r="E984" s="9"/>
    </row>
    <row r="985">
      <c r="C985" s="8"/>
      <c r="D985" s="9"/>
      <c r="E985" s="9"/>
    </row>
    <row r="986">
      <c r="C986" s="8"/>
      <c r="D986" s="9"/>
      <c r="E986" s="9"/>
    </row>
    <row r="987">
      <c r="C987" s="8"/>
      <c r="D987" s="9"/>
      <c r="E987" s="9"/>
    </row>
    <row r="988">
      <c r="C988" s="8"/>
      <c r="D988" s="9"/>
      <c r="E988" s="9"/>
    </row>
    <row r="989">
      <c r="C989" s="8"/>
      <c r="D989" s="9"/>
      <c r="E989" s="9"/>
    </row>
    <row r="990">
      <c r="C990" s="8"/>
      <c r="D990" s="9"/>
      <c r="E990" s="9"/>
    </row>
    <row r="991">
      <c r="C991" s="8"/>
      <c r="D991" s="9"/>
      <c r="E991" s="9"/>
    </row>
    <row r="992">
      <c r="C992" s="8"/>
      <c r="D992" s="9"/>
      <c r="E992" s="9"/>
    </row>
    <row r="993">
      <c r="C993" s="8"/>
      <c r="D993" s="9"/>
      <c r="E993" s="9"/>
    </row>
    <row r="994">
      <c r="C994" s="8"/>
      <c r="D994" s="9"/>
      <c r="E994" s="9"/>
    </row>
    <row r="995">
      <c r="C995" s="8"/>
      <c r="D995" s="9"/>
      <c r="E995" s="9"/>
    </row>
    <row r="996">
      <c r="C996" s="8"/>
      <c r="D996" s="9"/>
      <c r="E996" s="9"/>
    </row>
    <row r="997">
      <c r="C997" s="8"/>
      <c r="D997" s="9"/>
      <c r="E997" s="9"/>
    </row>
    <row r="998">
      <c r="C998" s="8"/>
      <c r="D998" s="9"/>
      <c r="E998" s="9"/>
    </row>
    <row r="999">
      <c r="C999" s="8"/>
      <c r="D999" s="9"/>
      <c r="E999" s="9"/>
    </row>
    <row r="1000">
      <c r="C1000" s="8"/>
      <c r="D1000" s="9"/>
      <c r="E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</v>
      </c>
      <c r="B1" s="4" t="s">
        <v>4</v>
      </c>
      <c r="C1" s="5" t="s">
        <v>20</v>
      </c>
      <c r="D1" s="5" t="s">
        <v>21</v>
      </c>
      <c r="E1" s="2" t="s">
        <v>23</v>
      </c>
    </row>
    <row r="2">
      <c r="B2" s="8"/>
      <c r="C2" s="9"/>
      <c r="D2" s="9"/>
    </row>
    <row r="3">
      <c r="A3" s="10" t="s">
        <v>26</v>
      </c>
      <c r="B3" s="8"/>
      <c r="C3" s="9"/>
      <c r="D3" s="9"/>
    </row>
    <row r="4">
      <c r="B4" s="8"/>
      <c r="C4" s="9"/>
      <c r="D4" s="9"/>
    </row>
    <row r="5">
      <c r="B5" s="8"/>
      <c r="C5" s="9"/>
      <c r="D5" s="9"/>
    </row>
    <row r="6">
      <c r="B6" s="8"/>
      <c r="C6" s="9"/>
      <c r="D6" s="9"/>
    </row>
    <row r="7">
      <c r="B7" s="8"/>
      <c r="C7" s="9"/>
      <c r="D7" s="9"/>
    </row>
    <row r="8">
      <c r="B8" s="8"/>
      <c r="C8" s="9"/>
      <c r="D8" s="9"/>
    </row>
    <row r="9">
      <c r="B9" s="8"/>
      <c r="C9" s="9"/>
      <c r="D9" s="9"/>
    </row>
    <row r="10">
      <c r="B10" s="8"/>
      <c r="C10" s="9"/>
      <c r="D10" s="9"/>
    </row>
    <row r="11">
      <c r="B11" s="8"/>
      <c r="C11" s="9"/>
      <c r="D11" s="9"/>
    </row>
    <row r="12">
      <c r="B12" s="8"/>
      <c r="C12" s="9"/>
      <c r="D12" s="9"/>
    </row>
    <row r="13">
      <c r="B13" s="8"/>
      <c r="C13" s="9"/>
      <c r="D13" s="9"/>
    </row>
    <row r="14">
      <c r="B14" s="8"/>
      <c r="C14" s="9"/>
      <c r="D14" s="9"/>
    </row>
    <row r="15">
      <c r="B15" s="8"/>
      <c r="C15" s="9"/>
      <c r="D15" s="9"/>
    </row>
    <row r="16">
      <c r="B16" s="8"/>
      <c r="C16" s="9"/>
      <c r="D16" s="9"/>
    </row>
    <row r="17">
      <c r="B17" s="8"/>
      <c r="C17" s="9"/>
      <c r="D17" s="9"/>
    </row>
    <row r="18">
      <c r="B18" s="8"/>
      <c r="C18" s="9"/>
      <c r="D18" s="9"/>
    </row>
    <row r="19">
      <c r="B19" s="8"/>
      <c r="C19" s="9"/>
      <c r="D19" s="9"/>
    </row>
    <row r="20">
      <c r="B20" s="8"/>
      <c r="C20" s="9"/>
      <c r="D20" s="9"/>
    </row>
    <row r="21">
      <c r="B21" s="8"/>
      <c r="C21" s="9"/>
      <c r="D21" s="9"/>
    </row>
    <row r="22">
      <c r="B22" s="8"/>
      <c r="C22" s="9"/>
      <c r="D22" s="9"/>
    </row>
    <row r="23">
      <c r="B23" s="8"/>
      <c r="C23" s="9"/>
      <c r="D23" s="9"/>
    </row>
    <row r="24">
      <c r="B24" s="8"/>
      <c r="C24" s="9"/>
      <c r="D24" s="9"/>
    </row>
    <row r="25">
      <c r="B25" s="8"/>
      <c r="C25" s="9"/>
      <c r="D25" s="9"/>
    </row>
    <row r="26">
      <c r="B26" s="8"/>
      <c r="C26" s="9"/>
      <c r="D26" s="9"/>
    </row>
    <row r="27">
      <c r="B27" s="8"/>
      <c r="C27" s="9"/>
      <c r="D27" s="9"/>
    </row>
    <row r="28">
      <c r="B28" s="8"/>
      <c r="C28" s="9"/>
      <c r="D28" s="9"/>
    </row>
    <row r="29">
      <c r="B29" s="8"/>
      <c r="C29" s="9"/>
      <c r="D29" s="9"/>
    </row>
    <row r="30">
      <c r="B30" s="8"/>
      <c r="C30" s="9"/>
      <c r="D30" s="9"/>
    </row>
    <row r="31">
      <c r="B31" s="8"/>
      <c r="C31" s="9"/>
      <c r="D31" s="9"/>
    </row>
    <row r="32">
      <c r="B32" s="8"/>
      <c r="C32" s="9"/>
      <c r="D32" s="9"/>
    </row>
    <row r="33">
      <c r="B33" s="8"/>
      <c r="C33" s="9"/>
      <c r="D33" s="9"/>
    </row>
    <row r="34">
      <c r="B34" s="8"/>
      <c r="C34" s="9"/>
      <c r="D34" s="9"/>
    </row>
    <row r="35">
      <c r="B35" s="8"/>
      <c r="C35" s="9"/>
      <c r="D35" s="9"/>
    </row>
    <row r="36">
      <c r="B36" s="8"/>
      <c r="C36" s="9"/>
      <c r="D36" s="9"/>
    </row>
    <row r="37">
      <c r="B37" s="8"/>
      <c r="C37" s="9"/>
      <c r="D37" s="9"/>
    </row>
    <row r="38">
      <c r="B38" s="8"/>
      <c r="C38" s="9"/>
      <c r="D38" s="9"/>
    </row>
    <row r="39">
      <c r="B39" s="8"/>
      <c r="C39" s="9"/>
      <c r="D39" s="9"/>
    </row>
    <row r="40">
      <c r="B40" s="8"/>
      <c r="C40" s="9"/>
      <c r="D40" s="9"/>
    </row>
    <row r="41">
      <c r="B41" s="8"/>
      <c r="C41" s="9"/>
      <c r="D41" s="9"/>
    </row>
    <row r="42">
      <c r="B42" s="8"/>
      <c r="C42" s="9"/>
      <c r="D42" s="9"/>
    </row>
    <row r="43">
      <c r="B43" s="8"/>
      <c r="C43" s="9"/>
      <c r="D43" s="9"/>
    </row>
    <row r="44">
      <c r="B44" s="8"/>
      <c r="C44" s="9"/>
      <c r="D44" s="9"/>
    </row>
    <row r="45">
      <c r="B45" s="8"/>
      <c r="C45" s="9"/>
      <c r="D45" s="9"/>
    </row>
    <row r="46">
      <c r="B46" s="8"/>
      <c r="C46" s="9"/>
      <c r="D46" s="9"/>
    </row>
    <row r="47">
      <c r="B47" s="8"/>
      <c r="C47" s="9"/>
      <c r="D47" s="9"/>
    </row>
    <row r="48">
      <c r="B48" s="8"/>
      <c r="C48" s="9"/>
      <c r="D48" s="9"/>
    </row>
    <row r="49">
      <c r="B49" s="8"/>
      <c r="C49" s="9"/>
      <c r="D49" s="9"/>
    </row>
    <row r="50">
      <c r="B50" s="8"/>
      <c r="C50" s="9"/>
      <c r="D50" s="9"/>
    </row>
    <row r="51">
      <c r="B51" s="8"/>
      <c r="C51" s="9"/>
      <c r="D51" s="9"/>
    </row>
    <row r="52">
      <c r="B52" s="8"/>
      <c r="C52" s="9"/>
      <c r="D52" s="9"/>
    </row>
    <row r="53">
      <c r="B53" s="8"/>
      <c r="C53" s="9"/>
      <c r="D53" s="9"/>
    </row>
    <row r="54">
      <c r="B54" s="8"/>
      <c r="C54" s="9"/>
      <c r="D54" s="9"/>
    </row>
    <row r="55">
      <c r="B55" s="8"/>
      <c r="C55" s="9"/>
      <c r="D55" s="9"/>
    </row>
    <row r="56">
      <c r="B56" s="8"/>
      <c r="C56" s="9"/>
      <c r="D56" s="9"/>
    </row>
    <row r="57">
      <c r="B57" s="8"/>
      <c r="C57" s="9"/>
      <c r="D57" s="9"/>
    </row>
    <row r="58">
      <c r="B58" s="8"/>
      <c r="C58" s="9"/>
      <c r="D58" s="9"/>
    </row>
    <row r="59">
      <c r="B59" s="8"/>
      <c r="C59" s="9"/>
      <c r="D59" s="9"/>
    </row>
    <row r="60">
      <c r="B60" s="8"/>
      <c r="C60" s="9"/>
      <c r="D60" s="9"/>
    </row>
    <row r="61">
      <c r="B61" s="8"/>
      <c r="C61" s="9"/>
      <c r="D61" s="9"/>
    </row>
    <row r="62">
      <c r="B62" s="8"/>
      <c r="C62" s="9"/>
      <c r="D62" s="9"/>
    </row>
    <row r="63">
      <c r="B63" s="8"/>
      <c r="C63" s="9"/>
      <c r="D63" s="9"/>
    </row>
    <row r="64">
      <c r="B64" s="8"/>
      <c r="C64" s="9"/>
      <c r="D64" s="9"/>
    </row>
    <row r="65">
      <c r="B65" s="8"/>
      <c r="C65" s="9"/>
      <c r="D65" s="9"/>
    </row>
    <row r="66">
      <c r="B66" s="8"/>
      <c r="C66" s="9"/>
      <c r="D66" s="9"/>
    </row>
    <row r="67">
      <c r="B67" s="8"/>
      <c r="C67" s="9"/>
      <c r="D67" s="9"/>
    </row>
    <row r="68">
      <c r="B68" s="8"/>
      <c r="C68" s="9"/>
      <c r="D68" s="9"/>
    </row>
    <row r="69">
      <c r="B69" s="8"/>
      <c r="C69" s="9"/>
      <c r="D69" s="9"/>
    </row>
    <row r="70">
      <c r="B70" s="8"/>
      <c r="C70" s="9"/>
      <c r="D70" s="9"/>
    </row>
    <row r="71">
      <c r="B71" s="8"/>
      <c r="C71" s="9"/>
      <c r="D71" s="9"/>
    </row>
    <row r="72">
      <c r="B72" s="8"/>
      <c r="C72" s="9"/>
      <c r="D72" s="9"/>
    </row>
    <row r="73">
      <c r="B73" s="8"/>
      <c r="C73" s="9"/>
      <c r="D73" s="9"/>
    </row>
    <row r="74">
      <c r="B74" s="8"/>
      <c r="C74" s="9"/>
      <c r="D74" s="9"/>
    </row>
    <row r="75">
      <c r="B75" s="8"/>
      <c r="C75" s="9"/>
      <c r="D75" s="9"/>
    </row>
    <row r="76">
      <c r="B76" s="8"/>
      <c r="C76" s="9"/>
      <c r="D76" s="9"/>
    </row>
    <row r="77">
      <c r="B77" s="8"/>
      <c r="C77" s="9"/>
      <c r="D77" s="9"/>
    </row>
    <row r="78">
      <c r="B78" s="8"/>
      <c r="C78" s="9"/>
      <c r="D78" s="9"/>
    </row>
    <row r="79">
      <c r="B79" s="8"/>
      <c r="C79" s="9"/>
      <c r="D79" s="9"/>
    </row>
    <row r="80">
      <c r="B80" s="8"/>
      <c r="C80" s="9"/>
      <c r="D80" s="9"/>
    </row>
    <row r="81">
      <c r="B81" s="8"/>
      <c r="C81" s="9"/>
      <c r="D81" s="9"/>
    </row>
    <row r="82">
      <c r="B82" s="8"/>
      <c r="C82" s="9"/>
      <c r="D82" s="9"/>
    </row>
    <row r="83">
      <c r="B83" s="8"/>
      <c r="C83" s="9"/>
      <c r="D83" s="9"/>
    </row>
    <row r="84">
      <c r="B84" s="8"/>
      <c r="C84" s="9"/>
      <c r="D84" s="9"/>
    </row>
    <row r="85">
      <c r="B85" s="8"/>
      <c r="C85" s="9"/>
      <c r="D85" s="9"/>
    </row>
    <row r="86">
      <c r="B86" s="8"/>
      <c r="C86" s="9"/>
      <c r="D86" s="9"/>
    </row>
    <row r="87">
      <c r="B87" s="8"/>
      <c r="C87" s="9"/>
      <c r="D87" s="9"/>
    </row>
    <row r="88">
      <c r="B88" s="8"/>
      <c r="C88" s="9"/>
      <c r="D88" s="9"/>
    </row>
    <row r="89">
      <c r="B89" s="8"/>
      <c r="C89" s="9"/>
      <c r="D89" s="9"/>
    </row>
    <row r="90">
      <c r="B90" s="8"/>
      <c r="C90" s="9"/>
      <c r="D90" s="9"/>
    </row>
    <row r="91">
      <c r="B91" s="8"/>
      <c r="C91" s="9"/>
      <c r="D91" s="9"/>
    </row>
    <row r="92">
      <c r="B92" s="8"/>
      <c r="C92" s="9"/>
      <c r="D92" s="9"/>
    </row>
    <row r="93">
      <c r="B93" s="8"/>
      <c r="C93" s="9"/>
      <c r="D93" s="9"/>
    </row>
    <row r="94">
      <c r="B94" s="8"/>
      <c r="C94" s="9"/>
      <c r="D94" s="9"/>
    </row>
    <row r="95">
      <c r="B95" s="8"/>
      <c r="C95" s="9"/>
      <c r="D95" s="9"/>
    </row>
    <row r="96">
      <c r="B96" s="8"/>
      <c r="C96" s="9"/>
      <c r="D96" s="9"/>
    </row>
    <row r="97">
      <c r="B97" s="8"/>
      <c r="C97" s="9"/>
      <c r="D97" s="9"/>
    </row>
    <row r="98">
      <c r="B98" s="8"/>
      <c r="C98" s="9"/>
      <c r="D98" s="9"/>
    </row>
    <row r="99">
      <c r="B99" s="8"/>
      <c r="C99" s="9"/>
      <c r="D99" s="9"/>
    </row>
    <row r="100">
      <c r="B100" s="8"/>
      <c r="C100" s="9"/>
      <c r="D100" s="9"/>
    </row>
    <row r="101">
      <c r="B101" s="8"/>
      <c r="C101" s="9"/>
      <c r="D101" s="9"/>
    </row>
    <row r="102">
      <c r="B102" s="8"/>
      <c r="C102" s="9"/>
      <c r="D102" s="9"/>
    </row>
    <row r="103">
      <c r="B103" s="8"/>
      <c r="C103" s="9"/>
      <c r="D103" s="9"/>
    </row>
    <row r="104">
      <c r="B104" s="8"/>
      <c r="C104" s="9"/>
      <c r="D104" s="9"/>
    </row>
    <row r="105">
      <c r="B105" s="8"/>
      <c r="C105" s="9"/>
      <c r="D105" s="9"/>
    </row>
    <row r="106">
      <c r="B106" s="8"/>
      <c r="C106" s="9"/>
      <c r="D106" s="9"/>
    </row>
    <row r="107">
      <c r="B107" s="8"/>
      <c r="C107" s="9"/>
      <c r="D107" s="9"/>
    </row>
    <row r="108">
      <c r="B108" s="8"/>
      <c r="C108" s="9"/>
      <c r="D108" s="9"/>
    </row>
    <row r="109">
      <c r="B109" s="8"/>
      <c r="C109" s="9"/>
      <c r="D109" s="9"/>
    </row>
    <row r="110">
      <c r="B110" s="8"/>
      <c r="C110" s="9"/>
      <c r="D110" s="9"/>
    </row>
    <row r="111">
      <c r="B111" s="8"/>
      <c r="C111" s="9"/>
      <c r="D111" s="9"/>
    </row>
    <row r="112">
      <c r="B112" s="8"/>
      <c r="C112" s="9"/>
      <c r="D112" s="9"/>
    </row>
    <row r="113">
      <c r="B113" s="8"/>
      <c r="C113" s="9"/>
      <c r="D113" s="9"/>
    </row>
    <row r="114">
      <c r="B114" s="8"/>
      <c r="C114" s="9"/>
      <c r="D114" s="9"/>
    </row>
    <row r="115">
      <c r="B115" s="8"/>
      <c r="C115" s="9"/>
      <c r="D115" s="9"/>
    </row>
    <row r="116">
      <c r="B116" s="8"/>
      <c r="C116" s="9"/>
      <c r="D116" s="9"/>
    </row>
    <row r="117">
      <c r="B117" s="8"/>
      <c r="C117" s="9"/>
      <c r="D117" s="9"/>
    </row>
    <row r="118">
      <c r="B118" s="8"/>
      <c r="C118" s="9"/>
      <c r="D118" s="9"/>
    </row>
    <row r="119">
      <c r="B119" s="8"/>
      <c r="C119" s="9"/>
      <c r="D119" s="9"/>
    </row>
    <row r="120">
      <c r="B120" s="8"/>
      <c r="C120" s="9"/>
      <c r="D120" s="9"/>
    </row>
    <row r="121">
      <c r="B121" s="8"/>
      <c r="C121" s="9"/>
      <c r="D121" s="9"/>
    </row>
    <row r="122">
      <c r="B122" s="8"/>
      <c r="C122" s="9"/>
      <c r="D122" s="9"/>
    </row>
    <row r="123">
      <c r="B123" s="8"/>
      <c r="C123" s="9"/>
      <c r="D123" s="9"/>
    </row>
    <row r="124">
      <c r="B124" s="8"/>
      <c r="C124" s="9"/>
      <c r="D124" s="9"/>
    </row>
    <row r="125">
      <c r="B125" s="8"/>
      <c r="C125" s="9"/>
      <c r="D125" s="9"/>
    </row>
    <row r="126">
      <c r="B126" s="8"/>
      <c r="C126" s="9"/>
      <c r="D126" s="9"/>
    </row>
    <row r="127">
      <c r="B127" s="8"/>
      <c r="C127" s="9"/>
      <c r="D127" s="9"/>
    </row>
    <row r="128">
      <c r="B128" s="8"/>
      <c r="C128" s="9"/>
      <c r="D128" s="9"/>
    </row>
    <row r="129">
      <c r="B129" s="8"/>
      <c r="C129" s="9"/>
      <c r="D129" s="9"/>
    </row>
    <row r="130">
      <c r="B130" s="8"/>
      <c r="C130" s="9"/>
      <c r="D130" s="9"/>
    </row>
    <row r="131">
      <c r="B131" s="8"/>
      <c r="C131" s="9"/>
      <c r="D131" s="9"/>
    </row>
    <row r="132">
      <c r="B132" s="8"/>
      <c r="C132" s="9"/>
      <c r="D132" s="9"/>
    </row>
    <row r="133">
      <c r="B133" s="8"/>
      <c r="C133" s="9"/>
      <c r="D133" s="9"/>
    </row>
    <row r="134">
      <c r="B134" s="8"/>
      <c r="C134" s="9"/>
      <c r="D134" s="9"/>
    </row>
    <row r="135">
      <c r="B135" s="8"/>
      <c r="C135" s="9"/>
      <c r="D135" s="9"/>
    </row>
    <row r="136">
      <c r="B136" s="8"/>
      <c r="C136" s="9"/>
      <c r="D136" s="9"/>
    </row>
    <row r="137">
      <c r="B137" s="8"/>
      <c r="C137" s="9"/>
      <c r="D137" s="9"/>
    </row>
    <row r="138">
      <c r="B138" s="8"/>
      <c r="C138" s="9"/>
      <c r="D138" s="9"/>
    </row>
    <row r="139">
      <c r="B139" s="8"/>
      <c r="C139" s="9"/>
      <c r="D139" s="9"/>
    </row>
    <row r="140">
      <c r="B140" s="8"/>
      <c r="C140" s="9"/>
      <c r="D140" s="9"/>
    </row>
    <row r="141">
      <c r="B141" s="8"/>
      <c r="C141" s="9"/>
      <c r="D141" s="9"/>
    </row>
    <row r="142">
      <c r="B142" s="8"/>
      <c r="C142" s="9"/>
      <c r="D142" s="9"/>
    </row>
    <row r="143">
      <c r="B143" s="8"/>
      <c r="C143" s="9"/>
      <c r="D143" s="9"/>
    </row>
    <row r="144">
      <c r="B144" s="8"/>
      <c r="C144" s="9"/>
      <c r="D144" s="9"/>
    </row>
    <row r="145">
      <c r="B145" s="8"/>
      <c r="C145" s="9"/>
      <c r="D145" s="9"/>
    </row>
    <row r="146">
      <c r="B146" s="8"/>
      <c r="C146" s="9"/>
      <c r="D146" s="9"/>
    </row>
    <row r="147">
      <c r="B147" s="8"/>
      <c r="C147" s="9"/>
      <c r="D147" s="9"/>
    </row>
    <row r="148">
      <c r="B148" s="8"/>
      <c r="C148" s="9"/>
      <c r="D148" s="9"/>
    </row>
    <row r="149">
      <c r="B149" s="8"/>
      <c r="C149" s="9"/>
      <c r="D149" s="9"/>
    </row>
    <row r="150">
      <c r="B150" s="8"/>
      <c r="C150" s="9"/>
      <c r="D150" s="9"/>
    </row>
    <row r="151">
      <c r="B151" s="8"/>
      <c r="C151" s="9"/>
      <c r="D151" s="9"/>
    </row>
    <row r="152">
      <c r="B152" s="8"/>
      <c r="C152" s="9"/>
      <c r="D152" s="9"/>
    </row>
    <row r="153">
      <c r="B153" s="8"/>
      <c r="C153" s="9"/>
      <c r="D153" s="9"/>
    </row>
    <row r="154">
      <c r="B154" s="8"/>
      <c r="C154" s="9"/>
      <c r="D154" s="9"/>
    </row>
    <row r="155">
      <c r="B155" s="8"/>
      <c r="C155" s="9"/>
      <c r="D155" s="9"/>
    </row>
    <row r="156">
      <c r="B156" s="8"/>
      <c r="C156" s="9"/>
      <c r="D156" s="9"/>
    </row>
    <row r="157">
      <c r="B157" s="8"/>
      <c r="C157" s="9"/>
      <c r="D157" s="9"/>
    </row>
    <row r="158">
      <c r="B158" s="8"/>
      <c r="C158" s="9"/>
      <c r="D158" s="9"/>
    </row>
    <row r="159">
      <c r="B159" s="8"/>
      <c r="C159" s="9"/>
      <c r="D159" s="9"/>
    </row>
    <row r="160">
      <c r="B160" s="8"/>
      <c r="C160" s="9"/>
      <c r="D160" s="9"/>
    </row>
    <row r="161">
      <c r="B161" s="8"/>
      <c r="C161" s="9"/>
      <c r="D161" s="9"/>
    </row>
    <row r="162">
      <c r="B162" s="8"/>
      <c r="C162" s="9"/>
      <c r="D162" s="9"/>
    </row>
    <row r="163">
      <c r="B163" s="8"/>
      <c r="C163" s="9"/>
      <c r="D163" s="9"/>
    </row>
    <row r="164">
      <c r="B164" s="8"/>
      <c r="C164" s="9"/>
      <c r="D164" s="9"/>
    </row>
    <row r="165">
      <c r="B165" s="8"/>
      <c r="C165" s="9"/>
      <c r="D165" s="9"/>
    </row>
    <row r="166">
      <c r="B166" s="8"/>
      <c r="C166" s="9"/>
      <c r="D166" s="9"/>
    </row>
    <row r="167">
      <c r="B167" s="8"/>
      <c r="C167" s="9"/>
      <c r="D167" s="9"/>
    </row>
    <row r="168">
      <c r="B168" s="8"/>
      <c r="C168" s="9"/>
      <c r="D168" s="9"/>
    </row>
    <row r="169">
      <c r="B169" s="8"/>
      <c r="C169" s="9"/>
      <c r="D169" s="9"/>
    </row>
    <row r="170">
      <c r="B170" s="8"/>
      <c r="C170" s="9"/>
      <c r="D170" s="9"/>
    </row>
    <row r="171">
      <c r="B171" s="8"/>
      <c r="C171" s="9"/>
      <c r="D171" s="9"/>
    </row>
    <row r="172">
      <c r="B172" s="8"/>
      <c r="C172" s="9"/>
      <c r="D172" s="9"/>
    </row>
    <row r="173">
      <c r="B173" s="8"/>
      <c r="C173" s="9"/>
      <c r="D173" s="9"/>
    </row>
    <row r="174">
      <c r="B174" s="8"/>
      <c r="C174" s="9"/>
      <c r="D174" s="9"/>
    </row>
    <row r="175">
      <c r="B175" s="8"/>
      <c r="C175" s="9"/>
      <c r="D175" s="9"/>
    </row>
    <row r="176">
      <c r="B176" s="8"/>
      <c r="C176" s="9"/>
      <c r="D176" s="9"/>
    </row>
    <row r="177">
      <c r="B177" s="8"/>
      <c r="C177" s="9"/>
      <c r="D177" s="9"/>
    </row>
    <row r="178">
      <c r="B178" s="8"/>
      <c r="C178" s="9"/>
      <c r="D178" s="9"/>
    </row>
    <row r="179">
      <c r="B179" s="8"/>
      <c r="C179" s="9"/>
      <c r="D179" s="9"/>
    </row>
    <row r="180">
      <c r="B180" s="8"/>
      <c r="C180" s="9"/>
      <c r="D180" s="9"/>
    </row>
    <row r="181">
      <c r="B181" s="8"/>
      <c r="C181" s="9"/>
      <c r="D181" s="9"/>
    </row>
    <row r="182">
      <c r="B182" s="8"/>
      <c r="C182" s="9"/>
      <c r="D182" s="9"/>
    </row>
    <row r="183">
      <c r="B183" s="8"/>
      <c r="C183" s="9"/>
      <c r="D183" s="9"/>
    </row>
    <row r="184">
      <c r="B184" s="8"/>
      <c r="C184" s="9"/>
      <c r="D184" s="9"/>
    </row>
    <row r="185">
      <c r="B185" s="8"/>
      <c r="C185" s="9"/>
      <c r="D185" s="9"/>
    </row>
    <row r="186">
      <c r="B186" s="8"/>
      <c r="C186" s="9"/>
      <c r="D186" s="9"/>
    </row>
    <row r="187">
      <c r="B187" s="8"/>
      <c r="C187" s="9"/>
      <c r="D187" s="9"/>
    </row>
    <row r="188">
      <c r="B188" s="8"/>
      <c r="C188" s="9"/>
      <c r="D188" s="9"/>
    </row>
    <row r="189">
      <c r="B189" s="8"/>
      <c r="C189" s="9"/>
      <c r="D189" s="9"/>
    </row>
    <row r="190">
      <c r="B190" s="8"/>
      <c r="C190" s="9"/>
      <c r="D190" s="9"/>
    </row>
    <row r="191">
      <c r="B191" s="8"/>
      <c r="C191" s="9"/>
      <c r="D191" s="9"/>
    </row>
    <row r="192">
      <c r="B192" s="8"/>
      <c r="C192" s="9"/>
      <c r="D192" s="9"/>
    </row>
    <row r="193">
      <c r="B193" s="8"/>
      <c r="C193" s="9"/>
      <c r="D193" s="9"/>
    </row>
    <row r="194">
      <c r="B194" s="8"/>
      <c r="C194" s="9"/>
      <c r="D194" s="9"/>
    </row>
    <row r="195">
      <c r="B195" s="8"/>
      <c r="C195" s="9"/>
      <c r="D195" s="9"/>
    </row>
    <row r="196">
      <c r="B196" s="8"/>
      <c r="C196" s="9"/>
      <c r="D196" s="9"/>
    </row>
    <row r="197">
      <c r="B197" s="8"/>
      <c r="C197" s="9"/>
      <c r="D197" s="9"/>
    </row>
    <row r="198">
      <c r="B198" s="8"/>
      <c r="C198" s="9"/>
      <c r="D198" s="9"/>
    </row>
    <row r="199">
      <c r="B199" s="8"/>
      <c r="C199" s="9"/>
      <c r="D199" s="9"/>
    </row>
    <row r="200">
      <c r="B200" s="8"/>
      <c r="C200" s="9"/>
      <c r="D200" s="9"/>
    </row>
    <row r="201">
      <c r="B201" s="8"/>
      <c r="C201" s="9"/>
      <c r="D201" s="9"/>
    </row>
    <row r="202">
      <c r="B202" s="8"/>
      <c r="C202" s="9"/>
      <c r="D202" s="9"/>
    </row>
    <row r="203">
      <c r="B203" s="8"/>
      <c r="C203" s="9"/>
      <c r="D203" s="9"/>
    </row>
    <row r="204">
      <c r="B204" s="8"/>
      <c r="C204" s="9"/>
      <c r="D204" s="9"/>
    </row>
    <row r="205">
      <c r="B205" s="8"/>
      <c r="C205" s="9"/>
      <c r="D205" s="9"/>
    </row>
    <row r="206">
      <c r="B206" s="8"/>
      <c r="C206" s="9"/>
      <c r="D206" s="9"/>
    </row>
    <row r="207">
      <c r="B207" s="8"/>
      <c r="C207" s="9"/>
      <c r="D207" s="9"/>
    </row>
    <row r="208">
      <c r="B208" s="8"/>
      <c r="C208" s="9"/>
      <c r="D208" s="9"/>
    </row>
    <row r="209">
      <c r="B209" s="8"/>
      <c r="C209" s="9"/>
      <c r="D209" s="9"/>
    </row>
    <row r="210">
      <c r="B210" s="8"/>
      <c r="C210" s="9"/>
      <c r="D210" s="9"/>
    </row>
    <row r="211">
      <c r="B211" s="8"/>
      <c r="C211" s="9"/>
      <c r="D211" s="9"/>
    </row>
    <row r="212">
      <c r="B212" s="8"/>
      <c r="C212" s="9"/>
      <c r="D212" s="9"/>
    </row>
    <row r="213">
      <c r="B213" s="8"/>
      <c r="C213" s="9"/>
      <c r="D213" s="9"/>
    </row>
    <row r="214">
      <c r="B214" s="8"/>
      <c r="C214" s="9"/>
      <c r="D214" s="9"/>
    </row>
    <row r="215">
      <c r="B215" s="8"/>
      <c r="C215" s="9"/>
      <c r="D215" s="9"/>
    </row>
    <row r="216">
      <c r="B216" s="8"/>
      <c r="C216" s="9"/>
      <c r="D216" s="9"/>
    </row>
    <row r="217">
      <c r="B217" s="8"/>
      <c r="C217" s="9"/>
      <c r="D217" s="9"/>
    </row>
    <row r="218">
      <c r="B218" s="8"/>
      <c r="C218" s="9"/>
      <c r="D218" s="9"/>
    </row>
    <row r="219">
      <c r="B219" s="8"/>
      <c r="C219" s="9"/>
      <c r="D219" s="9"/>
    </row>
    <row r="220">
      <c r="B220" s="8"/>
      <c r="C220" s="9"/>
      <c r="D220" s="9"/>
    </row>
    <row r="221">
      <c r="B221" s="8"/>
      <c r="C221" s="9"/>
      <c r="D221" s="9"/>
    </row>
    <row r="222">
      <c r="B222" s="8"/>
      <c r="C222" s="9"/>
      <c r="D222" s="9"/>
    </row>
    <row r="223">
      <c r="B223" s="8"/>
      <c r="C223" s="9"/>
      <c r="D223" s="9"/>
    </row>
    <row r="224">
      <c r="B224" s="8"/>
      <c r="C224" s="9"/>
      <c r="D224" s="9"/>
    </row>
    <row r="225">
      <c r="B225" s="8"/>
      <c r="C225" s="9"/>
      <c r="D225" s="9"/>
    </row>
    <row r="226">
      <c r="B226" s="8"/>
      <c r="C226" s="9"/>
      <c r="D226" s="9"/>
    </row>
    <row r="227">
      <c r="B227" s="8"/>
      <c r="C227" s="9"/>
      <c r="D227" s="9"/>
    </row>
    <row r="228">
      <c r="B228" s="8"/>
      <c r="C228" s="9"/>
      <c r="D228" s="9"/>
    </row>
    <row r="229">
      <c r="B229" s="8"/>
      <c r="C229" s="9"/>
      <c r="D229" s="9"/>
    </row>
    <row r="230">
      <c r="B230" s="8"/>
      <c r="C230" s="9"/>
      <c r="D230" s="9"/>
    </row>
    <row r="231">
      <c r="B231" s="8"/>
      <c r="C231" s="9"/>
      <c r="D231" s="9"/>
    </row>
    <row r="232">
      <c r="B232" s="8"/>
      <c r="C232" s="9"/>
      <c r="D232" s="9"/>
    </row>
    <row r="233">
      <c r="B233" s="8"/>
      <c r="C233" s="9"/>
      <c r="D233" s="9"/>
    </row>
    <row r="234">
      <c r="B234" s="8"/>
      <c r="C234" s="9"/>
      <c r="D234" s="9"/>
    </row>
    <row r="235">
      <c r="B235" s="8"/>
      <c r="C235" s="9"/>
      <c r="D235" s="9"/>
    </row>
    <row r="236">
      <c r="B236" s="8"/>
      <c r="C236" s="9"/>
      <c r="D236" s="9"/>
    </row>
    <row r="237">
      <c r="B237" s="8"/>
      <c r="C237" s="9"/>
      <c r="D237" s="9"/>
    </row>
    <row r="238">
      <c r="B238" s="8"/>
      <c r="C238" s="9"/>
      <c r="D238" s="9"/>
    </row>
    <row r="239">
      <c r="B239" s="8"/>
      <c r="C239" s="9"/>
      <c r="D239" s="9"/>
    </row>
    <row r="240">
      <c r="B240" s="8"/>
      <c r="C240" s="9"/>
      <c r="D240" s="9"/>
    </row>
    <row r="241">
      <c r="B241" s="8"/>
      <c r="C241" s="9"/>
      <c r="D241" s="9"/>
    </row>
    <row r="242">
      <c r="B242" s="8"/>
      <c r="C242" s="9"/>
      <c r="D242" s="9"/>
    </row>
    <row r="243">
      <c r="B243" s="8"/>
      <c r="C243" s="9"/>
      <c r="D243" s="9"/>
    </row>
    <row r="244">
      <c r="B244" s="8"/>
      <c r="C244" s="9"/>
      <c r="D244" s="9"/>
    </row>
    <row r="245">
      <c r="B245" s="8"/>
      <c r="C245" s="9"/>
      <c r="D245" s="9"/>
    </row>
    <row r="246">
      <c r="B246" s="8"/>
      <c r="C246" s="9"/>
      <c r="D246" s="9"/>
    </row>
    <row r="247">
      <c r="B247" s="8"/>
      <c r="C247" s="9"/>
      <c r="D247" s="9"/>
    </row>
    <row r="248">
      <c r="B248" s="8"/>
      <c r="C248" s="9"/>
      <c r="D248" s="9"/>
    </row>
    <row r="249">
      <c r="B249" s="8"/>
      <c r="C249" s="9"/>
      <c r="D249" s="9"/>
    </row>
    <row r="250">
      <c r="B250" s="8"/>
      <c r="C250" s="9"/>
      <c r="D250" s="9"/>
    </row>
    <row r="251">
      <c r="B251" s="8"/>
      <c r="C251" s="9"/>
      <c r="D251" s="9"/>
    </row>
    <row r="252">
      <c r="B252" s="8"/>
      <c r="C252" s="9"/>
      <c r="D252" s="9"/>
    </row>
    <row r="253">
      <c r="B253" s="8"/>
      <c r="C253" s="9"/>
      <c r="D253" s="9"/>
    </row>
    <row r="254">
      <c r="B254" s="8"/>
      <c r="C254" s="9"/>
      <c r="D254" s="9"/>
    </row>
    <row r="255">
      <c r="B255" s="8"/>
      <c r="C255" s="9"/>
      <c r="D255" s="9"/>
    </row>
    <row r="256">
      <c r="B256" s="8"/>
      <c r="C256" s="9"/>
      <c r="D256" s="9"/>
    </row>
    <row r="257">
      <c r="B257" s="8"/>
      <c r="C257" s="9"/>
      <c r="D257" s="9"/>
    </row>
    <row r="258">
      <c r="B258" s="8"/>
      <c r="C258" s="9"/>
      <c r="D258" s="9"/>
    </row>
    <row r="259">
      <c r="B259" s="8"/>
      <c r="C259" s="9"/>
      <c r="D259" s="9"/>
    </row>
    <row r="260">
      <c r="B260" s="8"/>
      <c r="C260" s="9"/>
      <c r="D260" s="9"/>
    </row>
    <row r="261">
      <c r="B261" s="8"/>
      <c r="C261" s="9"/>
      <c r="D261" s="9"/>
    </row>
    <row r="262">
      <c r="B262" s="8"/>
      <c r="C262" s="9"/>
      <c r="D262" s="9"/>
    </row>
    <row r="263">
      <c r="B263" s="8"/>
      <c r="C263" s="9"/>
      <c r="D263" s="9"/>
    </row>
    <row r="264">
      <c r="B264" s="8"/>
      <c r="C264" s="9"/>
      <c r="D264" s="9"/>
    </row>
    <row r="265">
      <c r="B265" s="8"/>
      <c r="C265" s="9"/>
      <c r="D265" s="9"/>
    </row>
    <row r="266">
      <c r="B266" s="8"/>
      <c r="C266" s="9"/>
      <c r="D266" s="9"/>
    </row>
    <row r="267">
      <c r="B267" s="8"/>
      <c r="C267" s="9"/>
      <c r="D267" s="9"/>
    </row>
    <row r="268">
      <c r="B268" s="8"/>
      <c r="C268" s="9"/>
      <c r="D268" s="9"/>
    </row>
    <row r="269">
      <c r="B269" s="8"/>
      <c r="C269" s="9"/>
      <c r="D269" s="9"/>
    </row>
    <row r="270">
      <c r="B270" s="8"/>
      <c r="C270" s="9"/>
      <c r="D270" s="9"/>
    </row>
    <row r="271">
      <c r="B271" s="8"/>
      <c r="C271" s="9"/>
      <c r="D271" s="9"/>
    </row>
    <row r="272">
      <c r="B272" s="8"/>
      <c r="C272" s="9"/>
      <c r="D272" s="9"/>
    </row>
    <row r="273">
      <c r="B273" s="8"/>
      <c r="C273" s="9"/>
      <c r="D273" s="9"/>
    </row>
    <row r="274">
      <c r="B274" s="8"/>
      <c r="C274" s="9"/>
      <c r="D274" s="9"/>
    </row>
    <row r="275">
      <c r="B275" s="8"/>
      <c r="C275" s="9"/>
      <c r="D275" s="9"/>
    </row>
    <row r="276">
      <c r="B276" s="8"/>
      <c r="C276" s="9"/>
      <c r="D276" s="9"/>
    </row>
    <row r="277">
      <c r="B277" s="8"/>
      <c r="C277" s="9"/>
      <c r="D277" s="9"/>
    </row>
    <row r="278">
      <c r="B278" s="8"/>
      <c r="C278" s="9"/>
      <c r="D278" s="9"/>
    </row>
    <row r="279">
      <c r="B279" s="8"/>
      <c r="C279" s="9"/>
      <c r="D279" s="9"/>
    </row>
    <row r="280">
      <c r="B280" s="8"/>
      <c r="C280" s="9"/>
      <c r="D280" s="9"/>
    </row>
    <row r="281">
      <c r="B281" s="8"/>
      <c r="C281" s="9"/>
      <c r="D281" s="9"/>
    </row>
    <row r="282">
      <c r="B282" s="8"/>
      <c r="C282" s="9"/>
      <c r="D282" s="9"/>
    </row>
    <row r="283">
      <c r="B283" s="8"/>
      <c r="C283" s="9"/>
      <c r="D283" s="9"/>
    </row>
    <row r="284">
      <c r="B284" s="8"/>
      <c r="C284" s="9"/>
      <c r="D284" s="9"/>
    </row>
    <row r="285">
      <c r="B285" s="8"/>
      <c r="C285" s="9"/>
      <c r="D285" s="9"/>
    </row>
    <row r="286">
      <c r="B286" s="8"/>
      <c r="C286" s="9"/>
      <c r="D286" s="9"/>
    </row>
    <row r="287">
      <c r="B287" s="8"/>
      <c r="C287" s="9"/>
      <c r="D287" s="9"/>
    </row>
    <row r="288">
      <c r="B288" s="8"/>
      <c r="C288" s="9"/>
      <c r="D288" s="9"/>
    </row>
    <row r="289">
      <c r="B289" s="8"/>
      <c r="C289" s="9"/>
      <c r="D289" s="9"/>
    </row>
    <row r="290">
      <c r="B290" s="8"/>
      <c r="C290" s="9"/>
      <c r="D290" s="9"/>
    </row>
    <row r="291">
      <c r="B291" s="8"/>
      <c r="C291" s="9"/>
      <c r="D291" s="9"/>
    </row>
    <row r="292">
      <c r="B292" s="8"/>
      <c r="C292" s="9"/>
      <c r="D292" s="9"/>
    </row>
    <row r="293">
      <c r="B293" s="8"/>
      <c r="C293" s="9"/>
      <c r="D293" s="9"/>
    </row>
    <row r="294">
      <c r="B294" s="8"/>
      <c r="C294" s="9"/>
      <c r="D294" s="9"/>
    </row>
    <row r="295">
      <c r="B295" s="8"/>
      <c r="C295" s="9"/>
      <c r="D295" s="9"/>
    </row>
    <row r="296">
      <c r="B296" s="8"/>
      <c r="C296" s="9"/>
      <c r="D296" s="9"/>
    </row>
    <row r="297">
      <c r="B297" s="8"/>
      <c r="C297" s="9"/>
      <c r="D297" s="9"/>
    </row>
    <row r="298">
      <c r="B298" s="8"/>
      <c r="C298" s="9"/>
      <c r="D298" s="9"/>
    </row>
    <row r="299">
      <c r="B299" s="8"/>
      <c r="C299" s="9"/>
      <c r="D299" s="9"/>
    </row>
    <row r="300">
      <c r="B300" s="8"/>
      <c r="C300" s="9"/>
      <c r="D300" s="9"/>
    </row>
    <row r="301">
      <c r="B301" s="8"/>
      <c r="C301" s="9"/>
      <c r="D301" s="9"/>
    </row>
    <row r="302">
      <c r="B302" s="8"/>
      <c r="C302" s="9"/>
      <c r="D302" s="9"/>
    </row>
    <row r="303">
      <c r="B303" s="8"/>
      <c r="C303" s="9"/>
      <c r="D303" s="9"/>
    </row>
    <row r="304">
      <c r="B304" s="8"/>
      <c r="C304" s="9"/>
      <c r="D304" s="9"/>
    </row>
    <row r="305">
      <c r="B305" s="8"/>
      <c r="C305" s="9"/>
      <c r="D305" s="9"/>
    </row>
    <row r="306">
      <c r="B306" s="8"/>
      <c r="C306" s="9"/>
      <c r="D306" s="9"/>
    </row>
    <row r="307">
      <c r="B307" s="8"/>
      <c r="C307" s="9"/>
      <c r="D307" s="9"/>
    </row>
    <row r="308">
      <c r="B308" s="8"/>
      <c r="C308" s="9"/>
      <c r="D308" s="9"/>
    </row>
    <row r="309">
      <c r="B309" s="8"/>
      <c r="C309" s="9"/>
      <c r="D309" s="9"/>
    </row>
    <row r="310">
      <c r="B310" s="8"/>
      <c r="C310" s="9"/>
      <c r="D310" s="9"/>
    </row>
    <row r="311">
      <c r="B311" s="8"/>
      <c r="C311" s="9"/>
      <c r="D311" s="9"/>
    </row>
    <row r="312">
      <c r="B312" s="8"/>
      <c r="C312" s="9"/>
      <c r="D312" s="9"/>
    </row>
    <row r="313">
      <c r="B313" s="8"/>
      <c r="C313" s="9"/>
      <c r="D313" s="9"/>
    </row>
    <row r="314">
      <c r="B314" s="8"/>
      <c r="C314" s="9"/>
      <c r="D314" s="9"/>
    </row>
    <row r="315">
      <c r="B315" s="8"/>
      <c r="C315" s="9"/>
      <c r="D315" s="9"/>
    </row>
    <row r="316">
      <c r="B316" s="8"/>
      <c r="C316" s="9"/>
      <c r="D316" s="9"/>
    </row>
    <row r="317">
      <c r="B317" s="8"/>
      <c r="C317" s="9"/>
      <c r="D317" s="9"/>
    </row>
    <row r="318">
      <c r="B318" s="8"/>
      <c r="C318" s="9"/>
      <c r="D318" s="9"/>
    </row>
    <row r="319">
      <c r="B319" s="8"/>
      <c r="C319" s="9"/>
      <c r="D319" s="9"/>
    </row>
    <row r="320">
      <c r="B320" s="8"/>
      <c r="C320" s="9"/>
      <c r="D320" s="9"/>
    </row>
    <row r="321">
      <c r="B321" s="8"/>
      <c r="C321" s="9"/>
      <c r="D321" s="9"/>
    </row>
    <row r="322">
      <c r="B322" s="8"/>
      <c r="C322" s="9"/>
      <c r="D322" s="9"/>
    </row>
    <row r="323">
      <c r="B323" s="8"/>
      <c r="C323" s="9"/>
      <c r="D323" s="9"/>
    </row>
    <row r="324">
      <c r="B324" s="8"/>
      <c r="C324" s="9"/>
      <c r="D324" s="9"/>
    </row>
    <row r="325">
      <c r="B325" s="8"/>
      <c r="C325" s="9"/>
      <c r="D325" s="9"/>
    </row>
    <row r="326">
      <c r="B326" s="8"/>
      <c r="C326" s="9"/>
      <c r="D326" s="9"/>
    </row>
    <row r="327">
      <c r="B327" s="8"/>
      <c r="C327" s="9"/>
      <c r="D327" s="9"/>
    </row>
    <row r="328">
      <c r="B328" s="8"/>
      <c r="C328" s="9"/>
      <c r="D328" s="9"/>
    </row>
    <row r="329">
      <c r="B329" s="8"/>
      <c r="C329" s="9"/>
      <c r="D329" s="9"/>
    </row>
    <row r="330">
      <c r="B330" s="8"/>
      <c r="C330" s="9"/>
      <c r="D330" s="9"/>
    </row>
    <row r="331">
      <c r="B331" s="8"/>
      <c r="C331" s="9"/>
      <c r="D331" s="9"/>
    </row>
    <row r="332">
      <c r="B332" s="8"/>
      <c r="C332" s="9"/>
      <c r="D332" s="9"/>
    </row>
    <row r="333">
      <c r="B333" s="8"/>
      <c r="C333" s="9"/>
      <c r="D333" s="9"/>
    </row>
    <row r="334">
      <c r="B334" s="8"/>
      <c r="C334" s="9"/>
      <c r="D334" s="9"/>
    </row>
    <row r="335">
      <c r="B335" s="8"/>
      <c r="C335" s="9"/>
      <c r="D335" s="9"/>
    </row>
    <row r="336">
      <c r="B336" s="8"/>
      <c r="C336" s="9"/>
      <c r="D336" s="9"/>
    </row>
    <row r="337">
      <c r="B337" s="8"/>
      <c r="C337" s="9"/>
      <c r="D337" s="9"/>
    </row>
    <row r="338">
      <c r="B338" s="8"/>
      <c r="C338" s="9"/>
      <c r="D338" s="9"/>
    </row>
    <row r="339">
      <c r="B339" s="8"/>
      <c r="C339" s="9"/>
      <c r="D339" s="9"/>
    </row>
    <row r="340">
      <c r="B340" s="8"/>
      <c r="C340" s="9"/>
      <c r="D340" s="9"/>
    </row>
    <row r="341">
      <c r="B341" s="8"/>
      <c r="C341" s="9"/>
      <c r="D341" s="9"/>
    </row>
    <row r="342">
      <c r="B342" s="8"/>
      <c r="C342" s="9"/>
      <c r="D342" s="9"/>
    </row>
    <row r="343">
      <c r="B343" s="8"/>
      <c r="C343" s="9"/>
      <c r="D343" s="9"/>
    </row>
    <row r="344">
      <c r="B344" s="8"/>
      <c r="C344" s="9"/>
      <c r="D344" s="9"/>
    </row>
    <row r="345">
      <c r="B345" s="8"/>
      <c r="C345" s="9"/>
      <c r="D345" s="9"/>
    </row>
    <row r="346">
      <c r="B346" s="8"/>
      <c r="C346" s="9"/>
      <c r="D346" s="9"/>
    </row>
    <row r="347">
      <c r="B347" s="8"/>
      <c r="C347" s="9"/>
      <c r="D347" s="9"/>
    </row>
    <row r="348">
      <c r="B348" s="8"/>
      <c r="C348" s="9"/>
      <c r="D348" s="9"/>
    </row>
    <row r="349">
      <c r="B349" s="8"/>
      <c r="C349" s="9"/>
      <c r="D349" s="9"/>
    </row>
    <row r="350">
      <c r="B350" s="8"/>
      <c r="C350" s="9"/>
      <c r="D350" s="9"/>
    </row>
    <row r="351">
      <c r="B351" s="8"/>
      <c r="C351" s="9"/>
      <c r="D351" s="9"/>
    </row>
    <row r="352">
      <c r="B352" s="8"/>
      <c r="C352" s="9"/>
      <c r="D352" s="9"/>
    </row>
    <row r="353">
      <c r="B353" s="8"/>
      <c r="C353" s="9"/>
      <c r="D353" s="9"/>
    </row>
    <row r="354">
      <c r="B354" s="8"/>
      <c r="C354" s="9"/>
      <c r="D354" s="9"/>
    </row>
    <row r="355">
      <c r="B355" s="8"/>
      <c r="C355" s="9"/>
      <c r="D355" s="9"/>
    </row>
    <row r="356">
      <c r="B356" s="8"/>
      <c r="C356" s="9"/>
      <c r="D356" s="9"/>
    </row>
    <row r="357">
      <c r="B357" s="8"/>
      <c r="C357" s="9"/>
      <c r="D357" s="9"/>
    </row>
    <row r="358">
      <c r="B358" s="8"/>
      <c r="C358" s="9"/>
      <c r="D358" s="9"/>
    </row>
    <row r="359">
      <c r="B359" s="8"/>
      <c r="C359" s="9"/>
      <c r="D359" s="9"/>
    </row>
    <row r="360">
      <c r="B360" s="8"/>
      <c r="C360" s="9"/>
      <c r="D360" s="9"/>
    </row>
    <row r="361">
      <c r="B361" s="8"/>
      <c r="C361" s="9"/>
      <c r="D361" s="9"/>
    </row>
    <row r="362">
      <c r="B362" s="8"/>
      <c r="C362" s="9"/>
      <c r="D362" s="9"/>
    </row>
    <row r="363">
      <c r="B363" s="8"/>
      <c r="C363" s="9"/>
      <c r="D363" s="9"/>
    </row>
    <row r="364">
      <c r="B364" s="8"/>
      <c r="C364" s="9"/>
      <c r="D364" s="9"/>
    </row>
    <row r="365">
      <c r="B365" s="8"/>
      <c r="C365" s="9"/>
      <c r="D365" s="9"/>
    </row>
    <row r="366">
      <c r="B366" s="8"/>
      <c r="C366" s="9"/>
      <c r="D366" s="9"/>
    </row>
    <row r="367">
      <c r="B367" s="8"/>
      <c r="C367" s="9"/>
      <c r="D367" s="9"/>
    </row>
    <row r="368">
      <c r="B368" s="8"/>
      <c r="C368" s="9"/>
      <c r="D368" s="9"/>
    </row>
    <row r="369">
      <c r="B369" s="8"/>
      <c r="C369" s="9"/>
      <c r="D369" s="9"/>
    </row>
    <row r="370">
      <c r="B370" s="8"/>
      <c r="C370" s="9"/>
      <c r="D370" s="9"/>
    </row>
    <row r="371">
      <c r="B371" s="8"/>
      <c r="C371" s="9"/>
      <c r="D371" s="9"/>
    </row>
    <row r="372">
      <c r="B372" s="8"/>
      <c r="C372" s="9"/>
      <c r="D372" s="9"/>
    </row>
    <row r="373">
      <c r="B373" s="8"/>
      <c r="C373" s="9"/>
      <c r="D373" s="9"/>
    </row>
    <row r="374">
      <c r="B374" s="8"/>
      <c r="C374" s="9"/>
      <c r="D374" s="9"/>
    </row>
    <row r="375">
      <c r="B375" s="8"/>
      <c r="C375" s="9"/>
      <c r="D375" s="9"/>
    </row>
    <row r="376">
      <c r="B376" s="8"/>
      <c r="C376" s="9"/>
      <c r="D376" s="9"/>
    </row>
    <row r="377">
      <c r="B377" s="8"/>
      <c r="C377" s="9"/>
      <c r="D377" s="9"/>
    </row>
    <row r="378">
      <c r="B378" s="8"/>
      <c r="C378" s="9"/>
      <c r="D378" s="9"/>
    </row>
    <row r="379">
      <c r="B379" s="8"/>
      <c r="C379" s="9"/>
      <c r="D379" s="9"/>
    </row>
    <row r="380">
      <c r="B380" s="8"/>
      <c r="C380" s="9"/>
      <c r="D380" s="9"/>
    </row>
    <row r="381">
      <c r="B381" s="8"/>
      <c r="C381" s="9"/>
      <c r="D381" s="9"/>
    </row>
    <row r="382">
      <c r="B382" s="8"/>
      <c r="C382" s="9"/>
      <c r="D382" s="9"/>
    </row>
    <row r="383">
      <c r="B383" s="8"/>
      <c r="C383" s="9"/>
      <c r="D383" s="9"/>
    </row>
    <row r="384">
      <c r="B384" s="8"/>
      <c r="C384" s="9"/>
      <c r="D384" s="9"/>
    </row>
    <row r="385">
      <c r="B385" s="8"/>
      <c r="C385" s="9"/>
      <c r="D385" s="9"/>
    </row>
    <row r="386">
      <c r="B386" s="8"/>
      <c r="C386" s="9"/>
      <c r="D386" s="9"/>
    </row>
    <row r="387">
      <c r="B387" s="8"/>
      <c r="C387" s="9"/>
      <c r="D387" s="9"/>
    </row>
    <row r="388">
      <c r="B388" s="8"/>
      <c r="C388" s="9"/>
      <c r="D388" s="9"/>
    </row>
    <row r="389">
      <c r="B389" s="8"/>
      <c r="C389" s="9"/>
      <c r="D389" s="9"/>
    </row>
    <row r="390">
      <c r="B390" s="8"/>
      <c r="C390" s="9"/>
      <c r="D390" s="9"/>
    </row>
    <row r="391">
      <c r="B391" s="8"/>
      <c r="C391" s="9"/>
      <c r="D391" s="9"/>
    </row>
    <row r="392">
      <c r="B392" s="8"/>
      <c r="C392" s="9"/>
      <c r="D392" s="9"/>
    </row>
    <row r="393">
      <c r="B393" s="8"/>
      <c r="C393" s="9"/>
      <c r="D393" s="9"/>
    </row>
    <row r="394">
      <c r="B394" s="8"/>
      <c r="C394" s="9"/>
      <c r="D394" s="9"/>
    </row>
    <row r="395">
      <c r="B395" s="8"/>
      <c r="C395" s="9"/>
      <c r="D395" s="9"/>
    </row>
    <row r="396">
      <c r="B396" s="8"/>
      <c r="C396" s="9"/>
      <c r="D396" s="9"/>
    </row>
    <row r="397">
      <c r="B397" s="8"/>
      <c r="C397" s="9"/>
      <c r="D397" s="9"/>
    </row>
    <row r="398">
      <c r="B398" s="8"/>
      <c r="C398" s="9"/>
      <c r="D398" s="9"/>
    </row>
    <row r="399">
      <c r="B399" s="8"/>
      <c r="C399" s="9"/>
      <c r="D399" s="9"/>
    </row>
    <row r="400">
      <c r="B400" s="8"/>
      <c r="C400" s="9"/>
      <c r="D400" s="9"/>
    </row>
    <row r="401">
      <c r="B401" s="8"/>
      <c r="C401" s="9"/>
      <c r="D401" s="9"/>
    </row>
    <row r="402">
      <c r="B402" s="8"/>
      <c r="C402" s="9"/>
      <c r="D402" s="9"/>
    </row>
    <row r="403">
      <c r="B403" s="8"/>
      <c r="C403" s="9"/>
      <c r="D403" s="9"/>
    </row>
    <row r="404">
      <c r="B404" s="8"/>
      <c r="C404" s="9"/>
      <c r="D404" s="9"/>
    </row>
    <row r="405">
      <c r="B405" s="8"/>
      <c r="C405" s="9"/>
      <c r="D405" s="9"/>
    </row>
    <row r="406">
      <c r="B406" s="8"/>
      <c r="C406" s="9"/>
      <c r="D406" s="9"/>
    </row>
    <row r="407">
      <c r="B407" s="8"/>
      <c r="C407" s="9"/>
      <c r="D407" s="9"/>
    </row>
    <row r="408">
      <c r="B408" s="8"/>
      <c r="C408" s="9"/>
      <c r="D408" s="9"/>
    </row>
    <row r="409">
      <c r="B409" s="8"/>
      <c r="C409" s="9"/>
      <c r="D409" s="9"/>
    </row>
    <row r="410">
      <c r="B410" s="8"/>
      <c r="C410" s="9"/>
      <c r="D410" s="9"/>
    </row>
    <row r="411">
      <c r="B411" s="8"/>
      <c r="C411" s="9"/>
      <c r="D411" s="9"/>
    </row>
    <row r="412">
      <c r="B412" s="8"/>
      <c r="C412" s="9"/>
      <c r="D412" s="9"/>
    </row>
    <row r="413">
      <c r="B413" s="8"/>
      <c r="C413" s="9"/>
      <c r="D413" s="9"/>
    </row>
    <row r="414">
      <c r="B414" s="8"/>
      <c r="C414" s="9"/>
      <c r="D414" s="9"/>
    </row>
    <row r="415">
      <c r="B415" s="8"/>
      <c r="C415" s="9"/>
      <c r="D415" s="9"/>
    </row>
    <row r="416">
      <c r="B416" s="8"/>
      <c r="C416" s="9"/>
      <c r="D416" s="9"/>
    </row>
    <row r="417">
      <c r="B417" s="8"/>
      <c r="C417" s="9"/>
      <c r="D417" s="9"/>
    </row>
    <row r="418">
      <c r="B418" s="8"/>
      <c r="C418" s="9"/>
      <c r="D418" s="9"/>
    </row>
    <row r="419">
      <c r="B419" s="8"/>
      <c r="C419" s="9"/>
      <c r="D419" s="9"/>
    </row>
    <row r="420">
      <c r="B420" s="8"/>
      <c r="C420" s="9"/>
      <c r="D420" s="9"/>
    </row>
    <row r="421">
      <c r="B421" s="8"/>
      <c r="C421" s="9"/>
      <c r="D421" s="9"/>
    </row>
    <row r="422">
      <c r="B422" s="8"/>
      <c r="C422" s="9"/>
      <c r="D422" s="9"/>
    </row>
    <row r="423">
      <c r="B423" s="8"/>
      <c r="C423" s="9"/>
      <c r="D423" s="9"/>
    </row>
    <row r="424">
      <c r="B424" s="8"/>
      <c r="C424" s="9"/>
      <c r="D424" s="9"/>
    </row>
    <row r="425">
      <c r="B425" s="8"/>
      <c r="C425" s="9"/>
      <c r="D425" s="9"/>
    </row>
    <row r="426">
      <c r="B426" s="8"/>
      <c r="C426" s="9"/>
      <c r="D426" s="9"/>
    </row>
    <row r="427">
      <c r="B427" s="8"/>
      <c r="C427" s="9"/>
      <c r="D427" s="9"/>
    </row>
    <row r="428">
      <c r="B428" s="8"/>
      <c r="C428" s="9"/>
      <c r="D428" s="9"/>
    </row>
    <row r="429">
      <c r="B429" s="8"/>
      <c r="C429" s="9"/>
      <c r="D429" s="9"/>
    </row>
    <row r="430">
      <c r="B430" s="8"/>
      <c r="C430" s="9"/>
      <c r="D430" s="9"/>
    </row>
    <row r="431">
      <c r="B431" s="8"/>
      <c r="C431" s="9"/>
      <c r="D431" s="9"/>
    </row>
    <row r="432">
      <c r="B432" s="8"/>
      <c r="C432" s="9"/>
      <c r="D432" s="9"/>
    </row>
    <row r="433">
      <c r="B433" s="8"/>
      <c r="C433" s="9"/>
      <c r="D433" s="9"/>
    </row>
    <row r="434">
      <c r="B434" s="8"/>
      <c r="C434" s="9"/>
      <c r="D434" s="9"/>
    </row>
    <row r="435">
      <c r="B435" s="8"/>
      <c r="C435" s="9"/>
      <c r="D435" s="9"/>
    </row>
    <row r="436">
      <c r="B436" s="8"/>
      <c r="C436" s="9"/>
      <c r="D436" s="9"/>
    </row>
    <row r="437">
      <c r="B437" s="8"/>
      <c r="C437" s="9"/>
      <c r="D437" s="9"/>
    </row>
    <row r="438">
      <c r="B438" s="8"/>
      <c r="C438" s="9"/>
      <c r="D438" s="9"/>
    </row>
    <row r="439">
      <c r="B439" s="8"/>
      <c r="C439" s="9"/>
      <c r="D439" s="9"/>
    </row>
    <row r="440">
      <c r="B440" s="8"/>
      <c r="C440" s="9"/>
      <c r="D440" s="9"/>
    </row>
    <row r="441">
      <c r="B441" s="8"/>
      <c r="C441" s="9"/>
      <c r="D441" s="9"/>
    </row>
    <row r="442">
      <c r="B442" s="8"/>
      <c r="C442" s="9"/>
      <c r="D442" s="9"/>
    </row>
    <row r="443">
      <c r="B443" s="8"/>
      <c r="C443" s="9"/>
      <c r="D443" s="9"/>
    </row>
    <row r="444">
      <c r="B444" s="8"/>
      <c r="C444" s="9"/>
      <c r="D444" s="9"/>
    </row>
    <row r="445">
      <c r="B445" s="8"/>
      <c r="C445" s="9"/>
      <c r="D445" s="9"/>
    </row>
    <row r="446">
      <c r="B446" s="8"/>
      <c r="C446" s="9"/>
      <c r="D446" s="9"/>
    </row>
    <row r="447">
      <c r="B447" s="8"/>
      <c r="C447" s="9"/>
      <c r="D447" s="9"/>
    </row>
    <row r="448">
      <c r="B448" s="8"/>
      <c r="C448" s="9"/>
      <c r="D448" s="9"/>
    </row>
    <row r="449">
      <c r="B449" s="8"/>
      <c r="C449" s="9"/>
      <c r="D449" s="9"/>
    </row>
    <row r="450">
      <c r="B450" s="8"/>
      <c r="C450" s="9"/>
      <c r="D450" s="9"/>
    </row>
    <row r="451">
      <c r="B451" s="8"/>
      <c r="C451" s="9"/>
      <c r="D451" s="9"/>
    </row>
    <row r="452">
      <c r="B452" s="8"/>
      <c r="C452" s="9"/>
      <c r="D452" s="9"/>
    </row>
    <row r="453">
      <c r="B453" s="8"/>
      <c r="C453" s="9"/>
      <c r="D453" s="9"/>
    </row>
    <row r="454">
      <c r="B454" s="8"/>
      <c r="C454" s="9"/>
      <c r="D454" s="9"/>
    </row>
    <row r="455">
      <c r="B455" s="8"/>
      <c r="C455" s="9"/>
      <c r="D455" s="9"/>
    </row>
    <row r="456">
      <c r="B456" s="8"/>
      <c r="C456" s="9"/>
      <c r="D456" s="9"/>
    </row>
    <row r="457">
      <c r="B457" s="8"/>
      <c r="C457" s="9"/>
      <c r="D457" s="9"/>
    </row>
    <row r="458">
      <c r="B458" s="8"/>
      <c r="C458" s="9"/>
      <c r="D458" s="9"/>
    </row>
    <row r="459">
      <c r="B459" s="8"/>
      <c r="C459" s="9"/>
      <c r="D459" s="9"/>
    </row>
    <row r="460">
      <c r="B460" s="8"/>
      <c r="C460" s="9"/>
      <c r="D460" s="9"/>
    </row>
    <row r="461">
      <c r="B461" s="8"/>
      <c r="C461" s="9"/>
      <c r="D461" s="9"/>
    </row>
    <row r="462">
      <c r="B462" s="8"/>
      <c r="C462" s="9"/>
      <c r="D462" s="9"/>
    </row>
    <row r="463">
      <c r="B463" s="8"/>
      <c r="C463" s="9"/>
      <c r="D463" s="9"/>
    </row>
    <row r="464">
      <c r="B464" s="8"/>
      <c r="C464" s="9"/>
      <c r="D464" s="9"/>
    </row>
    <row r="465">
      <c r="B465" s="8"/>
      <c r="C465" s="9"/>
      <c r="D465" s="9"/>
    </row>
    <row r="466">
      <c r="B466" s="8"/>
      <c r="C466" s="9"/>
      <c r="D466" s="9"/>
    </row>
    <row r="467">
      <c r="B467" s="8"/>
      <c r="C467" s="9"/>
      <c r="D467" s="9"/>
    </row>
    <row r="468">
      <c r="B468" s="8"/>
      <c r="C468" s="9"/>
      <c r="D468" s="9"/>
    </row>
    <row r="469">
      <c r="B469" s="8"/>
      <c r="C469" s="9"/>
      <c r="D469" s="9"/>
    </row>
    <row r="470">
      <c r="B470" s="8"/>
      <c r="C470" s="9"/>
      <c r="D470" s="9"/>
    </row>
    <row r="471">
      <c r="B471" s="8"/>
      <c r="C471" s="9"/>
      <c r="D471" s="9"/>
    </row>
    <row r="472">
      <c r="B472" s="8"/>
      <c r="C472" s="9"/>
      <c r="D472" s="9"/>
    </row>
    <row r="473">
      <c r="B473" s="8"/>
      <c r="C473" s="9"/>
      <c r="D473" s="9"/>
    </row>
    <row r="474">
      <c r="B474" s="8"/>
      <c r="C474" s="9"/>
      <c r="D474" s="9"/>
    </row>
    <row r="475">
      <c r="B475" s="8"/>
      <c r="C475" s="9"/>
      <c r="D475" s="9"/>
    </row>
    <row r="476">
      <c r="B476" s="8"/>
      <c r="C476" s="9"/>
      <c r="D476" s="9"/>
    </row>
    <row r="477">
      <c r="B477" s="8"/>
      <c r="C477" s="9"/>
      <c r="D477" s="9"/>
    </row>
    <row r="478">
      <c r="B478" s="8"/>
      <c r="C478" s="9"/>
      <c r="D478" s="9"/>
    </row>
    <row r="479">
      <c r="B479" s="8"/>
      <c r="C479" s="9"/>
      <c r="D479" s="9"/>
    </row>
    <row r="480">
      <c r="B480" s="8"/>
      <c r="C480" s="9"/>
      <c r="D480" s="9"/>
    </row>
    <row r="481">
      <c r="B481" s="8"/>
      <c r="C481" s="9"/>
      <c r="D481" s="9"/>
    </row>
    <row r="482">
      <c r="B482" s="8"/>
      <c r="C482" s="9"/>
      <c r="D482" s="9"/>
    </row>
    <row r="483">
      <c r="B483" s="8"/>
      <c r="C483" s="9"/>
      <c r="D483" s="9"/>
    </row>
    <row r="484">
      <c r="B484" s="8"/>
      <c r="C484" s="9"/>
      <c r="D484" s="9"/>
    </row>
    <row r="485">
      <c r="B485" s="8"/>
      <c r="C485" s="9"/>
      <c r="D485" s="9"/>
    </row>
    <row r="486">
      <c r="B486" s="8"/>
      <c r="C486" s="9"/>
      <c r="D486" s="9"/>
    </row>
    <row r="487">
      <c r="B487" s="8"/>
      <c r="C487" s="9"/>
      <c r="D487" s="9"/>
    </row>
    <row r="488">
      <c r="B488" s="8"/>
      <c r="C488" s="9"/>
      <c r="D488" s="9"/>
    </row>
    <row r="489">
      <c r="B489" s="8"/>
      <c r="C489" s="9"/>
      <c r="D489" s="9"/>
    </row>
    <row r="490">
      <c r="B490" s="8"/>
      <c r="C490" s="9"/>
      <c r="D490" s="9"/>
    </row>
    <row r="491">
      <c r="B491" s="8"/>
      <c r="C491" s="9"/>
      <c r="D491" s="9"/>
    </row>
    <row r="492">
      <c r="B492" s="8"/>
      <c r="C492" s="9"/>
      <c r="D492" s="9"/>
    </row>
    <row r="493">
      <c r="B493" s="8"/>
      <c r="C493" s="9"/>
      <c r="D493" s="9"/>
    </row>
    <row r="494">
      <c r="B494" s="8"/>
      <c r="C494" s="9"/>
      <c r="D494" s="9"/>
    </row>
    <row r="495">
      <c r="B495" s="8"/>
      <c r="C495" s="9"/>
      <c r="D495" s="9"/>
    </row>
    <row r="496">
      <c r="B496" s="8"/>
      <c r="C496" s="9"/>
      <c r="D496" s="9"/>
    </row>
    <row r="497">
      <c r="B497" s="8"/>
      <c r="C497" s="9"/>
      <c r="D497" s="9"/>
    </row>
    <row r="498">
      <c r="B498" s="8"/>
      <c r="C498" s="9"/>
      <c r="D498" s="9"/>
    </row>
    <row r="499">
      <c r="B499" s="8"/>
      <c r="C499" s="9"/>
      <c r="D499" s="9"/>
    </row>
    <row r="500">
      <c r="B500" s="8"/>
      <c r="C500" s="9"/>
      <c r="D500" s="9"/>
    </row>
    <row r="501">
      <c r="B501" s="8"/>
      <c r="C501" s="9"/>
      <c r="D501" s="9"/>
    </row>
    <row r="502">
      <c r="B502" s="8"/>
      <c r="C502" s="9"/>
      <c r="D502" s="9"/>
    </row>
    <row r="503">
      <c r="B503" s="8"/>
      <c r="C503" s="9"/>
      <c r="D503" s="9"/>
    </row>
    <row r="504">
      <c r="B504" s="8"/>
      <c r="C504" s="9"/>
      <c r="D504" s="9"/>
    </row>
    <row r="505">
      <c r="B505" s="8"/>
      <c r="C505" s="9"/>
      <c r="D505" s="9"/>
    </row>
    <row r="506">
      <c r="B506" s="8"/>
      <c r="C506" s="9"/>
      <c r="D506" s="9"/>
    </row>
    <row r="507">
      <c r="B507" s="8"/>
      <c r="C507" s="9"/>
      <c r="D507" s="9"/>
    </row>
    <row r="508">
      <c r="B508" s="8"/>
      <c r="C508" s="9"/>
      <c r="D508" s="9"/>
    </row>
    <row r="509">
      <c r="B509" s="8"/>
      <c r="C509" s="9"/>
      <c r="D509" s="9"/>
    </row>
    <row r="510">
      <c r="B510" s="8"/>
      <c r="C510" s="9"/>
      <c r="D510" s="9"/>
    </row>
    <row r="511">
      <c r="B511" s="8"/>
      <c r="C511" s="9"/>
      <c r="D511" s="9"/>
    </row>
    <row r="512">
      <c r="B512" s="8"/>
      <c r="C512" s="9"/>
      <c r="D512" s="9"/>
    </row>
    <row r="513">
      <c r="B513" s="8"/>
      <c r="C513" s="9"/>
      <c r="D513" s="9"/>
    </row>
    <row r="514">
      <c r="B514" s="8"/>
      <c r="C514" s="9"/>
      <c r="D514" s="9"/>
    </row>
    <row r="515">
      <c r="B515" s="8"/>
      <c r="C515" s="9"/>
      <c r="D515" s="9"/>
    </row>
    <row r="516">
      <c r="B516" s="8"/>
      <c r="C516" s="9"/>
      <c r="D516" s="9"/>
    </row>
    <row r="517">
      <c r="B517" s="8"/>
      <c r="C517" s="9"/>
      <c r="D517" s="9"/>
    </row>
    <row r="518">
      <c r="B518" s="8"/>
      <c r="C518" s="9"/>
      <c r="D518" s="9"/>
    </row>
    <row r="519">
      <c r="B519" s="8"/>
      <c r="C519" s="9"/>
      <c r="D519" s="9"/>
    </row>
    <row r="520">
      <c r="B520" s="8"/>
      <c r="C520" s="9"/>
      <c r="D520" s="9"/>
    </row>
    <row r="521">
      <c r="B521" s="8"/>
      <c r="C521" s="9"/>
      <c r="D521" s="9"/>
    </row>
    <row r="522">
      <c r="B522" s="8"/>
      <c r="C522" s="9"/>
      <c r="D522" s="9"/>
    </row>
    <row r="523">
      <c r="B523" s="8"/>
      <c r="C523" s="9"/>
      <c r="D523" s="9"/>
    </row>
    <row r="524">
      <c r="B524" s="8"/>
      <c r="C524" s="9"/>
      <c r="D524" s="9"/>
    </row>
    <row r="525">
      <c r="B525" s="8"/>
      <c r="C525" s="9"/>
      <c r="D525" s="9"/>
    </row>
    <row r="526">
      <c r="B526" s="8"/>
      <c r="C526" s="9"/>
      <c r="D526" s="9"/>
    </row>
    <row r="527">
      <c r="B527" s="8"/>
      <c r="C527" s="9"/>
      <c r="D527" s="9"/>
    </row>
    <row r="528">
      <c r="B528" s="8"/>
      <c r="C528" s="9"/>
      <c r="D528" s="9"/>
    </row>
    <row r="529">
      <c r="B529" s="8"/>
      <c r="C529" s="9"/>
      <c r="D529" s="9"/>
    </row>
    <row r="530">
      <c r="B530" s="8"/>
      <c r="C530" s="9"/>
      <c r="D530" s="9"/>
    </row>
    <row r="531">
      <c r="B531" s="8"/>
      <c r="C531" s="9"/>
      <c r="D531" s="9"/>
    </row>
    <row r="532">
      <c r="B532" s="8"/>
      <c r="C532" s="9"/>
      <c r="D532" s="9"/>
    </row>
    <row r="533">
      <c r="B533" s="8"/>
      <c r="C533" s="9"/>
      <c r="D533" s="9"/>
    </row>
    <row r="534">
      <c r="B534" s="8"/>
      <c r="C534" s="9"/>
      <c r="D534" s="9"/>
    </row>
    <row r="535">
      <c r="B535" s="8"/>
      <c r="C535" s="9"/>
      <c r="D535" s="9"/>
    </row>
    <row r="536">
      <c r="B536" s="8"/>
      <c r="C536" s="9"/>
      <c r="D536" s="9"/>
    </row>
    <row r="537">
      <c r="B537" s="8"/>
      <c r="C537" s="9"/>
      <c r="D537" s="9"/>
    </row>
    <row r="538">
      <c r="B538" s="8"/>
      <c r="C538" s="9"/>
      <c r="D538" s="9"/>
    </row>
    <row r="539">
      <c r="B539" s="8"/>
      <c r="C539" s="9"/>
      <c r="D539" s="9"/>
    </row>
    <row r="540">
      <c r="B540" s="8"/>
      <c r="C540" s="9"/>
      <c r="D540" s="9"/>
    </row>
    <row r="541">
      <c r="B541" s="8"/>
      <c r="C541" s="9"/>
      <c r="D541" s="9"/>
    </row>
    <row r="542">
      <c r="B542" s="8"/>
      <c r="C542" s="9"/>
      <c r="D542" s="9"/>
    </row>
    <row r="543">
      <c r="B543" s="8"/>
      <c r="C543" s="9"/>
      <c r="D543" s="9"/>
    </row>
    <row r="544">
      <c r="B544" s="8"/>
      <c r="C544" s="9"/>
      <c r="D544" s="9"/>
    </row>
    <row r="545">
      <c r="B545" s="8"/>
      <c r="C545" s="9"/>
      <c r="D545" s="9"/>
    </row>
    <row r="546">
      <c r="B546" s="8"/>
      <c r="C546" s="9"/>
      <c r="D546" s="9"/>
    </row>
    <row r="547">
      <c r="B547" s="8"/>
      <c r="C547" s="9"/>
      <c r="D547" s="9"/>
    </row>
    <row r="548">
      <c r="B548" s="8"/>
      <c r="C548" s="9"/>
      <c r="D548" s="9"/>
    </row>
    <row r="549">
      <c r="B549" s="8"/>
      <c r="C549" s="9"/>
      <c r="D549" s="9"/>
    </row>
    <row r="550">
      <c r="B550" s="8"/>
      <c r="C550" s="9"/>
      <c r="D550" s="9"/>
    </row>
    <row r="551">
      <c r="B551" s="8"/>
      <c r="C551" s="9"/>
      <c r="D551" s="9"/>
    </row>
    <row r="552">
      <c r="B552" s="8"/>
      <c r="C552" s="9"/>
      <c r="D552" s="9"/>
    </row>
    <row r="553">
      <c r="B553" s="8"/>
      <c r="C553" s="9"/>
      <c r="D553" s="9"/>
    </row>
    <row r="554">
      <c r="B554" s="8"/>
      <c r="C554" s="9"/>
      <c r="D554" s="9"/>
    </row>
    <row r="555">
      <c r="B555" s="8"/>
      <c r="C555" s="9"/>
      <c r="D555" s="9"/>
    </row>
    <row r="556">
      <c r="B556" s="8"/>
      <c r="C556" s="9"/>
      <c r="D556" s="9"/>
    </row>
    <row r="557">
      <c r="B557" s="8"/>
      <c r="C557" s="9"/>
      <c r="D557" s="9"/>
    </row>
    <row r="558">
      <c r="B558" s="8"/>
      <c r="C558" s="9"/>
      <c r="D558" s="9"/>
    </row>
    <row r="559">
      <c r="B559" s="8"/>
      <c r="C559" s="9"/>
      <c r="D559" s="9"/>
    </row>
    <row r="560">
      <c r="B560" s="8"/>
      <c r="C560" s="9"/>
      <c r="D560" s="9"/>
    </row>
    <row r="561">
      <c r="B561" s="8"/>
      <c r="C561" s="9"/>
      <c r="D561" s="9"/>
    </row>
    <row r="562">
      <c r="B562" s="8"/>
      <c r="C562" s="9"/>
      <c r="D562" s="9"/>
    </row>
    <row r="563">
      <c r="B563" s="8"/>
      <c r="C563" s="9"/>
      <c r="D563" s="9"/>
    </row>
    <row r="564">
      <c r="B564" s="8"/>
      <c r="C564" s="9"/>
      <c r="D564" s="9"/>
    </row>
    <row r="565">
      <c r="B565" s="8"/>
      <c r="C565" s="9"/>
      <c r="D565" s="9"/>
    </row>
    <row r="566">
      <c r="B566" s="8"/>
      <c r="C566" s="9"/>
      <c r="D566" s="9"/>
    </row>
    <row r="567">
      <c r="B567" s="8"/>
      <c r="C567" s="9"/>
      <c r="D567" s="9"/>
    </row>
    <row r="568">
      <c r="B568" s="8"/>
      <c r="C568" s="9"/>
      <c r="D568" s="9"/>
    </row>
    <row r="569">
      <c r="B569" s="8"/>
      <c r="C569" s="9"/>
      <c r="D569" s="9"/>
    </row>
    <row r="570">
      <c r="B570" s="8"/>
      <c r="C570" s="9"/>
      <c r="D570" s="9"/>
    </row>
    <row r="571">
      <c r="B571" s="8"/>
      <c r="C571" s="9"/>
      <c r="D571" s="9"/>
    </row>
    <row r="572">
      <c r="B572" s="8"/>
      <c r="C572" s="9"/>
      <c r="D572" s="9"/>
    </row>
    <row r="573">
      <c r="B573" s="8"/>
      <c r="C573" s="9"/>
      <c r="D573" s="9"/>
    </row>
    <row r="574">
      <c r="B574" s="8"/>
      <c r="C574" s="9"/>
      <c r="D574" s="9"/>
    </row>
    <row r="575">
      <c r="B575" s="8"/>
      <c r="C575" s="9"/>
      <c r="D575" s="9"/>
    </row>
    <row r="576">
      <c r="B576" s="8"/>
      <c r="C576" s="9"/>
      <c r="D576" s="9"/>
    </row>
    <row r="577">
      <c r="B577" s="8"/>
      <c r="C577" s="9"/>
      <c r="D577" s="9"/>
    </row>
    <row r="578">
      <c r="B578" s="8"/>
      <c r="C578" s="9"/>
      <c r="D578" s="9"/>
    </row>
    <row r="579">
      <c r="B579" s="8"/>
      <c r="C579" s="9"/>
      <c r="D579" s="9"/>
    </row>
    <row r="580">
      <c r="B580" s="8"/>
      <c r="C580" s="9"/>
      <c r="D580" s="9"/>
    </row>
    <row r="581">
      <c r="B581" s="8"/>
      <c r="C581" s="9"/>
      <c r="D581" s="9"/>
    </row>
    <row r="582">
      <c r="B582" s="8"/>
      <c r="C582" s="9"/>
      <c r="D582" s="9"/>
    </row>
    <row r="583">
      <c r="B583" s="8"/>
      <c r="C583" s="9"/>
      <c r="D583" s="9"/>
    </row>
    <row r="584">
      <c r="B584" s="8"/>
      <c r="C584" s="9"/>
      <c r="D584" s="9"/>
    </row>
    <row r="585">
      <c r="B585" s="8"/>
      <c r="C585" s="9"/>
      <c r="D585" s="9"/>
    </row>
    <row r="586">
      <c r="B586" s="8"/>
      <c r="C586" s="9"/>
      <c r="D586" s="9"/>
    </row>
    <row r="587">
      <c r="B587" s="8"/>
      <c r="C587" s="9"/>
      <c r="D587" s="9"/>
    </row>
    <row r="588">
      <c r="B588" s="8"/>
      <c r="C588" s="9"/>
      <c r="D588" s="9"/>
    </row>
    <row r="589">
      <c r="B589" s="8"/>
      <c r="C589" s="9"/>
      <c r="D589" s="9"/>
    </row>
    <row r="590">
      <c r="B590" s="8"/>
      <c r="C590" s="9"/>
      <c r="D590" s="9"/>
    </row>
    <row r="591">
      <c r="B591" s="8"/>
      <c r="C591" s="9"/>
      <c r="D591" s="9"/>
    </row>
    <row r="592">
      <c r="B592" s="8"/>
      <c r="C592" s="9"/>
      <c r="D592" s="9"/>
    </row>
    <row r="593">
      <c r="B593" s="8"/>
      <c r="C593" s="9"/>
      <c r="D593" s="9"/>
    </row>
    <row r="594">
      <c r="B594" s="8"/>
      <c r="C594" s="9"/>
      <c r="D594" s="9"/>
    </row>
    <row r="595">
      <c r="B595" s="8"/>
      <c r="C595" s="9"/>
      <c r="D595" s="9"/>
    </row>
    <row r="596">
      <c r="B596" s="8"/>
      <c r="C596" s="9"/>
      <c r="D596" s="9"/>
    </row>
    <row r="597">
      <c r="B597" s="8"/>
      <c r="C597" s="9"/>
      <c r="D597" s="9"/>
    </row>
    <row r="598">
      <c r="B598" s="8"/>
      <c r="C598" s="9"/>
      <c r="D598" s="9"/>
    </row>
    <row r="599">
      <c r="B599" s="8"/>
      <c r="C599" s="9"/>
      <c r="D599" s="9"/>
    </row>
    <row r="600">
      <c r="B600" s="8"/>
      <c r="C600" s="9"/>
      <c r="D600" s="9"/>
    </row>
    <row r="601">
      <c r="B601" s="8"/>
      <c r="C601" s="9"/>
      <c r="D601" s="9"/>
    </row>
    <row r="602">
      <c r="B602" s="8"/>
      <c r="C602" s="9"/>
      <c r="D602" s="9"/>
    </row>
    <row r="603">
      <c r="B603" s="8"/>
      <c r="C603" s="9"/>
      <c r="D603" s="9"/>
    </row>
    <row r="604">
      <c r="B604" s="8"/>
      <c r="C604" s="9"/>
      <c r="D604" s="9"/>
    </row>
    <row r="605">
      <c r="B605" s="8"/>
      <c r="C605" s="9"/>
      <c r="D605" s="9"/>
    </row>
    <row r="606">
      <c r="B606" s="8"/>
      <c r="C606" s="9"/>
      <c r="D606" s="9"/>
    </row>
    <row r="607">
      <c r="B607" s="8"/>
      <c r="C607" s="9"/>
      <c r="D607" s="9"/>
    </row>
    <row r="608">
      <c r="B608" s="8"/>
      <c r="C608" s="9"/>
      <c r="D608" s="9"/>
    </row>
    <row r="609">
      <c r="B609" s="8"/>
      <c r="C609" s="9"/>
      <c r="D609" s="9"/>
    </row>
    <row r="610">
      <c r="B610" s="8"/>
      <c r="C610" s="9"/>
      <c r="D610" s="9"/>
    </row>
    <row r="611">
      <c r="B611" s="8"/>
      <c r="C611" s="9"/>
      <c r="D611" s="9"/>
    </row>
    <row r="612">
      <c r="B612" s="8"/>
      <c r="C612" s="9"/>
      <c r="D612" s="9"/>
    </row>
    <row r="613">
      <c r="B613" s="8"/>
      <c r="C613" s="9"/>
      <c r="D613" s="9"/>
    </row>
    <row r="614">
      <c r="B614" s="8"/>
      <c r="C614" s="9"/>
      <c r="D614" s="9"/>
    </row>
    <row r="615">
      <c r="B615" s="8"/>
      <c r="C615" s="9"/>
      <c r="D615" s="9"/>
    </row>
    <row r="616">
      <c r="B616" s="8"/>
      <c r="C616" s="9"/>
      <c r="D616" s="9"/>
    </row>
    <row r="617">
      <c r="B617" s="8"/>
      <c r="C617" s="9"/>
      <c r="D617" s="9"/>
    </row>
    <row r="618">
      <c r="B618" s="8"/>
      <c r="C618" s="9"/>
      <c r="D618" s="9"/>
    </row>
    <row r="619">
      <c r="B619" s="8"/>
      <c r="C619" s="9"/>
      <c r="D619" s="9"/>
    </row>
    <row r="620">
      <c r="B620" s="8"/>
      <c r="C620" s="9"/>
      <c r="D620" s="9"/>
    </row>
    <row r="621">
      <c r="B621" s="8"/>
      <c r="C621" s="9"/>
      <c r="D621" s="9"/>
    </row>
    <row r="622">
      <c r="B622" s="8"/>
      <c r="C622" s="9"/>
      <c r="D622" s="9"/>
    </row>
    <row r="623">
      <c r="B623" s="8"/>
      <c r="C623" s="9"/>
      <c r="D623" s="9"/>
    </row>
    <row r="624">
      <c r="B624" s="8"/>
      <c r="C624" s="9"/>
      <c r="D624" s="9"/>
    </row>
    <row r="625">
      <c r="B625" s="8"/>
      <c r="C625" s="9"/>
      <c r="D625" s="9"/>
    </row>
    <row r="626">
      <c r="B626" s="8"/>
      <c r="C626" s="9"/>
      <c r="D626" s="9"/>
    </row>
    <row r="627">
      <c r="B627" s="8"/>
      <c r="C627" s="9"/>
      <c r="D627" s="9"/>
    </row>
    <row r="628">
      <c r="B628" s="8"/>
      <c r="C628" s="9"/>
      <c r="D628" s="9"/>
    </row>
    <row r="629">
      <c r="B629" s="8"/>
      <c r="C629" s="9"/>
      <c r="D629" s="9"/>
    </row>
    <row r="630">
      <c r="B630" s="8"/>
      <c r="C630" s="9"/>
      <c r="D630" s="9"/>
    </row>
    <row r="631">
      <c r="B631" s="8"/>
      <c r="C631" s="9"/>
      <c r="D631" s="9"/>
    </row>
    <row r="632">
      <c r="B632" s="8"/>
      <c r="C632" s="9"/>
      <c r="D632" s="9"/>
    </row>
    <row r="633">
      <c r="B633" s="8"/>
      <c r="C633" s="9"/>
      <c r="D633" s="9"/>
    </row>
    <row r="634">
      <c r="B634" s="8"/>
      <c r="C634" s="9"/>
      <c r="D634" s="9"/>
    </row>
    <row r="635">
      <c r="B635" s="8"/>
      <c r="C635" s="9"/>
      <c r="D635" s="9"/>
    </row>
    <row r="636">
      <c r="B636" s="8"/>
      <c r="C636" s="9"/>
      <c r="D636" s="9"/>
    </row>
    <row r="637">
      <c r="B637" s="8"/>
      <c r="C637" s="9"/>
      <c r="D637" s="9"/>
    </row>
    <row r="638">
      <c r="B638" s="8"/>
      <c r="C638" s="9"/>
      <c r="D638" s="9"/>
    </row>
    <row r="639">
      <c r="B639" s="8"/>
      <c r="C639" s="9"/>
      <c r="D639" s="9"/>
    </row>
    <row r="640">
      <c r="B640" s="8"/>
      <c r="C640" s="9"/>
      <c r="D640" s="9"/>
    </row>
    <row r="641">
      <c r="B641" s="8"/>
      <c r="C641" s="9"/>
      <c r="D641" s="9"/>
    </row>
    <row r="642">
      <c r="B642" s="8"/>
      <c r="C642" s="9"/>
      <c r="D642" s="9"/>
    </row>
    <row r="643">
      <c r="B643" s="8"/>
      <c r="C643" s="9"/>
      <c r="D643" s="9"/>
    </row>
    <row r="644">
      <c r="B644" s="8"/>
      <c r="C644" s="9"/>
      <c r="D644" s="9"/>
    </row>
    <row r="645">
      <c r="B645" s="8"/>
      <c r="C645" s="9"/>
      <c r="D645" s="9"/>
    </row>
    <row r="646">
      <c r="B646" s="8"/>
      <c r="C646" s="9"/>
      <c r="D646" s="9"/>
    </row>
    <row r="647">
      <c r="B647" s="8"/>
      <c r="C647" s="9"/>
      <c r="D647" s="9"/>
    </row>
    <row r="648">
      <c r="B648" s="8"/>
      <c r="C648" s="9"/>
      <c r="D648" s="9"/>
    </row>
    <row r="649">
      <c r="B649" s="8"/>
      <c r="C649" s="9"/>
      <c r="D649" s="9"/>
    </row>
    <row r="650">
      <c r="B650" s="8"/>
      <c r="C650" s="9"/>
      <c r="D650" s="9"/>
    </row>
    <row r="651">
      <c r="B651" s="8"/>
      <c r="C651" s="9"/>
      <c r="D651" s="9"/>
    </row>
    <row r="652">
      <c r="B652" s="8"/>
      <c r="C652" s="9"/>
      <c r="D652" s="9"/>
    </row>
    <row r="653">
      <c r="B653" s="8"/>
      <c r="C653" s="9"/>
      <c r="D653" s="9"/>
    </row>
    <row r="654">
      <c r="B654" s="8"/>
      <c r="C654" s="9"/>
      <c r="D654" s="9"/>
    </row>
    <row r="655">
      <c r="B655" s="8"/>
      <c r="C655" s="9"/>
      <c r="D655" s="9"/>
    </row>
    <row r="656">
      <c r="B656" s="8"/>
      <c r="C656" s="9"/>
      <c r="D656" s="9"/>
    </row>
    <row r="657">
      <c r="B657" s="8"/>
      <c r="C657" s="9"/>
      <c r="D657" s="9"/>
    </row>
    <row r="658">
      <c r="B658" s="8"/>
      <c r="C658" s="9"/>
      <c r="D658" s="9"/>
    </row>
    <row r="659">
      <c r="B659" s="8"/>
      <c r="C659" s="9"/>
      <c r="D659" s="9"/>
    </row>
    <row r="660">
      <c r="B660" s="8"/>
      <c r="C660" s="9"/>
      <c r="D660" s="9"/>
    </row>
    <row r="661">
      <c r="B661" s="8"/>
      <c r="C661" s="9"/>
      <c r="D661" s="9"/>
    </row>
    <row r="662">
      <c r="B662" s="8"/>
      <c r="C662" s="9"/>
      <c r="D662" s="9"/>
    </row>
    <row r="663">
      <c r="B663" s="8"/>
      <c r="C663" s="9"/>
      <c r="D663" s="9"/>
    </row>
    <row r="664">
      <c r="B664" s="8"/>
      <c r="C664" s="9"/>
      <c r="D664" s="9"/>
    </row>
    <row r="665">
      <c r="B665" s="8"/>
      <c r="C665" s="9"/>
      <c r="D665" s="9"/>
    </row>
    <row r="666">
      <c r="B666" s="8"/>
      <c r="C666" s="9"/>
      <c r="D666" s="9"/>
    </row>
    <row r="667">
      <c r="B667" s="8"/>
      <c r="C667" s="9"/>
      <c r="D667" s="9"/>
    </row>
    <row r="668">
      <c r="B668" s="8"/>
      <c r="C668" s="9"/>
      <c r="D668" s="9"/>
    </row>
    <row r="669">
      <c r="B669" s="8"/>
      <c r="C669" s="9"/>
      <c r="D669" s="9"/>
    </row>
    <row r="670">
      <c r="B670" s="8"/>
      <c r="C670" s="9"/>
      <c r="D670" s="9"/>
    </row>
    <row r="671">
      <c r="B671" s="8"/>
      <c r="C671" s="9"/>
      <c r="D671" s="9"/>
    </row>
    <row r="672">
      <c r="B672" s="8"/>
      <c r="C672" s="9"/>
      <c r="D672" s="9"/>
    </row>
    <row r="673">
      <c r="B673" s="8"/>
      <c r="C673" s="9"/>
      <c r="D673" s="9"/>
    </row>
    <row r="674">
      <c r="B674" s="8"/>
      <c r="C674" s="9"/>
      <c r="D674" s="9"/>
    </row>
    <row r="675">
      <c r="B675" s="8"/>
      <c r="C675" s="9"/>
      <c r="D675" s="9"/>
    </row>
    <row r="676">
      <c r="B676" s="8"/>
      <c r="C676" s="9"/>
      <c r="D676" s="9"/>
    </row>
    <row r="677">
      <c r="B677" s="8"/>
      <c r="C677" s="9"/>
      <c r="D677" s="9"/>
    </row>
    <row r="678">
      <c r="B678" s="8"/>
      <c r="C678" s="9"/>
      <c r="D678" s="9"/>
    </row>
    <row r="679">
      <c r="B679" s="8"/>
      <c r="C679" s="9"/>
      <c r="D679" s="9"/>
    </row>
    <row r="680">
      <c r="B680" s="8"/>
      <c r="C680" s="9"/>
      <c r="D680" s="9"/>
    </row>
    <row r="681">
      <c r="B681" s="8"/>
      <c r="C681" s="9"/>
      <c r="D681" s="9"/>
    </row>
    <row r="682">
      <c r="B682" s="8"/>
      <c r="C682" s="9"/>
      <c r="D682" s="9"/>
    </row>
    <row r="683">
      <c r="B683" s="8"/>
      <c r="C683" s="9"/>
      <c r="D683" s="9"/>
    </row>
    <row r="684">
      <c r="B684" s="8"/>
      <c r="C684" s="9"/>
      <c r="D684" s="9"/>
    </row>
    <row r="685">
      <c r="B685" s="8"/>
      <c r="C685" s="9"/>
      <c r="D685" s="9"/>
    </row>
    <row r="686">
      <c r="B686" s="8"/>
      <c r="C686" s="9"/>
      <c r="D686" s="9"/>
    </row>
    <row r="687">
      <c r="B687" s="8"/>
      <c r="C687" s="9"/>
      <c r="D687" s="9"/>
    </row>
    <row r="688">
      <c r="B688" s="8"/>
      <c r="C688" s="9"/>
      <c r="D688" s="9"/>
    </row>
    <row r="689">
      <c r="B689" s="8"/>
      <c r="C689" s="9"/>
      <c r="D689" s="9"/>
    </row>
    <row r="690">
      <c r="B690" s="8"/>
      <c r="C690" s="9"/>
      <c r="D690" s="9"/>
    </row>
    <row r="691">
      <c r="B691" s="8"/>
      <c r="C691" s="9"/>
      <c r="D691" s="9"/>
    </row>
    <row r="692">
      <c r="B692" s="8"/>
      <c r="C692" s="9"/>
      <c r="D692" s="9"/>
    </row>
    <row r="693">
      <c r="B693" s="8"/>
      <c r="C693" s="9"/>
      <c r="D693" s="9"/>
    </row>
    <row r="694">
      <c r="B694" s="8"/>
      <c r="C694" s="9"/>
      <c r="D694" s="9"/>
    </row>
    <row r="695">
      <c r="B695" s="8"/>
      <c r="C695" s="9"/>
      <c r="D695" s="9"/>
    </row>
    <row r="696">
      <c r="B696" s="8"/>
      <c r="C696" s="9"/>
      <c r="D696" s="9"/>
    </row>
    <row r="697">
      <c r="B697" s="8"/>
      <c r="C697" s="9"/>
      <c r="D697" s="9"/>
    </row>
    <row r="698">
      <c r="B698" s="8"/>
      <c r="C698" s="9"/>
      <c r="D698" s="9"/>
    </row>
    <row r="699">
      <c r="B699" s="8"/>
      <c r="C699" s="9"/>
      <c r="D699" s="9"/>
    </row>
    <row r="700">
      <c r="B700" s="8"/>
      <c r="C700" s="9"/>
      <c r="D700" s="9"/>
    </row>
    <row r="701">
      <c r="B701" s="8"/>
      <c r="C701" s="9"/>
      <c r="D701" s="9"/>
    </row>
    <row r="702">
      <c r="B702" s="8"/>
      <c r="C702" s="9"/>
      <c r="D702" s="9"/>
    </row>
    <row r="703">
      <c r="B703" s="8"/>
      <c r="C703" s="9"/>
      <c r="D703" s="9"/>
    </row>
    <row r="704">
      <c r="B704" s="8"/>
      <c r="C704" s="9"/>
      <c r="D704" s="9"/>
    </row>
    <row r="705">
      <c r="B705" s="8"/>
      <c r="C705" s="9"/>
      <c r="D705" s="9"/>
    </row>
    <row r="706">
      <c r="B706" s="8"/>
      <c r="C706" s="9"/>
      <c r="D706" s="9"/>
    </row>
    <row r="707">
      <c r="B707" s="8"/>
      <c r="C707" s="9"/>
      <c r="D707" s="9"/>
    </row>
    <row r="708">
      <c r="B708" s="8"/>
      <c r="C708" s="9"/>
      <c r="D708" s="9"/>
    </row>
    <row r="709">
      <c r="B709" s="8"/>
      <c r="C709" s="9"/>
      <c r="D709" s="9"/>
    </row>
    <row r="710">
      <c r="B710" s="8"/>
      <c r="C710" s="9"/>
      <c r="D710" s="9"/>
    </row>
    <row r="711">
      <c r="B711" s="8"/>
      <c r="C711" s="9"/>
      <c r="D711" s="9"/>
    </row>
    <row r="712">
      <c r="B712" s="8"/>
      <c r="C712" s="9"/>
      <c r="D712" s="9"/>
    </row>
    <row r="713">
      <c r="B713" s="8"/>
      <c r="C713" s="9"/>
      <c r="D713" s="9"/>
    </row>
    <row r="714">
      <c r="B714" s="8"/>
      <c r="C714" s="9"/>
      <c r="D714" s="9"/>
    </row>
    <row r="715">
      <c r="B715" s="8"/>
      <c r="C715" s="9"/>
      <c r="D715" s="9"/>
    </row>
    <row r="716">
      <c r="B716" s="8"/>
      <c r="C716" s="9"/>
      <c r="D716" s="9"/>
    </row>
    <row r="717">
      <c r="B717" s="8"/>
      <c r="C717" s="9"/>
      <c r="D717" s="9"/>
    </row>
    <row r="718">
      <c r="B718" s="8"/>
      <c r="C718" s="9"/>
      <c r="D718" s="9"/>
    </row>
    <row r="719">
      <c r="B719" s="8"/>
      <c r="C719" s="9"/>
      <c r="D719" s="9"/>
    </row>
    <row r="720">
      <c r="B720" s="8"/>
      <c r="C720" s="9"/>
      <c r="D720" s="9"/>
    </row>
    <row r="721">
      <c r="B721" s="8"/>
      <c r="C721" s="9"/>
      <c r="D721" s="9"/>
    </row>
    <row r="722">
      <c r="B722" s="8"/>
      <c r="C722" s="9"/>
      <c r="D722" s="9"/>
    </row>
    <row r="723">
      <c r="B723" s="8"/>
      <c r="C723" s="9"/>
      <c r="D723" s="9"/>
    </row>
    <row r="724">
      <c r="B724" s="8"/>
      <c r="C724" s="9"/>
      <c r="D724" s="9"/>
    </row>
    <row r="725">
      <c r="B725" s="8"/>
      <c r="C725" s="9"/>
      <c r="D725" s="9"/>
    </row>
    <row r="726">
      <c r="B726" s="8"/>
      <c r="C726" s="9"/>
      <c r="D726" s="9"/>
    </row>
    <row r="727">
      <c r="B727" s="8"/>
      <c r="C727" s="9"/>
      <c r="D727" s="9"/>
    </row>
    <row r="728">
      <c r="B728" s="8"/>
      <c r="C728" s="9"/>
      <c r="D728" s="9"/>
    </row>
    <row r="729">
      <c r="B729" s="8"/>
      <c r="C729" s="9"/>
      <c r="D729" s="9"/>
    </row>
    <row r="730">
      <c r="B730" s="8"/>
      <c r="C730" s="9"/>
      <c r="D730" s="9"/>
    </row>
    <row r="731">
      <c r="B731" s="8"/>
      <c r="C731" s="9"/>
      <c r="D731" s="9"/>
    </row>
    <row r="732">
      <c r="B732" s="8"/>
      <c r="C732" s="9"/>
      <c r="D732" s="9"/>
    </row>
    <row r="733">
      <c r="B733" s="8"/>
      <c r="C733" s="9"/>
      <c r="D733" s="9"/>
    </row>
    <row r="734">
      <c r="B734" s="8"/>
      <c r="C734" s="9"/>
      <c r="D734" s="9"/>
    </row>
    <row r="735">
      <c r="B735" s="8"/>
      <c r="C735" s="9"/>
      <c r="D735" s="9"/>
    </row>
    <row r="736">
      <c r="B736" s="8"/>
      <c r="C736" s="9"/>
      <c r="D736" s="9"/>
    </row>
    <row r="737">
      <c r="B737" s="8"/>
      <c r="C737" s="9"/>
      <c r="D737" s="9"/>
    </row>
    <row r="738">
      <c r="B738" s="8"/>
      <c r="C738" s="9"/>
      <c r="D738" s="9"/>
    </row>
    <row r="739">
      <c r="B739" s="8"/>
      <c r="C739" s="9"/>
      <c r="D739" s="9"/>
    </row>
    <row r="740">
      <c r="B740" s="8"/>
      <c r="C740" s="9"/>
      <c r="D740" s="9"/>
    </row>
    <row r="741">
      <c r="B741" s="8"/>
      <c r="C741" s="9"/>
      <c r="D741" s="9"/>
    </row>
    <row r="742">
      <c r="B742" s="8"/>
      <c r="C742" s="9"/>
      <c r="D742" s="9"/>
    </row>
    <row r="743">
      <c r="B743" s="8"/>
      <c r="C743" s="9"/>
      <c r="D743" s="9"/>
    </row>
    <row r="744">
      <c r="B744" s="8"/>
      <c r="C744" s="9"/>
      <c r="D744" s="9"/>
    </row>
    <row r="745">
      <c r="B745" s="8"/>
      <c r="C745" s="9"/>
      <c r="D745" s="9"/>
    </row>
    <row r="746">
      <c r="B746" s="8"/>
      <c r="C746" s="9"/>
      <c r="D746" s="9"/>
    </row>
    <row r="747">
      <c r="B747" s="8"/>
      <c r="C747" s="9"/>
      <c r="D747" s="9"/>
    </row>
    <row r="748">
      <c r="B748" s="8"/>
      <c r="C748" s="9"/>
      <c r="D748" s="9"/>
    </row>
    <row r="749">
      <c r="B749" s="8"/>
      <c r="C749" s="9"/>
      <c r="D749" s="9"/>
    </row>
    <row r="750">
      <c r="B750" s="8"/>
      <c r="C750" s="9"/>
      <c r="D750" s="9"/>
    </row>
    <row r="751">
      <c r="B751" s="8"/>
      <c r="C751" s="9"/>
      <c r="D751" s="9"/>
    </row>
    <row r="752">
      <c r="B752" s="8"/>
      <c r="C752" s="9"/>
      <c r="D752" s="9"/>
    </row>
    <row r="753">
      <c r="B753" s="8"/>
      <c r="C753" s="9"/>
      <c r="D753" s="9"/>
    </row>
    <row r="754">
      <c r="B754" s="8"/>
      <c r="C754" s="9"/>
      <c r="D754" s="9"/>
    </row>
    <row r="755">
      <c r="B755" s="8"/>
      <c r="C755" s="9"/>
      <c r="D755" s="9"/>
    </row>
    <row r="756">
      <c r="B756" s="8"/>
      <c r="C756" s="9"/>
      <c r="D756" s="9"/>
    </row>
    <row r="757">
      <c r="B757" s="8"/>
      <c r="C757" s="9"/>
      <c r="D757" s="9"/>
    </row>
    <row r="758">
      <c r="B758" s="8"/>
      <c r="C758" s="9"/>
      <c r="D758" s="9"/>
    </row>
    <row r="759">
      <c r="B759" s="8"/>
      <c r="C759" s="9"/>
      <c r="D759" s="9"/>
    </row>
    <row r="760">
      <c r="B760" s="8"/>
      <c r="C760" s="9"/>
      <c r="D760" s="9"/>
    </row>
    <row r="761">
      <c r="B761" s="8"/>
      <c r="C761" s="9"/>
      <c r="D761" s="9"/>
    </row>
    <row r="762">
      <c r="B762" s="8"/>
      <c r="C762" s="9"/>
      <c r="D762" s="9"/>
    </row>
    <row r="763">
      <c r="B763" s="8"/>
      <c r="C763" s="9"/>
      <c r="D763" s="9"/>
    </row>
    <row r="764">
      <c r="B764" s="8"/>
      <c r="C764" s="9"/>
      <c r="D764" s="9"/>
    </row>
    <row r="765">
      <c r="B765" s="8"/>
      <c r="C765" s="9"/>
      <c r="D765" s="9"/>
    </row>
    <row r="766">
      <c r="B766" s="8"/>
      <c r="C766" s="9"/>
      <c r="D766" s="9"/>
    </row>
    <row r="767">
      <c r="B767" s="8"/>
      <c r="C767" s="9"/>
      <c r="D767" s="9"/>
    </row>
    <row r="768">
      <c r="B768" s="8"/>
      <c r="C768" s="9"/>
      <c r="D768" s="9"/>
    </row>
    <row r="769">
      <c r="B769" s="8"/>
      <c r="C769" s="9"/>
      <c r="D769" s="9"/>
    </row>
    <row r="770">
      <c r="B770" s="8"/>
      <c r="C770" s="9"/>
      <c r="D770" s="9"/>
    </row>
    <row r="771">
      <c r="B771" s="8"/>
      <c r="C771" s="9"/>
      <c r="D771" s="9"/>
    </row>
    <row r="772">
      <c r="B772" s="8"/>
      <c r="C772" s="9"/>
      <c r="D772" s="9"/>
    </row>
    <row r="773">
      <c r="B773" s="8"/>
      <c r="C773" s="9"/>
      <c r="D773" s="9"/>
    </row>
    <row r="774">
      <c r="B774" s="8"/>
      <c r="C774" s="9"/>
      <c r="D774" s="9"/>
    </row>
    <row r="775">
      <c r="B775" s="8"/>
      <c r="C775" s="9"/>
      <c r="D775" s="9"/>
    </row>
    <row r="776">
      <c r="B776" s="8"/>
      <c r="C776" s="9"/>
      <c r="D776" s="9"/>
    </row>
    <row r="777">
      <c r="B777" s="8"/>
      <c r="C777" s="9"/>
      <c r="D777" s="9"/>
    </row>
    <row r="778">
      <c r="B778" s="8"/>
      <c r="C778" s="9"/>
      <c r="D778" s="9"/>
    </row>
    <row r="779">
      <c r="B779" s="8"/>
      <c r="C779" s="9"/>
      <c r="D779" s="9"/>
    </row>
    <row r="780">
      <c r="B780" s="8"/>
      <c r="C780" s="9"/>
      <c r="D780" s="9"/>
    </row>
    <row r="781">
      <c r="B781" s="8"/>
      <c r="C781" s="9"/>
      <c r="D781" s="9"/>
    </row>
    <row r="782">
      <c r="B782" s="8"/>
      <c r="C782" s="9"/>
      <c r="D782" s="9"/>
    </row>
    <row r="783">
      <c r="B783" s="8"/>
      <c r="C783" s="9"/>
      <c r="D783" s="9"/>
    </row>
    <row r="784">
      <c r="B784" s="8"/>
      <c r="C784" s="9"/>
      <c r="D784" s="9"/>
    </row>
    <row r="785">
      <c r="B785" s="8"/>
      <c r="C785" s="9"/>
      <c r="D785" s="9"/>
    </row>
    <row r="786">
      <c r="B786" s="8"/>
      <c r="C786" s="9"/>
      <c r="D786" s="9"/>
    </row>
    <row r="787">
      <c r="B787" s="8"/>
      <c r="C787" s="9"/>
      <c r="D787" s="9"/>
    </row>
    <row r="788">
      <c r="B788" s="8"/>
      <c r="C788" s="9"/>
      <c r="D788" s="9"/>
    </row>
    <row r="789">
      <c r="B789" s="8"/>
      <c r="C789" s="9"/>
      <c r="D789" s="9"/>
    </row>
    <row r="790">
      <c r="B790" s="8"/>
      <c r="C790" s="9"/>
      <c r="D790" s="9"/>
    </row>
    <row r="791">
      <c r="B791" s="8"/>
      <c r="C791" s="9"/>
      <c r="D791" s="9"/>
    </row>
    <row r="792">
      <c r="B792" s="8"/>
      <c r="C792" s="9"/>
      <c r="D792" s="9"/>
    </row>
    <row r="793">
      <c r="B793" s="8"/>
      <c r="C793" s="9"/>
      <c r="D793" s="9"/>
    </row>
    <row r="794">
      <c r="B794" s="8"/>
      <c r="C794" s="9"/>
      <c r="D794" s="9"/>
    </row>
    <row r="795">
      <c r="B795" s="8"/>
      <c r="C795" s="9"/>
      <c r="D795" s="9"/>
    </row>
    <row r="796">
      <c r="B796" s="8"/>
      <c r="C796" s="9"/>
      <c r="D796" s="9"/>
    </row>
    <row r="797">
      <c r="B797" s="8"/>
      <c r="C797" s="9"/>
      <c r="D797" s="9"/>
    </row>
    <row r="798">
      <c r="B798" s="8"/>
      <c r="C798" s="9"/>
      <c r="D798" s="9"/>
    </row>
    <row r="799">
      <c r="B799" s="8"/>
      <c r="C799" s="9"/>
      <c r="D799" s="9"/>
    </row>
    <row r="800">
      <c r="B800" s="8"/>
      <c r="C800" s="9"/>
      <c r="D800" s="9"/>
    </row>
    <row r="801">
      <c r="B801" s="8"/>
      <c r="C801" s="9"/>
      <c r="D801" s="9"/>
    </row>
    <row r="802">
      <c r="B802" s="8"/>
      <c r="C802" s="9"/>
      <c r="D802" s="9"/>
    </row>
    <row r="803">
      <c r="B803" s="8"/>
      <c r="C803" s="9"/>
      <c r="D803" s="9"/>
    </row>
    <row r="804">
      <c r="B804" s="8"/>
      <c r="C804" s="9"/>
      <c r="D804" s="9"/>
    </row>
    <row r="805">
      <c r="B805" s="8"/>
      <c r="C805" s="9"/>
      <c r="D805" s="9"/>
    </row>
    <row r="806">
      <c r="B806" s="8"/>
      <c r="C806" s="9"/>
      <c r="D806" s="9"/>
    </row>
    <row r="807">
      <c r="B807" s="8"/>
      <c r="C807" s="9"/>
      <c r="D807" s="9"/>
    </row>
    <row r="808">
      <c r="B808" s="8"/>
      <c r="C808" s="9"/>
      <c r="D808" s="9"/>
    </row>
    <row r="809">
      <c r="B809" s="8"/>
      <c r="C809" s="9"/>
      <c r="D809" s="9"/>
    </row>
    <row r="810">
      <c r="B810" s="8"/>
      <c r="C810" s="9"/>
      <c r="D810" s="9"/>
    </row>
    <row r="811">
      <c r="B811" s="8"/>
      <c r="C811" s="9"/>
      <c r="D811" s="9"/>
    </row>
    <row r="812">
      <c r="B812" s="8"/>
      <c r="C812" s="9"/>
      <c r="D812" s="9"/>
    </row>
    <row r="813">
      <c r="B813" s="8"/>
      <c r="C813" s="9"/>
      <c r="D813" s="9"/>
    </row>
    <row r="814">
      <c r="B814" s="8"/>
      <c r="C814" s="9"/>
      <c r="D814" s="9"/>
    </row>
    <row r="815">
      <c r="B815" s="8"/>
      <c r="C815" s="9"/>
      <c r="D815" s="9"/>
    </row>
    <row r="816">
      <c r="B816" s="8"/>
      <c r="C816" s="9"/>
      <c r="D816" s="9"/>
    </row>
    <row r="817">
      <c r="B817" s="8"/>
      <c r="C817" s="9"/>
      <c r="D817" s="9"/>
    </row>
    <row r="818">
      <c r="B818" s="8"/>
      <c r="C818" s="9"/>
      <c r="D818" s="9"/>
    </row>
    <row r="819">
      <c r="B819" s="8"/>
      <c r="C819" s="9"/>
      <c r="D819" s="9"/>
    </row>
    <row r="820">
      <c r="B820" s="8"/>
      <c r="C820" s="9"/>
      <c r="D820" s="9"/>
    </row>
    <row r="821">
      <c r="B821" s="8"/>
      <c r="C821" s="9"/>
      <c r="D821" s="9"/>
    </row>
    <row r="822">
      <c r="B822" s="8"/>
      <c r="C822" s="9"/>
      <c r="D822" s="9"/>
    </row>
    <row r="823">
      <c r="B823" s="8"/>
      <c r="C823" s="9"/>
      <c r="D823" s="9"/>
    </row>
    <row r="824">
      <c r="B824" s="8"/>
      <c r="C824" s="9"/>
      <c r="D824" s="9"/>
    </row>
    <row r="825">
      <c r="B825" s="8"/>
      <c r="C825" s="9"/>
      <c r="D825" s="9"/>
    </row>
    <row r="826">
      <c r="B826" s="8"/>
      <c r="C826" s="9"/>
      <c r="D826" s="9"/>
    </row>
    <row r="827">
      <c r="B827" s="8"/>
      <c r="C827" s="9"/>
      <c r="D827" s="9"/>
    </row>
    <row r="828">
      <c r="B828" s="8"/>
      <c r="C828" s="9"/>
      <c r="D828" s="9"/>
    </row>
    <row r="829">
      <c r="B829" s="8"/>
      <c r="C829" s="9"/>
      <c r="D829" s="9"/>
    </row>
    <row r="830">
      <c r="B830" s="8"/>
      <c r="C830" s="9"/>
      <c r="D830" s="9"/>
    </row>
    <row r="831">
      <c r="B831" s="8"/>
      <c r="C831" s="9"/>
      <c r="D831" s="9"/>
    </row>
    <row r="832">
      <c r="B832" s="8"/>
      <c r="C832" s="9"/>
      <c r="D832" s="9"/>
    </row>
    <row r="833">
      <c r="B833" s="8"/>
      <c r="C833" s="9"/>
      <c r="D833" s="9"/>
    </row>
    <row r="834">
      <c r="B834" s="8"/>
      <c r="C834" s="9"/>
      <c r="D834" s="9"/>
    </row>
    <row r="835">
      <c r="B835" s="8"/>
      <c r="C835" s="9"/>
      <c r="D835" s="9"/>
    </row>
    <row r="836">
      <c r="B836" s="8"/>
      <c r="C836" s="9"/>
      <c r="D836" s="9"/>
    </row>
    <row r="837">
      <c r="B837" s="8"/>
      <c r="C837" s="9"/>
      <c r="D837" s="9"/>
    </row>
    <row r="838">
      <c r="B838" s="8"/>
      <c r="C838" s="9"/>
      <c r="D838" s="9"/>
    </row>
    <row r="839">
      <c r="B839" s="8"/>
      <c r="C839" s="9"/>
      <c r="D839" s="9"/>
    </row>
    <row r="840">
      <c r="B840" s="8"/>
      <c r="C840" s="9"/>
      <c r="D840" s="9"/>
    </row>
    <row r="841">
      <c r="B841" s="8"/>
      <c r="C841" s="9"/>
      <c r="D841" s="9"/>
    </row>
    <row r="842">
      <c r="B842" s="8"/>
      <c r="C842" s="9"/>
      <c r="D842" s="9"/>
    </row>
    <row r="843">
      <c r="B843" s="8"/>
      <c r="C843" s="9"/>
      <c r="D843" s="9"/>
    </row>
    <row r="844">
      <c r="B844" s="8"/>
      <c r="C844" s="9"/>
      <c r="D844" s="9"/>
    </row>
    <row r="845">
      <c r="B845" s="8"/>
      <c r="C845" s="9"/>
      <c r="D845" s="9"/>
    </row>
    <row r="846">
      <c r="B846" s="8"/>
      <c r="C846" s="9"/>
      <c r="D846" s="9"/>
    </row>
    <row r="847">
      <c r="B847" s="8"/>
      <c r="C847" s="9"/>
      <c r="D847" s="9"/>
    </row>
    <row r="848">
      <c r="B848" s="8"/>
      <c r="C848" s="9"/>
      <c r="D848" s="9"/>
    </row>
    <row r="849">
      <c r="B849" s="8"/>
      <c r="C849" s="9"/>
      <c r="D849" s="9"/>
    </row>
    <row r="850">
      <c r="B850" s="8"/>
      <c r="C850" s="9"/>
      <c r="D850" s="9"/>
    </row>
    <row r="851">
      <c r="B851" s="8"/>
      <c r="C851" s="9"/>
      <c r="D851" s="9"/>
    </row>
    <row r="852">
      <c r="B852" s="8"/>
      <c r="C852" s="9"/>
      <c r="D852" s="9"/>
    </row>
    <row r="853">
      <c r="B853" s="8"/>
      <c r="C853" s="9"/>
      <c r="D853" s="9"/>
    </row>
    <row r="854">
      <c r="B854" s="8"/>
      <c r="C854" s="9"/>
      <c r="D854" s="9"/>
    </row>
    <row r="855">
      <c r="B855" s="8"/>
      <c r="C855" s="9"/>
      <c r="D855" s="9"/>
    </row>
    <row r="856">
      <c r="B856" s="8"/>
      <c r="C856" s="9"/>
      <c r="D856" s="9"/>
    </row>
    <row r="857">
      <c r="B857" s="8"/>
      <c r="C857" s="9"/>
      <c r="D857" s="9"/>
    </row>
    <row r="858">
      <c r="B858" s="8"/>
      <c r="C858" s="9"/>
      <c r="D858" s="9"/>
    </row>
    <row r="859">
      <c r="B859" s="8"/>
      <c r="C859" s="9"/>
      <c r="D859" s="9"/>
    </row>
    <row r="860">
      <c r="B860" s="8"/>
      <c r="C860" s="9"/>
      <c r="D860" s="9"/>
    </row>
    <row r="861">
      <c r="B861" s="8"/>
      <c r="C861" s="9"/>
      <c r="D861" s="9"/>
    </row>
    <row r="862">
      <c r="B862" s="8"/>
      <c r="C862" s="9"/>
      <c r="D862" s="9"/>
    </row>
    <row r="863">
      <c r="B863" s="8"/>
      <c r="C863" s="9"/>
      <c r="D863" s="9"/>
    </row>
    <row r="864">
      <c r="B864" s="8"/>
      <c r="C864" s="9"/>
      <c r="D864" s="9"/>
    </row>
    <row r="865">
      <c r="B865" s="8"/>
      <c r="C865" s="9"/>
      <c r="D865" s="9"/>
    </row>
    <row r="866">
      <c r="B866" s="8"/>
      <c r="C866" s="9"/>
      <c r="D866" s="9"/>
    </row>
    <row r="867">
      <c r="B867" s="8"/>
      <c r="C867" s="9"/>
      <c r="D867" s="9"/>
    </row>
    <row r="868">
      <c r="B868" s="8"/>
      <c r="C868" s="9"/>
      <c r="D868" s="9"/>
    </row>
    <row r="869">
      <c r="B869" s="8"/>
      <c r="C869" s="9"/>
      <c r="D869" s="9"/>
    </row>
    <row r="870">
      <c r="B870" s="8"/>
      <c r="C870" s="9"/>
      <c r="D870" s="9"/>
    </row>
    <row r="871">
      <c r="B871" s="8"/>
      <c r="C871" s="9"/>
      <c r="D871" s="9"/>
    </row>
    <row r="872">
      <c r="B872" s="8"/>
      <c r="C872" s="9"/>
      <c r="D872" s="9"/>
    </row>
    <row r="873">
      <c r="B873" s="8"/>
      <c r="C873" s="9"/>
      <c r="D873" s="9"/>
    </row>
    <row r="874">
      <c r="B874" s="8"/>
      <c r="C874" s="9"/>
      <c r="D874" s="9"/>
    </row>
    <row r="875">
      <c r="B875" s="8"/>
      <c r="C875" s="9"/>
      <c r="D875" s="9"/>
    </row>
    <row r="876">
      <c r="B876" s="8"/>
      <c r="C876" s="9"/>
      <c r="D876" s="9"/>
    </row>
    <row r="877">
      <c r="B877" s="8"/>
      <c r="C877" s="9"/>
      <c r="D877" s="9"/>
    </row>
    <row r="878">
      <c r="B878" s="8"/>
      <c r="C878" s="9"/>
      <c r="D878" s="9"/>
    </row>
    <row r="879">
      <c r="B879" s="8"/>
      <c r="C879" s="9"/>
      <c r="D879" s="9"/>
    </row>
    <row r="880">
      <c r="B880" s="8"/>
      <c r="C880" s="9"/>
      <c r="D880" s="9"/>
    </row>
    <row r="881">
      <c r="B881" s="8"/>
      <c r="C881" s="9"/>
      <c r="D881" s="9"/>
    </row>
    <row r="882">
      <c r="B882" s="8"/>
      <c r="C882" s="9"/>
      <c r="D882" s="9"/>
    </row>
    <row r="883">
      <c r="B883" s="8"/>
      <c r="C883" s="9"/>
      <c r="D883" s="9"/>
    </row>
    <row r="884">
      <c r="B884" s="8"/>
      <c r="C884" s="9"/>
      <c r="D884" s="9"/>
    </row>
    <row r="885">
      <c r="B885" s="8"/>
      <c r="C885" s="9"/>
      <c r="D885" s="9"/>
    </row>
    <row r="886">
      <c r="B886" s="8"/>
      <c r="C886" s="9"/>
      <c r="D886" s="9"/>
    </row>
    <row r="887">
      <c r="B887" s="8"/>
      <c r="C887" s="9"/>
      <c r="D887" s="9"/>
    </row>
    <row r="888">
      <c r="B888" s="8"/>
      <c r="C888" s="9"/>
      <c r="D888" s="9"/>
    </row>
    <row r="889">
      <c r="B889" s="8"/>
      <c r="C889" s="9"/>
      <c r="D889" s="9"/>
    </row>
    <row r="890">
      <c r="B890" s="8"/>
      <c r="C890" s="9"/>
      <c r="D890" s="9"/>
    </row>
    <row r="891">
      <c r="B891" s="8"/>
      <c r="C891" s="9"/>
      <c r="D891" s="9"/>
    </row>
    <row r="892">
      <c r="B892" s="8"/>
      <c r="C892" s="9"/>
      <c r="D892" s="9"/>
    </row>
    <row r="893">
      <c r="B893" s="8"/>
      <c r="C893" s="9"/>
      <c r="D893" s="9"/>
    </row>
    <row r="894">
      <c r="B894" s="8"/>
      <c r="C894" s="9"/>
      <c r="D894" s="9"/>
    </row>
    <row r="895">
      <c r="B895" s="8"/>
      <c r="C895" s="9"/>
      <c r="D895" s="9"/>
    </row>
    <row r="896">
      <c r="B896" s="8"/>
      <c r="C896" s="9"/>
      <c r="D896" s="9"/>
    </row>
    <row r="897">
      <c r="B897" s="8"/>
      <c r="C897" s="9"/>
      <c r="D897" s="9"/>
    </row>
    <row r="898">
      <c r="B898" s="8"/>
      <c r="C898" s="9"/>
      <c r="D898" s="9"/>
    </row>
    <row r="899">
      <c r="B899" s="8"/>
      <c r="C899" s="9"/>
      <c r="D899" s="9"/>
    </row>
    <row r="900">
      <c r="B900" s="8"/>
      <c r="C900" s="9"/>
      <c r="D900" s="9"/>
    </row>
    <row r="901">
      <c r="B901" s="8"/>
      <c r="C901" s="9"/>
      <c r="D901" s="9"/>
    </row>
    <row r="902">
      <c r="B902" s="8"/>
      <c r="C902" s="9"/>
      <c r="D902" s="9"/>
    </row>
    <row r="903">
      <c r="B903" s="8"/>
      <c r="C903" s="9"/>
      <c r="D903" s="9"/>
    </row>
    <row r="904">
      <c r="B904" s="8"/>
      <c r="C904" s="9"/>
      <c r="D904" s="9"/>
    </row>
    <row r="905">
      <c r="B905" s="8"/>
      <c r="C905" s="9"/>
      <c r="D905" s="9"/>
    </row>
    <row r="906">
      <c r="B906" s="8"/>
      <c r="C906" s="9"/>
      <c r="D906" s="9"/>
    </row>
    <row r="907">
      <c r="B907" s="8"/>
      <c r="C907" s="9"/>
      <c r="D907" s="9"/>
    </row>
    <row r="908">
      <c r="B908" s="8"/>
      <c r="C908" s="9"/>
      <c r="D908" s="9"/>
    </row>
    <row r="909">
      <c r="B909" s="8"/>
      <c r="C909" s="9"/>
      <c r="D909" s="9"/>
    </row>
    <row r="910">
      <c r="B910" s="8"/>
      <c r="C910" s="9"/>
      <c r="D910" s="9"/>
    </row>
    <row r="911">
      <c r="B911" s="8"/>
      <c r="C911" s="9"/>
      <c r="D911" s="9"/>
    </row>
    <row r="912">
      <c r="B912" s="8"/>
      <c r="C912" s="9"/>
      <c r="D912" s="9"/>
    </row>
    <row r="913">
      <c r="B913" s="8"/>
      <c r="C913" s="9"/>
      <c r="D913" s="9"/>
    </row>
    <row r="914">
      <c r="B914" s="8"/>
      <c r="C914" s="9"/>
      <c r="D914" s="9"/>
    </row>
    <row r="915">
      <c r="B915" s="8"/>
      <c r="C915" s="9"/>
      <c r="D915" s="9"/>
    </row>
    <row r="916">
      <c r="B916" s="8"/>
      <c r="C916" s="9"/>
      <c r="D916" s="9"/>
    </row>
    <row r="917">
      <c r="B917" s="8"/>
      <c r="C917" s="9"/>
      <c r="D917" s="9"/>
    </row>
    <row r="918">
      <c r="B918" s="8"/>
      <c r="C918" s="9"/>
      <c r="D918" s="9"/>
    </row>
    <row r="919">
      <c r="B919" s="8"/>
      <c r="C919" s="9"/>
      <c r="D919" s="9"/>
    </row>
    <row r="920">
      <c r="B920" s="8"/>
      <c r="C920" s="9"/>
      <c r="D920" s="9"/>
    </row>
    <row r="921">
      <c r="B921" s="8"/>
      <c r="C921" s="9"/>
      <c r="D921" s="9"/>
    </row>
    <row r="922">
      <c r="B922" s="8"/>
      <c r="C922" s="9"/>
      <c r="D922" s="9"/>
    </row>
    <row r="923">
      <c r="B923" s="8"/>
      <c r="C923" s="9"/>
      <c r="D923" s="9"/>
    </row>
    <row r="924">
      <c r="B924" s="8"/>
      <c r="C924" s="9"/>
      <c r="D924" s="9"/>
    </row>
    <row r="925">
      <c r="B925" s="8"/>
      <c r="C925" s="9"/>
      <c r="D925" s="9"/>
    </row>
    <row r="926">
      <c r="B926" s="8"/>
      <c r="C926" s="9"/>
      <c r="D926" s="9"/>
    </row>
    <row r="927">
      <c r="B927" s="8"/>
      <c r="C927" s="9"/>
      <c r="D927" s="9"/>
    </row>
    <row r="928">
      <c r="B928" s="8"/>
      <c r="C928" s="9"/>
      <c r="D928" s="9"/>
    </row>
    <row r="929">
      <c r="B929" s="8"/>
      <c r="C929" s="9"/>
      <c r="D929" s="9"/>
    </row>
    <row r="930">
      <c r="B930" s="8"/>
      <c r="C930" s="9"/>
      <c r="D930" s="9"/>
    </row>
    <row r="931">
      <c r="B931" s="8"/>
      <c r="C931" s="9"/>
      <c r="D931" s="9"/>
    </row>
    <row r="932">
      <c r="B932" s="8"/>
      <c r="C932" s="9"/>
      <c r="D932" s="9"/>
    </row>
    <row r="933">
      <c r="B933" s="8"/>
      <c r="C933" s="9"/>
      <c r="D933" s="9"/>
    </row>
    <row r="934">
      <c r="B934" s="8"/>
      <c r="C934" s="9"/>
      <c r="D934" s="9"/>
    </row>
    <row r="935">
      <c r="B935" s="8"/>
      <c r="C935" s="9"/>
      <c r="D935" s="9"/>
    </row>
    <row r="936">
      <c r="B936" s="8"/>
      <c r="C936" s="9"/>
      <c r="D936" s="9"/>
    </row>
    <row r="937">
      <c r="B937" s="8"/>
      <c r="C937" s="9"/>
      <c r="D937" s="9"/>
    </row>
    <row r="938">
      <c r="B938" s="8"/>
      <c r="C938" s="9"/>
      <c r="D938" s="9"/>
    </row>
    <row r="939">
      <c r="B939" s="8"/>
      <c r="C939" s="9"/>
      <c r="D939" s="9"/>
    </row>
    <row r="940">
      <c r="B940" s="8"/>
      <c r="C940" s="9"/>
      <c r="D940" s="9"/>
    </row>
    <row r="941">
      <c r="B941" s="8"/>
      <c r="C941" s="9"/>
      <c r="D941" s="9"/>
    </row>
    <row r="942">
      <c r="B942" s="8"/>
      <c r="C942" s="9"/>
      <c r="D942" s="9"/>
    </row>
    <row r="943">
      <c r="B943" s="8"/>
      <c r="C943" s="9"/>
      <c r="D943" s="9"/>
    </row>
    <row r="944">
      <c r="B944" s="8"/>
      <c r="C944" s="9"/>
      <c r="D944" s="9"/>
    </row>
    <row r="945">
      <c r="B945" s="8"/>
      <c r="C945" s="9"/>
      <c r="D945" s="9"/>
    </row>
    <row r="946">
      <c r="B946" s="8"/>
      <c r="C946" s="9"/>
      <c r="D946" s="9"/>
    </row>
    <row r="947">
      <c r="B947" s="8"/>
      <c r="C947" s="9"/>
      <c r="D947" s="9"/>
    </row>
    <row r="948">
      <c r="B948" s="8"/>
      <c r="C948" s="9"/>
      <c r="D948" s="9"/>
    </row>
    <row r="949">
      <c r="B949" s="8"/>
      <c r="C949" s="9"/>
      <c r="D949" s="9"/>
    </row>
    <row r="950">
      <c r="B950" s="8"/>
      <c r="C950" s="9"/>
      <c r="D950" s="9"/>
    </row>
    <row r="951">
      <c r="B951" s="8"/>
      <c r="C951" s="9"/>
      <c r="D951" s="9"/>
    </row>
    <row r="952">
      <c r="B952" s="8"/>
      <c r="C952" s="9"/>
      <c r="D952" s="9"/>
    </row>
    <row r="953">
      <c r="B953" s="8"/>
      <c r="C953" s="9"/>
      <c r="D953" s="9"/>
    </row>
    <row r="954">
      <c r="B954" s="8"/>
      <c r="C954" s="9"/>
      <c r="D954" s="9"/>
    </row>
    <row r="955">
      <c r="B955" s="8"/>
      <c r="C955" s="9"/>
      <c r="D955" s="9"/>
    </row>
    <row r="956">
      <c r="B956" s="8"/>
      <c r="C956" s="9"/>
      <c r="D956" s="9"/>
    </row>
    <row r="957">
      <c r="B957" s="8"/>
      <c r="C957" s="9"/>
      <c r="D957" s="9"/>
    </row>
    <row r="958">
      <c r="B958" s="8"/>
      <c r="C958" s="9"/>
      <c r="D958" s="9"/>
    </row>
    <row r="959">
      <c r="B959" s="8"/>
      <c r="C959" s="9"/>
      <c r="D959" s="9"/>
    </row>
    <row r="960">
      <c r="B960" s="8"/>
      <c r="C960" s="9"/>
      <c r="D960" s="9"/>
    </row>
    <row r="961">
      <c r="B961" s="8"/>
      <c r="C961" s="9"/>
      <c r="D961" s="9"/>
    </row>
    <row r="962">
      <c r="B962" s="8"/>
      <c r="C962" s="9"/>
      <c r="D962" s="9"/>
    </row>
    <row r="963">
      <c r="B963" s="8"/>
      <c r="C963" s="9"/>
      <c r="D963" s="9"/>
    </row>
    <row r="964">
      <c r="B964" s="8"/>
      <c r="C964" s="9"/>
      <c r="D964" s="9"/>
    </row>
    <row r="965">
      <c r="B965" s="8"/>
      <c r="C965" s="9"/>
      <c r="D965" s="9"/>
    </row>
    <row r="966">
      <c r="B966" s="8"/>
      <c r="C966" s="9"/>
      <c r="D966" s="9"/>
    </row>
    <row r="967">
      <c r="B967" s="8"/>
      <c r="C967" s="9"/>
      <c r="D967" s="9"/>
    </row>
    <row r="968">
      <c r="B968" s="8"/>
      <c r="C968" s="9"/>
      <c r="D968" s="9"/>
    </row>
    <row r="969">
      <c r="B969" s="8"/>
      <c r="C969" s="9"/>
      <c r="D969" s="9"/>
    </row>
    <row r="970">
      <c r="B970" s="8"/>
      <c r="C970" s="9"/>
      <c r="D970" s="9"/>
    </row>
    <row r="971">
      <c r="B971" s="8"/>
      <c r="C971" s="9"/>
      <c r="D971" s="9"/>
    </row>
    <row r="972">
      <c r="B972" s="8"/>
      <c r="C972" s="9"/>
      <c r="D972" s="9"/>
    </row>
    <row r="973">
      <c r="B973" s="8"/>
      <c r="C973" s="9"/>
      <c r="D973" s="9"/>
    </row>
    <row r="974">
      <c r="B974" s="8"/>
      <c r="C974" s="9"/>
      <c r="D974" s="9"/>
    </row>
    <row r="975">
      <c r="B975" s="8"/>
      <c r="C975" s="9"/>
      <c r="D975" s="9"/>
    </row>
    <row r="976">
      <c r="B976" s="8"/>
      <c r="C976" s="9"/>
      <c r="D976" s="9"/>
    </row>
    <row r="977">
      <c r="B977" s="8"/>
      <c r="C977" s="9"/>
      <c r="D977" s="9"/>
    </row>
    <row r="978">
      <c r="B978" s="8"/>
      <c r="C978" s="9"/>
      <c r="D978" s="9"/>
    </row>
    <row r="979">
      <c r="B979" s="8"/>
      <c r="C979" s="9"/>
      <c r="D979" s="9"/>
    </row>
    <row r="980">
      <c r="B980" s="8"/>
      <c r="C980" s="9"/>
      <c r="D980" s="9"/>
    </row>
    <row r="981">
      <c r="B981" s="8"/>
      <c r="C981" s="9"/>
      <c r="D981" s="9"/>
    </row>
    <row r="982">
      <c r="B982" s="8"/>
      <c r="C982" s="9"/>
      <c r="D982" s="9"/>
    </row>
    <row r="983">
      <c r="B983" s="8"/>
      <c r="C983" s="9"/>
      <c r="D983" s="9"/>
    </row>
    <row r="984">
      <c r="B984" s="8"/>
      <c r="C984" s="9"/>
      <c r="D984" s="9"/>
    </row>
    <row r="985">
      <c r="B985" s="8"/>
      <c r="C985" s="9"/>
      <c r="D985" s="9"/>
    </row>
    <row r="986">
      <c r="B986" s="8"/>
      <c r="C986" s="9"/>
      <c r="D986" s="9"/>
    </row>
    <row r="987">
      <c r="B987" s="8"/>
      <c r="C987" s="9"/>
      <c r="D987" s="9"/>
    </row>
    <row r="988">
      <c r="B988" s="8"/>
      <c r="C988" s="9"/>
      <c r="D988" s="9"/>
    </row>
    <row r="989">
      <c r="B989" s="8"/>
      <c r="C989" s="9"/>
      <c r="D989" s="9"/>
    </row>
    <row r="990">
      <c r="B990" s="8"/>
      <c r="C990" s="9"/>
      <c r="D990" s="9"/>
    </row>
    <row r="991">
      <c r="B991" s="8"/>
      <c r="C991" s="9"/>
      <c r="D991" s="9"/>
    </row>
    <row r="992">
      <c r="B992" s="8"/>
      <c r="C992" s="9"/>
      <c r="D992" s="9"/>
    </row>
    <row r="993">
      <c r="B993" s="8"/>
      <c r="C993" s="9"/>
      <c r="D993" s="9"/>
    </row>
    <row r="994">
      <c r="B994" s="8"/>
      <c r="C994" s="9"/>
      <c r="D994" s="9"/>
    </row>
    <row r="995">
      <c r="B995" s="8"/>
      <c r="C995" s="9"/>
      <c r="D995" s="9"/>
    </row>
    <row r="996">
      <c r="B996" s="8"/>
      <c r="C996" s="9"/>
      <c r="D996" s="9"/>
    </row>
    <row r="997">
      <c r="B997" s="8"/>
      <c r="C997" s="9"/>
      <c r="D997" s="9"/>
    </row>
    <row r="998">
      <c r="B998" s="8"/>
      <c r="C998" s="9"/>
      <c r="D998" s="9"/>
    </row>
    <row r="999">
      <c r="B999" s="8"/>
      <c r="C999" s="9"/>
      <c r="D999" s="9"/>
    </row>
    <row r="1000">
      <c r="B1000" s="8"/>
      <c r="C1000" s="9"/>
      <c r="D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</v>
      </c>
      <c r="B1" s="2" t="s">
        <v>93</v>
      </c>
      <c r="C1" s="5" t="s">
        <v>94</v>
      </c>
      <c r="D1" s="5" t="s">
        <v>95</v>
      </c>
    </row>
    <row r="2">
      <c r="A2" s="10" t="s">
        <v>96</v>
      </c>
      <c r="B2" s="10" t="s">
        <v>97</v>
      </c>
      <c r="C2" s="18" t="s">
        <v>98</v>
      </c>
      <c r="D2" s="18" t="s">
        <v>99</v>
      </c>
    </row>
    <row r="3">
      <c r="A3" s="10" t="s">
        <v>96</v>
      </c>
      <c r="B3" s="10" t="s">
        <v>100</v>
      </c>
      <c r="C3" s="18" t="s">
        <v>98</v>
      </c>
      <c r="D3" s="18" t="s">
        <v>99</v>
      </c>
    </row>
    <row r="4">
      <c r="A4" s="10" t="s">
        <v>96</v>
      </c>
      <c r="B4" s="10" t="s">
        <v>101</v>
      </c>
      <c r="C4" s="18" t="s">
        <v>98</v>
      </c>
      <c r="D4" s="18" t="s">
        <v>99</v>
      </c>
    </row>
    <row r="5">
      <c r="A5" s="10" t="s">
        <v>96</v>
      </c>
      <c r="B5" s="10" t="s">
        <v>102</v>
      </c>
      <c r="C5" s="18" t="s">
        <v>98</v>
      </c>
      <c r="D5" s="18" t="s">
        <v>99</v>
      </c>
    </row>
    <row r="6">
      <c r="A6" s="10" t="s">
        <v>96</v>
      </c>
      <c r="B6" s="10" t="s">
        <v>103</v>
      </c>
      <c r="C6" s="18" t="s">
        <v>98</v>
      </c>
      <c r="D6" s="18" t="s">
        <v>99</v>
      </c>
    </row>
    <row r="7">
      <c r="A7" s="10" t="s">
        <v>96</v>
      </c>
      <c r="B7" s="10" t="s">
        <v>104</v>
      </c>
      <c r="C7" s="18" t="s">
        <v>98</v>
      </c>
      <c r="D7" s="18" t="s">
        <v>99</v>
      </c>
    </row>
    <row r="8">
      <c r="A8" s="10" t="s">
        <v>105</v>
      </c>
      <c r="B8" s="10" t="s">
        <v>97</v>
      </c>
      <c r="C8" s="18" t="s">
        <v>98</v>
      </c>
      <c r="D8" s="18" t="s">
        <v>99</v>
      </c>
    </row>
    <row r="9">
      <c r="A9" s="10" t="s">
        <v>105</v>
      </c>
      <c r="B9" s="10" t="s">
        <v>100</v>
      </c>
      <c r="C9" s="18" t="s">
        <v>98</v>
      </c>
      <c r="D9" s="18" t="s">
        <v>99</v>
      </c>
    </row>
    <row r="10">
      <c r="A10" s="10" t="s">
        <v>105</v>
      </c>
      <c r="B10" s="10" t="s">
        <v>101</v>
      </c>
      <c r="C10" s="18" t="s">
        <v>98</v>
      </c>
      <c r="D10" s="18" t="s">
        <v>99</v>
      </c>
    </row>
    <row r="11">
      <c r="A11" s="10" t="s">
        <v>105</v>
      </c>
      <c r="B11" s="10" t="s">
        <v>102</v>
      </c>
      <c r="C11" s="18" t="s">
        <v>98</v>
      </c>
      <c r="D11" s="18" t="s">
        <v>99</v>
      </c>
    </row>
    <row r="12">
      <c r="A12" s="10" t="s">
        <v>105</v>
      </c>
      <c r="B12" s="10" t="s">
        <v>103</v>
      </c>
      <c r="C12" s="18" t="s">
        <v>98</v>
      </c>
      <c r="D12" s="18" t="s">
        <v>99</v>
      </c>
    </row>
    <row r="13">
      <c r="A13" s="10" t="s">
        <v>105</v>
      </c>
      <c r="B13" s="10" t="s">
        <v>104</v>
      </c>
      <c r="C13" s="18" t="s">
        <v>98</v>
      </c>
      <c r="D13" s="18" t="s">
        <v>99</v>
      </c>
    </row>
    <row r="14">
      <c r="C14" s="9"/>
      <c r="D14" s="9"/>
    </row>
    <row r="15">
      <c r="C15" s="9"/>
      <c r="D15" s="9"/>
    </row>
    <row r="16">
      <c r="C16" s="9"/>
      <c r="D16" s="9"/>
    </row>
    <row r="17">
      <c r="C17" s="9"/>
      <c r="D17" s="9"/>
    </row>
    <row r="18">
      <c r="C18" s="9"/>
      <c r="D18" s="9"/>
    </row>
    <row r="19">
      <c r="C19" s="9"/>
      <c r="D19" s="9"/>
    </row>
    <row r="20">
      <c r="C20" s="9"/>
      <c r="D20" s="9"/>
    </row>
    <row r="21">
      <c r="C21" s="9"/>
      <c r="D21" s="9"/>
    </row>
    <row r="22">
      <c r="C22" s="9"/>
      <c r="D22" s="9"/>
    </row>
    <row r="23">
      <c r="C23" s="9"/>
      <c r="D23" s="9"/>
    </row>
    <row r="24">
      <c r="C24" s="9"/>
      <c r="D24" s="9"/>
    </row>
    <row r="25">
      <c r="C25" s="9"/>
      <c r="D25" s="9"/>
    </row>
    <row r="26">
      <c r="C26" s="9"/>
      <c r="D26" s="9"/>
    </row>
    <row r="27">
      <c r="C27" s="9"/>
      <c r="D27" s="9"/>
    </row>
    <row r="28">
      <c r="C28" s="9"/>
      <c r="D28" s="9"/>
    </row>
    <row r="29">
      <c r="C29" s="9"/>
      <c r="D29" s="9"/>
    </row>
    <row r="30">
      <c r="C30" s="9"/>
      <c r="D30" s="9"/>
    </row>
    <row r="31">
      <c r="C31" s="9"/>
      <c r="D31" s="9"/>
    </row>
    <row r="32">
      <c r="C32" s="9"/>
      <c r="D32" s="9"/>
    </row>
    <row r="33">
      <c r="C33" s="9"/>
      <c r="D33" s="9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1.57"/>
    <col customWidth="1" min="3" max="3" width="18.71"/>
    <col customWidth="1" min="4" max="4" width="21.57"/>
    <col customWidth="1" min="5" max="5" width="43.0"/>
    <col customWidth="1" min="6" max="6" width="13.0"/>
  </cols>
  <sheetData>
    <row r="1">
      <c r="A1" s="2" t="s">
        <v>28</v>
      </c>
      <c r="B1" s="2" t="s">
        <v>106</v>
      </c>
      <c r="C1" s="5" t="s">
        <v>107</v>
      </c>
      <c r="D1" s="5" t="s">
        <v>108</v>
      </c>
      <c r="E1" s="2" t="s">
        <v>109</v>
      </c>
      <c r="F1" s="2" t="s">
        <v>110</v>
      </c>
    </row>
    <row r="2">
      <c r="A2" s="19" t="s">
        <v>34</v>
      </c>
      <c r="B2" s="20" t="s">
        <v>111</v>
      </c>
      <c r="C2" s="21">
        <v>5.73023931317E11</v>
      </c>
      <c r="E2" s="22" t="s">
        <v>112</v>
      </c>
      <c r="F2" s="10" t="s">
        <v>113</v>
      </c>
    </row>
    <row r="3">
      <c r="A3" s="19" t="s">
        <v>46</v>
      </c>
      <c r="B3" s="20" t="s">
        <v>114</v>
      </c>
      <c r="C3" s="21">
        <v>5.73001266321E11</v>
      </c>
      <c r="E3" s="22" t="s">
        <v>115</v>
      </c>
      <c r="F3" s="10" t="s">
        <v>113</v>
      </c>
    </row>
    <row r="4">
      <c r="A4" s="19" t="s">
        <v>116</v>
      </c>
      <c r="C4" s="20"/>
      <c r="D4" s="20"/>
      <c r="E4" s="23" t="s">
        <v>117</v>
      </c>
    </row>
    <row r="5">
      <c r="C5" s="9"/>
      <c r="D5" s="9"/>
    </row>
    <row r="6">
      <c r="C6" s="9"/>
      <c r="D6" s="9"/>
    </row>
    <row r="7">
      <c r="C7" s="9"/>
      <c r="D7" s="9"/>
    </row>
    <row r="8">
      <c r="C8" s="9"/>
      <c r="D8" s="9"/>
    </row>
    <row r="9">
      <c r="C9" s="9"/>
      <c r="D9" s="9"/>
    </row>
    <row r="10">
      <c r="C10" s="9"/>
      <c r="D10" s="9"/>
    </row>
    <row r="11">
      <c r="C11" s="9"/>
      <c r="D11" s="9"/>
    </row>
    <row r="12">
      <c r="C12" s="9"/>
      <c r="D12" s="9"/>
    </row>
    <row r="13">
      <c r="C13" s="9"/>
      <c r="D13" s="9"/>
    </row>
    <row r="14">
      <c r="C14" s="9"/>
      <c r="D14" s="9"/>
    </row>
    <row r="15">
      <c r="C15" s="9"/>
      <c r="D15" s="9"/>
    </row>
    <row r="16">
      <c r="C16" s="9"/>
      <c r="D16" s="9"/>
    </row>
    <row r="17">
      <c r="C17" s="9"/>
      <c r="D17" s="9"/>
    </row>
    <row r="18">
      <c r="C18" s="9"/>
      <c r="D18" s="9"/>
    </row>
    <row r="19">
      <c r="C19" s="9"/>
      <c r="D19" s="9"/>
    </row>
    <row r="20">
      <c r="C20" s="9"/>
      <c r="D20" s="9"/>
    </row>
    <row r="21">
      <c r="C21" s="9"/>
      <c r="D21" s="9"/>
    </row>
    <row r="22">
      <c r="C22" s="9"/>
      <c r="D22" s="9"/>
    </row>
    <row r="23">
      <c r="C23" s="9"/>
      <c r="D23" s="9"/>
    </row>
    <row r="24">
      <c r="C24" s="9"/>
      <c r="D24" s="9"/>
    </row>
    <row r="25">
      <c r="C25" s="9"/>
      <c r="D25" s="9"/>
    </row>
    <row r="26">
      <c r="C26" s="9"/>
      <c r="D26" s="9"/>
    </row>
    <row r="27">
      <c r="C27" s="9"/>
      <c r="D27" s="9"/>
    </row>
    <row r="28">
      <c r="C28" s="9"/>
      <c r="D28" s="9"/>
    </row>
    <row r="29">
      <c r="C29" s="9"/>
      <c r="D29" s="9"/>
    </row>
    <row r="30">
      <c r="C30" s="9"/>
      <c r="D30" s="9"/>
    </row>
    <row r="31">
      <c r="C31" s="9"/>
      <c r="D31" s="9"/>
    </row>
    <row r="32">
      <c r="C32" s="9"/>
      <c r="D32" s="9"/>
    </row>
    <row r="33">
      <c r="C33" s="9"/>
      <c r="D33" s="9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16.0"/>
    <col customWidth="1" min="4" max="4" width="20.0"/>
    <col customWidth="1" min="5" max="5" width="14.0"/>
    <col customWidth="1" min="6" max="6" width="28.0"/>
    <col customWidth="1" min="7" max="7" width="13.0"/>
    <col customWidth="1" min="8" max="8" width="11.0"/>
    <col customWidth="1" min="9" max="9" width="13.0"/>
    <col customWidth="1" min="10" max="10" width="10.0"/>
    <col customWidth="1" min="11" max="11" width="15.0"/>
    <col customWidth="1" min="12" max="15" width="13.0"/>
    <col customWidth="1" min="16" max="16" width="26.0"/>
    <col customWidth="1" min="17" max="18" width="7.0"/>
    <col customWidth="1" min="19" max="19" width="9.71"/>
    <col customWidth="1" min="20" max="20" width="10.0"/>
    <col customWidth="1" min="21" max="21" width="11.0"/>
  </cols>
  <sheetData>
    <row r="1" ht="30.0" customHeight="1">
      <c r="A1" s="11" t="s">
        <v>4</v>
      </c>
      <c r="B1" s="11" t="s">
        <v>118</v>
      </c>
      <c r="C1" s="11" t="s">
        <v>7</v>
      </c>
      <c r="D1" s="11" t="s">
        <v>12</v>
      </c>
      <c r="E1" s="11" t="s">
        <v>13</v>
      </c>
      <c r="F1" s="11" t="s">
        <v>8</v>
      </c>
      <c r="G1" s="11" t="s">
        <v>119</v>
      </c>
      <c r="H1" s="11" t="s">
        <v>120</v>
      </c>
      <c r="I1" s="11" t="s">
        <v>121</v>
      </c>
      <c r="J1" s="11" t="s">
        <v>122</v>
      </c>
      <c r="K1" s="11" t="s">
        <v>123</v>
      </c>
      <c r="L1" s="11" t="s">
        <v>15</v>
      </c>
      <c r="M1" s="11" t="s">
        <v>124</v>
      </c>
      <c r="N1" s="11" t="s">
        <v>125</v>
      </c>
      <c r="O1" s="11" t="s">
        <v>126</v>
      </c>
      <c r="P1" s="11" t="s">
        <v>16</v>
      </c>
      <c r="Q1" s="11" t="s">
        <v>127</v>
      </c>
      <c r="R1" s="11" t="s">
        <v>128</v>
      </c>
      <c r="S1" s="11" t="s">
        <v>129</v>
      </c>
      <c r="T1" s="11" t="s">
        <v>130</v>
      </c>
      <c r="U1" s="11" t="s">
        <v>9</v>
      </c>
    </row>
    <row r="2" ht="15.0" customHeight="1">
      <c r="A2" s="24">
        <v>46239.0</v>
      </c>
      <c r="B2" s="25">
        <v>0.645833333333333</v>
      </c>
      <c r="C2" s="26" t="s">
        <v>96</v>
      </c>
      <c r="D2" s="26" t="s">
        <v>131</v>
      </c>
      <c r="E2" s="26" t="s">
        <v>132</v>
      </c>
      <c r="F2" s="26" t="s">
        <v>55</v>
      </c>
      <c r="G2" s="27">
        <f t="array" ref="G2">IF($F2="","",IFERROR(INDEX(Config!$E:$E,MATCH($F2,Config!$D:$D,0)),0))</f>
        <v>85000</v>
      </c>
      <c r="H2" s="28"/>
      <c r="I2" s="27">
        <f t="shared" ref="I2:I3000" si="1">IF($F2="","",$G2-IF($H2="",0,$H2))</f>
        <v>85000</v>
      </c>
      <c r="J2" s="29"/>
      <c r="K2" s="30" t="s">
        <v>43</v>
      </c>
      <c r="L2" s="26" t="s">
        <v>44</v>
      </c>
      <c r="M2" s="27">
        <f t="array" ref="M2">IF($A2="","",IF($L2="Atendido",IFERROR($I2*INDEX(Config!$B:$B,MATCH($C2,Config!$A:$A,0)),0),0))</f>
        <v>0</v>
      </c>
      <c r="N2" s="27">
        <f t="shared" ref="N2:N3000" si="2">IF($A2="","",IF($L2="Atendido",$M2+IF($J2="",0,$J2),0))</f>
        <v>0</v>
      </c>
      <c r="O2" s="27">
        <f t="shared" ref="O2:O3000" si="3">IF($A2="","",IF($L2="Atendido",$I2-$M2,0))</f>
        <v>85000</v>
      </c>
      <c r="P2" s="26" t="s">
        <v>133</v>
      </c>
      <c r="Q2" s="31">
        <f t="shared" ref="Q2:Q3000" si="4">IF($A2="","",YEAR($A2))</f>
        <v>2026</v>
      </c>
      <c r="R2" s="31">
        <f t="shared" ref="R2:R3000" si="5">IF($A2="","",MONTH($A2))</f>
        <v>8</v>
      </c>
      <c r="S2" s="32" t="str">
        <f t="shared" ref="S2:S3000" si="6">IF($A2="","",CHOOSE(WEEKDAY($A2,2),"Lunes","Martes","Miércoles","Jueves","Viernes","Sábado","Domingo"))</f>
        <v>Miércoles</v>
      </c>
      <c r="T2" s="31">
        <f t="shared" ref="T2:T3000" si="7">IF($B2="","",HOUR($B2))</f>
        <v>15</v>
      </c>
      <c r="U2" s="33">
        <f t="array" ref="U2">IF($F2="","",IFERROR(INDEX(Config!$F:$F,MATCH($F2,Config!$D:$D,0)),0))</f>
        <v>75</v>
      </c>
    </row>
    <row r="3" ht="15.0" customHeight="1">
      <c r="A3" s="34"/>
      <c r="B3" s="35"/>
      <c r="C3" s="15"/>
      <c r="D3" s="15"/>
      <c r="E3" s="15"/>
      <c r="F3" s="15"/>
      <c r="G3" s="36" t="str">
        <f t="array" ref="G3">IF($F3="","",IFERROR(INDEX(Config!$E:$E,MATCH($F3,Config!$D:$D,0)),0))</f>
        <v/>
      </c>
      <c r="H3" s="16"/>
      <c r="I3" s="36" t="str">
        <f t="shared" si="1"/>
        <v/>
      </c>
      <c r="J3" s="16"/>
      <c r="K3" s="15"/>
      <c r="L3" s="15"/>
      <c r="M3" s="36" t="str">
        <f t="array" ref="M3">IF($A3="","",IF($L3="Atendido",IFERROR($I3*INDEX(Config!$B:$B,MATCH($C3,Config!$A:$A,0)),0),0))</f>
        <v/>
      </c>
      <c r="N3" s="36" t="str">
        <f t="shared" si="2"/>
        <v/>
      </c>
      <c r="O3" s="36" t="str">
        <f t="shared" si="3"/>
        <v/>
      </c>
      <c r="P3" s="15"/>
      <c r="Q3" s="37" t="str">
        <f t="shared" si="4"/>
        <v/>
      </c>
      <c r="R3" s="37" t="str">
        <f t="shared" si="5"/>
        <v/>
      </c>
      <c r="S3" s="32" t="str">
        <f t="shared" si="6"/>
        <v/>
      </c>
      <c r="T3" s="37" t="str">
        <f t="shared" si="7"/>
        <v/>
      </c>
      <c r="U3" s="37" t="str">
        <f t="array" ref="U3">IF($F3="","",IFERROR(INDEX(Config!$F:$F,MATCH($F3,Config!$D:$D,0)),0))</f>
        <v/>
      </c>
    </row>
    <row r="4" ht="15.0" customHeight="1">
      <c r="A4" s="34"/>
      <c r="B4" s="35"/>
      <c r="C4" s="15"/>
      <c r="D4" s="15"/>
      <c r="E4" s="15"/>
      <c r="F4" s="15"/>
      <c r="G4" s="36" t="str">
        <f t="array" ref="G4">IF($F4="","",IFERROR(INDEX(Config!$E:$E,MATCH($F4,Config!$D:$D,0)),0))</f>
        <v/>
      </c>
      <c r="H4" s="16"/>
      <c r="I4" s="36" t="str">
        <f t="shared" si="1"/>
        <v/>
      </c>
      <c r="J4" s="16"/>
      <c r="K4" s="15"/>
      <c r="L4" s="15"/>
      <c r="M4" s="36" t="str">
        <f t="array" ref="M4">IF($A4="","",IF($L4="Atendido",IFERROR($I4*INDEX(Config!$B:$B,MATCH($C4,Config!$A:$A,0)),0),0))</f>
        <v/>
      </c>
      <c r="N4" s="36" t="str">
        <f t="shared" si="2"/>
        <v/>
      </c>
      <c r="O4" s="36" t="str">
        <f t="shared" si="3"/>
        <v/>
      </c>
      <c r="P4" s="15"/>
      <c r="Q4" s="37" t="str">
        <f t="shared" si="4"/>
        <v/>
      </c>
      <c r="R4" s="37" t="str">
        <f t="shared" si="5"/>
        <v/>
      </c>
      <c r="S4" s="32" t="str">
        <f t="shared" si="6"/>
        <v/>
      </c>
      <c r="T4" s="37" t="str">
        <f t="shared" si="7"/>
        <v/>
      </c>
      <c r="U4" s="37" t="str">
        <f t="array" ref="U4">IF($F4="","",IFERROR(INDEX(Config!$F:$F,MATCH($F4,Config!$D:$D,0)),0))</f>
        <v/>
      </c>
    </row>
    <row r="5" ht="15.0" customHeight="1">
      <c r="A5" s="34"/>
      <c r="B5" s="35"/>
      <c r="C5" s="15"/>
      <c r="D5" s="15"/>
      <c r="E5" s="15"/>
      <c r="F5" s="15"/>
      <c r="G5" s="36" t="str">
        <f t="array" ref="G5">IF($F5="","",IFERROR(INDEX(Config!$E:$E,MATCH($F5,Config!$D:$D,0)),0))</f>
        <v/>
      </c>
      <c r="H5" s="16"/>
      <c r="I5" s="36" t="str">
        <f t="shared" si="1"/>
        <v/>
      </c>
      <c r="J5" s="16"/>
      <c r="K5" s="15"/>
      <c r="L5" s="15"/>
      <c r="M5" s="36" t="str">
        <f t="array" ref="M5">IF($A5="","",IF($L5="Atendido",IFERROR($I5*INDEX(Config!$B:$B,MATCH($C5,Config!$A:$A,0)),0),0))</f>
        <v/>
      </c>
      <c r="N5" s="36" t="str">
        <f t="shared" si="2"/>
        <v/>
      </c>
      <c r="O5" s="36" t="str">
        <f t="shared" si="3"/>
        <v/>
      </c>
      <c r="P5" s="15"/>
      <c r="Q5" s="37" t="str">
        <f t="shared" si="4"/>
        <v/>
      </c>
      <c r="R5" s="37" t="str">
        <f t="shared" si="5"/>
        <v/>
      </c>
      <c r="S5" s="32" t="str">
        <f t="shared" si="6"/>
        <v/>
      </c>
      <c r="T5" s="37" t="str">
        <f t="shared" si="7"/>
        <v/>
      </c>
      <c r="U5" s="37" t="str">
        <f t="array" ref="U5">IF($F5="","",IFERROR(INDEX(Config!$F:$F,MATCH($F5,Config!$D:$D,0)),0))</f>
        <v/>
      </c>
    </row>
    <row r="6" ht="15.0" customHeight="1">
      <c r="A6" s="34"/>
      <c r="B6" s="35"/>
      <c r="C6" s="15"/>
      <c r="D6" s="15"/>
      <c r="E6" s="15"/>
      <c r="F6" s="15"/>
      <c r="G6" s="36" t="str">
        <f t="array" ref="G6">IF($F6="","",IFERROR(INDEX(Config!$E:$E,MATCH($F6,Config!$D:$D,0)),0))</f>
        <v/>
      </c>
      <c r="H6" s="16"/>
      <c r="I6" s="36" t="str">
        <f t="shared" si="1"/>
        <v/>
      </c>
      <c r="J6" s="16"/>
      <c r="K6" s="15"/>
      <c r="L6" s="15"/>
      <c r="M6" s="36" t="str">
        <f t="array" ref="M6">IF($A6="","",IF($L6="Atendido",IFERROR($I6*INDEX(Config!$B:$B,MATCH($C6,Config!$A:$A,0)),0),0))</f>
        <v/>
      </c>
      <c r="N6" s="36" t="str">
        <f t="shared" si="2"/>
        <v/>
      </c>
      <c r="O6" s="36" t="str">
        <f t="shared" si="3"/>
        <v/>
      </c>
      <c r="P6" s="15"/>
      <c r="Q6" s="37" t="str">
        <f t="shared" si="4"/>
        <v/>
      </c>
      <c r="R6" s="37" t="str">
        <f t="shared" si="5"/>
        <v/>
      </c>
      <c r="S6" s="32" t="str">
        <f t="shared" si="6"/>
        <v/>
      </c>
      <c r="T6" s="37" t="str">
        <f t="shared" si="7"/>
        <v/>
      </c>
      <c r="U6" s="37" t="str">
        <f t="array" ref="U6">IF($F6="","",IFERROR(INDEX(Config!$F:$F,MATCH($F6,Config!$D:$D,0)),0))</f>
        <v/>
      </c>
    </row>
    <row r="7" ht="15.0" customHeight="1">
      <c r="A7" s="34"/>
      <c r="B7" s="35"/>
      <c r="C7" s="15"/>
      <c r="D7" s="15"/>
      <c r="E7" s="15"/>
      <c r="F7" s="15"/>
      <c r="G7" s="36" t="str">
        <f t="array" ref="G7">IF($F7="","",IFERROR(INDEX(Config!$E:$E,MATCH($F7,Config!$D:$D,0)),0))</f>
        <v/>
      </c>
      <c r="H7" s="16"/>
      <c r="I7" s="36" t="str">
        <f t="shared" si="1"/>
        <v/>
      </c>
      <c r="J7" s="16"/>
      <c r="K7" s="15"/>
      <c r="L7" s="15"/>
      <c r="M7" s="36" t="str">
        <f t="array" ref="M7">IF($A7="","",IF($L7="Atendido",IFERROR($I7*INDEX(Config!$B:$B,MATCH($C7,Config!$A:$A,0)),0),0))</f>
        <v/>
      </c>
      <c r="N7" s="36" t="str">
        <f t="shared" si="2"/>
        <v/>
      </c>
      <c r="O7" s="36" t="str">
        <f t="shared" si="3"/>
        <v/>
      </c>
      <c r="P7" s="15"/>
      <c r="Q7" s="37" t="str">
        <f t="shared" si="4"/>
        <v/>
      </c>
      <c r="R7" s="37" t="str">
        <f t="shared" si="5"/>
        <v/>
      </c>
      <c r="S7" s="32" t="str">
        <f t="shared" si="6"/>
        <v/>
      </c>
      <c r="T7" s="37" t="str">
        <f t="shared" si="7"/>
        <v/>
      </c>
      <c r="U7" s="37" t="str">
        <f t="array" ref="U7">IF($F7="","",IFERROR(INDEX(Config!$F:$F,MATCH($F7,Config!$D:$D,0)),0))</f>
        <v/>
      </c>
    </row>
    <row r="8" ht="15.0" customHeight="1">
      <c r="A8" s="34"/>
      <c r="B8" s="35"/>
      <c r="C8" s="15"/>
      <c r="D8" s="15"/>
      <c r="E8" s="15"/>
      <c r="F8" s="15"/>
      <c r="G8" s="36" t="str">
        <f t="array" ref="G8">IF($F8="","",IFERROR(INDEX(Config!$E:$E,MATCH($F8,Config!$D:$D,0)),0))</f>
        <v/>
      </c>
      <c r="H8" s="16"/>
      <c r="I8" s="36" t="str">
        <f t="shared" si="1"/>
        <v/>
      </c>
      <c r="J8" s="16"/>
      <c r="K8" s="15"/>
      <c r="L8" s="15"/>
      <c r="M8" s="36" t="str">
        <f t="array" ref="M8">IF($A8="","",IF($L8="Atendido",IFERROR($I8*INDEX(Config!$B:$B,MATCH($C8,Config!$A:$A,0)),0),0))</f>
        <v/>
      </c>
      <c r="N8" s="36" t="str">
        <f t="shared" si="2"/>
        <v/>
      </c>
      <c r="O8" s="36" t="str">
        <f t="shared" si="3"/>
        <v/>
      </c>
      <c r="P8" s="15"/>
      <c r="Q8" s="37" t="str">
        <f t="shared" si="4"/>
        <v/>
      </c>
      <c r="R8" s="37" t="str">
        <f t="shared" si="5"/>
        <v/>
      </c>
      <c r="S8" s="32" t="str">
        <f t="shared" si="6"/>
        <v/>
      </c>
      <c r="T8" s="37" t="str">
        <f t="shared" si="7"/>
        <v/>
      </c>
      <c r="U8" s="37" t="str">
        <f t="array" ref="U8">IF($F8="","",IFERROR(INDEX(Config!$F:$F,MATCH($F8,Config!$D:$D,0)),0))</f>
        <v/>
      </c>
    </row>
    <row r="9" ht="15.0" customHeight="1">
      <c r="A9" s="34"/>
      <c r="B9" s="35"/>
      <c r="C9" s="15"/>
      <c r="D9" s="15"/>
      <c r="E9" s="15"/>
      <c r="F9" s="15"/>
      <c r="G9" s="36" t="str">
        <f t="array" ref="G9">IF($F9="","",IFERROR(INDEX(Config!$E:$E,MATCH($F9,Config!$D:$D,0)),0))</f>
        <v/>
      </c>
      <c r="H9" s="16"/>
      <c r="I9" s="36" t="str">
        <f t="shared" si="1"/>
        <v/>
      </c>
      <c r="J9" s="16"/>
      <c r="K9" s="15"/>
      <c r="L9" s="15"/>
      <c r="M9" s="36" t="str">
        <f t="array" ref="M9">IF($A9="","",IF($L9="Atendido",IFERROR($I9*INDEX(Config!$B:$B,MATCH($C9,Config!$A:$A,0)),0),0))</f>
        <v/>
      </c>
      <c r="N9" s="36" t="str">
        <f t="shared" si="2"/>
        <v/>
      </c>
      <c r="O9" s="36" t="str">
        <f t="shared" si="3"/>
        <v/>
      </c>
      <c r="P9" s="15"/>
      <c r="Q9" s="37" t="str">
        <f t="shared" si="4"/>
        <v/>
      </c>
      <c r="R9" s="37" t="str">
        <f t="shared" si="5"/>
        <v/>
      </c>
      <c r="S9" s="32" t="str">
        <f t="shared" si="6"/>
        <v/>
      </c>
      <c r="T9" s="37" t="str">
        <f t="shared" si="7"/>
        <v/>
      </c>
      <c r="U9" s="37" t="str">
        <f t="array" ref="U9">IF($F9="","",IFERROR(INDEX(Config!$F:$F,MATCH($F9,Config!$D:$D,0)),0))</f>
        <v/>
      </c>
    </row>
    <row r="10" ht="15.0" customHeight="1">
      <c r="A10" s="34"/>
      <c r="B10" s="35"/>
      <c r="C10" s="15"/>
      <c r="D10" s="15"/>
      <c r="E10" s="15"/>
      <c r="F10" s="15"/>
      <c r="G10" s="36" t="str">
        <f t="array" ref="G10">IF($F10="","",IFERROR(INDEX(Config!$E:$E,MATCH($F10,Config!$D:$D,0)),0))</f>
        <v/>
      </c>
      <c r="H10" s="16"/>
      <c r="I10" s="36" t="str">
        <f t="shared" si="1"/>
        <v/>
      </c>
      <c r="J10" s="16"/>
      <c r="K10" s="15"/>
      <c r="L10" s="15"/>
      <c r="M10" s="36" t="str">
        <f t="array" ref="M10">IF($A10="","",IF($L10="Atendido",IFERROR($I10*INDEX(Config!$B:$B,MATCH($C10,Config!$A:$A,0)),0),0))</f>
        <v/>
      </c>
      <c r="N10" s="36" t="str">
        <f t="shared" si="2"/>
        <v/>
      </c>
      <c r="O10" s="36" t="str">
        <f t="shared" si="3"/>
        <v/>
      </c>
      <c r="P10" s="15"/>
      <c r="Q10" s="37" t="str">
        <f t="shared" si="4"/>
        <v/>
      </c>
      <c r="R10" s="37" t="str">
        <f t="shared" si="5"/>
        <v/>
      </c>
      <c r="S10" s="32" t="str">
        <f t="shared" si="6"/>
        <v/>
      </c>
      <c r="T10" s="37" t="str">
        <f t="shared" si="7"/>
        <v/>
      </c>
      <c r="U10" s="37" t="str">
        <f t="array" ref="U10">IF($F10="","",IFERROR(INDEX(Config!$F:$F,MATCH($F10,Config!$D:$D,0)),0))</f>
        <v/>
      </c>
    </row>
    <row r="11" ht="15.0" customHeight="1">
      <c r="A11" s="34"/>
      <c r="B11" s="35"/>
      <c r="C11" s="15"/>
      <c r="D11" s="15"/>
      <c r="E11" s="15"/>
      <c r="F11" s="15"/>
      <c r="G11" s="36" t="str">
        <f t="array" ref="G11">IF($F11="","",IFERROR(INDEX(Config!$E:$E,MATCH($F11,Config!$D:$D,0)),0))</f>
        <v/>
      </c>
      <c r="H11" s="16"/>
      <c r="I11" s="36" t="str">
        <f t="shared" si="1"/>
        <v/>
      </c>
      <c r="J11" s="16"/>
      <c r="K11" s="15"/>
      <c r="L11" s="15"/>
      <c r="M11" s="36" t="str">
        <f t="array" ref="M11">IF($A11="","",IF($L11="Atendido",IFERROR($I11*INDEX(Config!$B:$B,MATCH($C11,Config!$A:$A,0)),0),0))</f>
        <v/>
      </c>
      <c r="N11" s="36" t="str">
        <f t="shared" si="2"/>
        <v/>
      </c>
      <c r="O11" s="36" t="str">
        <f t="shared" si="3"/>
        <v/>
      </c>
      <c r="P11" s="15"/>
      <c r="Q11" s="37" t="str">
        <f t="shared" si="4"/>
        <v/>
      </c>
      <c r="R11" s="37" t="str">
        <f t="shared" si="5"/>
        <v/>
      </c>
      <c r="S11" s="32" t="str">
        <f t="shared" si="6"/>
        <v/>
      </c>
      <c r="T11" s="37" t="str">
        <f t="shared" si="7"/>
        <v/>
      </c>
      <c r="U11" s="37" t="str">
        <f t="array" ref="U11">IF($F11="","",IFERROR(INDEX(Config!$F:$F,MATCH($F11,Config!$D:$D,0)),0))</f>
        <v/>
      </c>
    </row>
    <row r="12" ht="15.0" customHeight="1">
      <c r="A12" s="34"/>
      <c r="B12" s="35"/>
      <c r="C12" s="15"/>
      <c r="D12" s="15"/>
      <c r="E12" s="15"/>
      <c r="F12" s="15"/>
      <c r="G12" s="36" t="str">
        <f t="array" ref="G12">IF($F12="","",IFERROR(INDEX(Config!$E:$E,MATCH($F12,Config!$D:$D,0)),0))</f>
        <v/>
      </c>
      <c r="H12" s="16"/>
      <c r="I12" s="36" t="str">
        <f t="shared" si="1"/>
        <v/>
      </c>
      <c r="J12" s="16"/>
      <c r="K12" s="15"/>
      <c r="L12" s="15"/>
      <c r="M12" s="36" t="str">
        <f t="array" ref="M12">IF($A12="","",IF($L12="Atendido",IFERROR($I12*INDEX(Config!$B:$B,MATCH($C12,Config!$A:$A,0)),0),0))</f>
        <v/>
      </c>
      <c r="N12" s="36" t="str">
        <f t="shared" si="2"/>
        <v/>
      </c>
      <c r="O12" s="36" t="str">
        <f t="shared" si="3"/>
        <v/>
      </c>
      <c r="P12" s="15"/>
      <c r="Q12" s="37" t="str">
        <f t="shared" si="4"/>
        <v/>
      </c>
      <c r="R12" s="37" t="str">
        <f t="shared" si="5"/>
        <v/>
      </c>
      <c r="S12" s="32" t="str">
        <f t="shared" si="6"/>
        <v/>
      </c>
      <c r="T12" s="37" t="str">
        <f t="shared" si="7"/>
        <v/>
      </c>
      <c r="U12" s="37" t="str">
        <f t="array" ref="U12">IF($F12="","",IFERROR(INDEX(Config!$F:$F,MATCH($F12,Config!$D:$D,0)),0))</f>
        <v/>
      </c>
    </row>
    <row r="13" ht="15.0" customHeight="1">
      <c r="A13" s="34"/>
      <c r="B13" s="35"/>
      <c r="C13" s="15"/>
      <c r="D13" s="15"/>
      <c r="E13" s="15"/>
      <c r="F13" s="15"/>
      <c r="G13" s="36" t="str">
        <f t="array" ref="G13">IF($F13="","",IFERROR(INDEX(Config!$E:$E,MATCH($F13,Config!$D:$D,0)),0))</f>
        <v/>
      </c>
      <c r="H13" s="16"/>
      <c r="I13" s="36" t="str">
        <f t="shared" si="1"/>
        <v/>
      </c>
      <c r="J13" s="16"/>
      <c r="K13" s="15"/>
      <c r="L13" s="15"/>
      <c r="M13" s="36" t="str">
        <f t="array" ref="M13">IF($A13="","",IF($L13="Atendido",IFERROR($I13*INDEX(Config!$B:$B,MATCH($C13,Config!$A:$A,0)),0),0))</f>
        <v/>
      </c>
      <c r="N13" s="36" t="str">
        <f t="shared" si="2"/>
        <v/>
      </c>
      <c r="O13" s="36" t="str">
        <f t="shared" si="3"/>
        <v/>
      </c>
      <c r="P13" s="15"/>
      <c r="Q13" s="37" t="str">
        <f t="shared" si="4"/>
        <v/>
      </c>
      <c r="R13" s="37" t="str">
        <f t="shared" si="5"/>
        <v/>
      </c>
      <c r="S13" s="32" t="str">
        <f t="shared" si="6"/>
        <v/>
      </c>
      <c r="T13" s="37" t="str">
        <f t="shared" si="7"/>
        <v/>
      </c>
      <c r="U13" s="37" t="str">
        <f t="array" ref="U13">IF($F13="","",IFERROR(INDEX(Config!$F:$F,MATCH($F13,Config!$D:$D,0)),0))</f>
        <v/>
      </c>
    </row>
    <row r="14" ht="15.0" customHeight="1">
      <c r="A14" s="34"/>
      <c r="B14" s="35"/>
      <c r="C14" s="15"/>
      <c r="D14" s="15"/>
      <c r="E14" s="15"/>
      <c r="F14" s="15"/>
      <c r="G14" s="36" t="str">
        <f t="array" ref="G14">IF($F14="","",IFERROR(INDEX(Config!$E:$E,MATCH($F14,Config!$D:$D,0)),0))</f>
        <v/>
      </c>
      <c r="H14" s="16"/>
      <c r="I14" s="36" t="str">
        <f t="shared" si="1"/>
        <v/>
      </c>
      <c r="J14" s="16"/>
      <c r="K14" s="15"/>
      <c r="L14" s="15"/>
      <c r="M14" s="36" t="str">
        <f t="array" ref="M14">IF($A14="","",IF($L14="Atendido",IFERROR($I14*INDEX(Config!$B:$B,MATCH($C14,Config!$A:$A,0)),0),0))</f>
        <v/>
      </c>
      <c r="N14" s="36" t="str">
        <f t="shared" si="2"/>
        <v/>
      </c>
      <c r="O14" s="36" t="str">
        <f t="shared" si="3"/>
        <v/>
      </c>
      <c r="P14" s="15"/>
      <c r="Q14" s="37" t="str">
        <f t="shared" si="4"/>
        <v/>
      </c>
      <c r="R14" s="37" t="str">
        <f t="shared" si="5"/>
        <v/>
      </c>
      <c r="S14" s="32" t="str">
        <f t="shared" si="6"/>
        <v/>
      </c>
      <c r="T14" s="37" t="str">
        <f t="shared" si="7"/>
        <v/>
      </c>
      <c r="U14" s="37" t="str">
        <f t="array" ref="U14">IF($F14="","",IFERROR(INDEX(Config!$F:$F,MATCH($F14,Config!$D:$D,0)),0))</f>
        <v/>
      </c>
    </row>
    <row r="15" ht="15.0" customHeight="1">
      <c r="A15" s="34"/>
      <c r="B15" s="35"/>
      <c r="C15" s="15"/>
      <c r="D15" s="15"/>
      <c r="E15" s="15"/>
      <c r="F15" s="15"/>
      <c r="G15" s="36" t="str">
        <f t="array" ref="G15">IF($F15="","",IFERROR(INDEX(Config!$E:$E,MATCH($F15,Config!$D:$D,0)),0))</f>
        <v/>
      </c>
      <c r="H15" s="16"/>
      <c r="I15" s="36" t="str">
        <f t="shared" si="1"/>
        <v/>
      </c>
      <c r="J15" s="16"/>
      <c r="K15" s="15"/>
      <c r="L15" s="15"/>
      <c r="M15" s="36" t="str">
        <f t="array" ref="M15">IF($A15="","",IF($L15="Atendido",IFERROR($I15*INDEX(Config!$B:$B,MATCH($C15,Config!$A:$A,0)),0),0))</f>
        <v/>
      </c>
      <c r="N15" s="36" t="str">
        <f t="shared" si="2"/>
        <v/>
      </c>
      <c r="O15" s="36" t="str">
        <f t="shared" si="3"/>
        <v/>
      </c>
      <c r="P15" s="15"/>
      <c r="Q15" s="37" t="str">
        <f t="shared" si="4"/>
        <v/>
      </c>
      <c r="R15" s="37" t="str">
        <f t="shared" si="5"/>
        <v/>
      </c>
      <c r="S15" s="32" t="str">
        <f t="shared" si="6"/>
        <v/>
      </c>
      <c r="T15" s="37" t="str">
        <f t="shared" si="7"/>
        <v/>
      </c>
      <c r="U15" s="37" t="str">
        <f t="array" ref="U15">IF($F15="","",IFERROR(INDEX(Config!$F:$F,MATCH($F15,Config!$D:$D,0)),0))</f>
        <v/>
      </c>
    </row>
    <row r="16" ht="15.0" customHeight="1">
      <c r="A16" s="34"/>
      <c r="B16" s="35"/>
      <c r="C16" s="15"/>
      <c r="D16" s="15"/>
      <c r="E16" s="15"/>
      <c r="F16" s="15"/>
      <c r="G16" s="36" t="str">
        <f t="array" ref="G16">IF($F16="","",IFERROR(INDEX(Config!$E:$E,MATCH($F16,Config!$D:$D,0)),0))</f>
        <v/>
      </c>
      <c r="H16" s="16"/>
      <c r="I16" s="36" t="str">
        <f t="shared" si="1"/>
        <v/>
      </c>
      <c r="J16" s="16"/>
      <c r="K16" s="15"/>
      <c r="L16" s="15"/>
      <c r="M16" s="36" t="str">
        <f t="array" ref="M16">IF($A16="","",IF($L16="Atendido",IFERROR($I16*INDEX(Config!$B:$B,MATCH($C16,Config!$A:$A,0)),0),0))</f>
        <v/>
      </c>
      <c r="N16" s="36" t="str">
        <f t="shared" si="2"/>
        <v/>
      </c>
      <c r="O16" s="36" t="str">
        <f t="shared" si="3"/>
        <v/>
      </c>
      <c r="P16" s="15"/>
      <c r="Q16" s="37" t="str">
        <f t="shared" si="4"/>
        <v/>
      </c>
      <c r="R16" s="37" t="str">
        <f t="shared" si="5"/>
        <v/>
      </c>
      <c r="S16" s="32" t="str">
        <f t="shared" si="6"/>
        <v/>
      </c>
      <c r="T16" s="37" t="str">
        <f t="shared" si="7"/>
        <v/>
      </c>
      <c r="U16" s="37" t="str">
        <f t="array" ref="U16">IF($F16="","",IFERROR(INDEX(Config!$F:$F,MATCH($F16,Config!$D:$D,0)),0))</f>
        <v/>
      </c>
    </row>
    <row r="17" ht="15.0" customHeight="1">
      <c r="A17" s="34"/>
      <c r="B17" s="35"/>
      <c r="C17" s="15"/>
      <c r="D17" s="15"/>
      <c r="E17" s="15"/>
      <c r="F17" s="15"/>
      <c r="G17" s="36" t="str">
        <f t="array" ref="G17">IF($F17="","",IFERROR(INDEX(Config!$E:$E,MATCH($F17,Config!$D:$D,0)),0))</f>
        <v/>
      </c>
      <c r="H17" s="16"/>
      <c r="I17" s="36" t="str">
        <f t="shared" si="1"/>
        <v/>
      </c>
      <c r="J17" s="16"/>
      <c r="K17" s="15"/>
      <c r="L17" s="15"/>
      <c r="M17" s="36" t="str">
        <f t="array" ref="M17">IF($A17="","",IF($L17="Atendido",IFERROR($I17*INDEX(Config!$B:$B,MATCH($C17,Config!$A:$A,0)),0),0))</f>
        <v/>
      </c>
      <c r="N17" s="36" t="str">
        <f t="shared" si="2"/>
        <v/>
      </c>
      <c r="O17" s="36" t="str">
        <f t="shared" si="3"/>
        <v/>
      </c>
      <c r="P17" s="15"/>
      <c r="Q17" s="37" t="str">
        <f t="shared" si="4"/>
        <v/>
      </c>
      <c r="R17" s="37" t="str">
        <f t="shared" si="5"/>
        <v/>
      </c>
      <c r="S17" s="32" t="str">
        <f t="shared" si="6"/>
        <v/>
      </c>
      <c r="T17" s="37" t="str">
        <f t="shared" si="7"/>
        <v/>
      </c>
      <c r="U17" s="37" t="str">
        <f t="array" ref="U17">IF($F17="","",IFERROR(INDEX(Config!$F:$F,MATCH($F17,Config!$D:$D,0)),0))</f>
        <v/>
      </c>
    </row>
    <row r="18" ht="15.0" customHeight="1">
      <c r="A18" s="34"/>
      <c r="B18" s="35"/>
      <c r="C18" s="15"/>
      <c r="D18" s="15"/>
      <c r="E18" s="15"/>
      <c r="F18" s="15"/>
      <c r="G18" s="36" t="str">
        <f t="array" ref="G18">IF($F18="","",IFERROR(INDEX(Config!$E:$E,MATCH($F18,Config!$D:$D,0)),0))</f>
        <v/>
      </c>
      <c r="H18" s="16"/>
      <c r="I18" s="36" t="str">
        <f t="shared" si="1"/>
        <v/>
      </c>
      <c r="J18" s="16"/>
      <c r="K18" s="15"/>
      <c r="L18" s="15"/>
      <c r="M18" s="36" t="str">
        <f t="array" ref="M18">IF($A18="","",IF($L18="Atendido",IFERROR($I18*INDEX(Config!$B:$B,MATCH($C18,Config!$A:$A,0)),0),0))</f>
        <v/>
      </c>
      <c r="N18" s="36" t="str">
        <f t="shared" si="2"/>
        <v/>
      </c>
      <c r="O18" s="36" t="str">
        <f t="shared" si="3"/>
        <v/>
      </c>
      <c r="P18" s="15"/>
      <c r="Q18" s="37" t="str">
        <f t="shared" si="4"/>
        <v/>
      </c>
      <c r="R18" s="37" t="str">
        <f t="shared" si="5"/>
        <v/>
      </c>
      <c r="S18" s="32" t="str">
        <f t="shared" si="6"/>
        <v/>
      </c>
      <c r="T18" s="37" t="str">
        <f t="shared" si="7"/>
        <v/>
      </c>
      <c r="U18" s="37" t="str">
        <f t="array" ref="U18">IF($F18="","",IFERROR(INDEX(Config!$F:$F,MATCH($F18,Config!$D:$D,0)),0))</f>
        <v/>
      </c>
    </row>
    <row r="19" ht="15.0" customHeight="1">
      <c r="A19" s="34"/>
      <c r="B19" s="35"/>
      <c r="C19" s="15"/>
      <c r="D19" s="15"/>
      <c r="E19" s="15"/>
      <c r="F19" s="15"/>
      <c r="G19" s="36" t="str">
        <f t="array" ref="G19">IF($F19="","",IFERROR(INDEX(Config!$E:$E,MATCH($F19,Config!$D:$D,0)),0))</f>
        <v/>
      </c>
      <c r="H19" s="16"/>
      <c r="I19" s="36" t="str">
        <f t="shared" si="1"/>
        <v/>
      </c>
      <c r="J19" s="16"/>
      <c r="K19" s="15"/>
      <c r="L19" s="15"/>
      <c r="M19" s="36" t="str">
        <f t="array" ref="M19">IF($A19="","",IF($L19="Atendido",IFERROR($I19*INDEX(Config!$B:$B,MATCH($C19,Config!$A:$A,0)),0),0))</f>
        <v/>
      </c>
      <c r="N19" s="36" t="str">
        <f t="shared" si="2"/>
        <v/>
      </c>
      <c r="O19" s="36" t="str">
        <f t="shared" si="3"/>
        <v/>
      </c>
      <c r="P19" s="15"/>
      <c r="Q19" s="37" t="str">
        <f t="shared" si="4"/>
        <v/>
      </c>
      <c r="R19" s="37" t="str">
        <f t="shared" si="5"/>
        <v/>
      </c>
      <c r="S19" s="32" t="str">
        <f t="shared" si="6"/>
        <v/>
      </c>
      <c r="T19" s="37" t="str">
        <f t="shared" si="7"/>
        <v/>
      </c>
      <c r="U19" s="37" t="str">
        <f t="array" ref="U19">IF($F19="","",IFERROR(INDEX(Config!$F:$F,MATCH($F19,Config!$D:$D,0)),0))</f>
        <v/>
      </c>
    </row>
    <row r="20" ht="15.0" customHeight="1">
      <c r="A20" s="34"/>
      <c r="B20" s="35"/>
      <c r="C20" s="15"/>
      <c r="D20" s="15"/>
      <c r="E20" s="15"/>
      <c r="F20" s="15"/>
      <c r="G20" s="36" t="str">
        <f t="array" ref="G20">IF($F20="","",IFERROR(INDEX(Config!$E:$E,MATCH($F20,Config!$D:$D,0)),0))</f>
        <v/>
      </c>
      <c r="H20" s="16"/>
      <c r="I20" s="36" t="str">
        <f t="shared" si="1"/>
        <v/>
      </c>
      <c r="J20" s="16"/>
      <c r="K20" s="15"/>
      <c r="L20" s="15"/>
      <c r="M20" s="36" t="str">
        <f t="array" ref="M20">IF($A20="","",IF($L20="Atendido",IFERROR($I20*INDEX(Config!$B:$B,MATCH($C20,Config!$A:$A,0)),0),0))</f>
        <v/>
      </c>
      <c r="N20" s="36" t="str">
        <f t="shared" si="2"/>
        <v/>
      </c>
      <c r="O20" s="36" t="str">
        <f t="shared" si="3"/>
        <v/>
      </c>
      <c r="P20" s="15"/>
      <c r="Q20" s="37" t="str">
        <f t="shared" si="4"/>
        <v/>
      </c>
      <c r="R20" s="37" t="str">
        <f t="shared" si="5"/>
        <v/>
      </c>
      <c r="S20" s="32" t="str">
        <f t="shared" si="6"/>
        <v/>
      </c>
      <c r="T20" s="37" t="str">
        <f t="shared" si="7"/>
        <v/>
      </c>
      <c r="U20" s="37" t="str">
        <f t="array" ref="U20">IF($F20="","",IFERROR(INDEX(Config!$F:$F,MATCH($F20,Config!$D:$D,0)),0))</f>
        <v/>
      </c>
    </row>
    <row r="21" ht="15.0" customHeight="1">
      <c r="A21" s="34"/>
      <c r="B21" s="35"/>
      <c r="C21" s="15"/>
      <c r="D21" s="15"/>
      <c r="E21" s="15"/>
      <c r="F21" s="15"/>
      <c r="G21" s="36" t="str">
        <f t="array" ref="G21">IF($F21="","",IFERROR(INDEX(Config!$E:$E,MATCH($F21,Config!$D:$D,0)),0))</f>
        <v/>
      </c>
      <c r="H21" s="16"/>
      <c r="I21" s="36" t="str">
        <f t="shared" si="1"/>
        <v/>
      </c>
      <c r="J21" s="16"/>
      <c r="K21" s="15"/>
      <c r="L21" s="15"/>
      <c r="M21" s="36" t="str">
        <f t="array" ref="M21">IF($A21="","",IF($L21="Atendido",IFERROR($I21*INDEX(Config!$B:$B,MATCH($C21,Config!$A:$A,0)),0),0))</f>
        <v/>
      </c>
      <c r="N21" s="36" t="str">
        <f t="shared" si="2"/>
        <v/>
      </c>
      <c r="O21" s="36" t="str">
        <f t="shared" si="3"/>
        <v/>
      </c>
      <c r="P21" s="15"/>
      <c r="Q21" s="37" t="str">
        <f t="shared" si="4"/>
        <v/>
      </c>
      <c r="R21" s="37" t="str">
        <f t="shared" si="5"/>
        <v/>
      </c>
      <c r="S21" s="32" t="str">
        <f t="shared" si="6"/>
        <v/>
      </c>
      <c r="T21" s="37" t="str">
        <f t="shared" si="7"/>
        <v/>
      </c>
      <c r="U21" s="37" t="str">
        <f t="array" ref="U21">IF($F21="","",IFERROR(INDEX(Config!$F:$F,MATCH($F21,Config!$D:$D,0)),0))</f>
        <v/>
      </c>
    </row>
    <row r="22" ht="15.0" customHeight="1">
      <c r="A22" s="34"/>
      <c r="B22" s="35"/>
      <c r="C22" s="15"/>
      <c r="D22" s="15"/>
      <c r="E22" s="15"/>
      <c r="F22" s="15"/>
      <c r="G22" s="36" t="str">
        <f t="array" ref="G22">IF($F22="","",IFERROR(INDEX(Config!$E:$E,MATCH($F22,Config!$D:$D,0)),0))</f>
        <v/>
      </c>
      <c r="H22" s="16"/>
      <c r="I22" s="36" t="str">
        <f t="shared" si="1"/>
        <v/>
      </c>
      <c r="J22" s="16"/>
      <c r="K22" s="15"/>
      <c r="L22" s="15"/>
      <c r="M22" s="36" t="str">
        <f t="array" ref="M22">IF($A22="","",IF($L22="Atendido",IFERROR($I22*INDEX(Config!$B:$B,MATCH($C22,Config!$A:$A,0)),0),0))</f>
        <v/>
      </c>
      <c r="N22" s="36" t="str">
        <f t="shared" si="2"/>
        <v/>
      </c>
      <c r="O22" s="36" t="str">
        <f t="shared" si="3"/>
        <v/>
      </c>
      <c r="P22" s="15"/>
      <c r="Q22" s="37" t="str">
        <f t="shared" si="4"/>
        <v/>
      </c>
      <c r="R22" s="37" t="str">
        <f t="shared" si="5"/>
        <v/>
      </c>
      <c r="S22" s="32" t="str">
        <f t="shared" si="6"/>
        <v/>
      </c>
      <c r="T22" s="37" t="str">
        <f t="shared" si="7"/>
        <v/>
      </c>
      <c r="U22" s="37" t="str">
        <f t="array" ref="U22">IF($F22="","",IFERROR(INDEX(Config!$F:$F,MATCH($F22,Config!$D:$D,0)),0))</f>
        <v/>
      </c>
    </row>
    <row r="23" ht="15.0" customHeight="1">
      <c r="A23" s="34"/>
      <c r="B23" s="35"/>
      <c r="C23" s="15"/>
      <c r="D23" s="15"/>
      <c r="E23" s="15"/>
      <c r="F23" s="15"/>
      <c r="G23" s="36" t="str">
        <f t="array" ref="G23">IF($F23="","",IFERROR(INDEX(Config!$E:$E,MATCH($F23,Config!$D:$D,0)),0))</f>
        <v/>
      </c>
      <c r="H23" s="16"/>
      <c r="I23" s="36" t="str">
        <f t="shared" si="1"/>
        <v/>
      </c>
      <c r="J23" s="16"/>
      <c r="K23" s="15"/>
      <c r="L23" s="15"/>
      <c r="M23" s="36" t="str">
        <f t="array" ref="M23">IF($A23="","",IF($L23="Atendido",IFERROR($I23*INDEX(Config!$B:$B,MATCH($C23,Config!$A:$A,0)),0),0))</f>
        <v/>
      </c>
      <c r="N23" s="36" t="str">
        <f t="shared" si="2"/>
        <v/>
      </c>
      <c r="O23" s="36" t="str">
        <f t="shared" si="3"/>
        <v/>
      </c>
      <c r="P23" s="15"/>
      <c r="Q23" s="37" t="str">
        <f t="shared" si="4"/>
        <v/>
      </c>
      <c r="R23" s="37" t="str">
        <f t="shared" si="5"/>
        <v/>
      </c>
      <c r="S23" s="32" t="str">
        <f t="shared" si="6"/>
        <v/>
      </c>
      <c r="T23" s="37" t="str">
        <f t="shared" si="7"/>
        <v/>
      </c>
      <c r="U23" s="37" t="str">
        <f t="array" ref="U23">IF($F23="","",IFERROR(INDEX(Config!$F:$F,MATCH($F23,Config!$D:$D,0)),0))</f>
        <v/>
      </c>
    </row>
    <row r="24" ht="15.0" customHeight="1">
      <c r="A24" s="34"/>
      <c r="B24" s="35"/>
      <c r="C24" s="15"/>
      <c r="D24" s="15"/>
      <c r="E24" s="15"/>
      <c r="F24" s="15"/>
      <c r="G24" s="36" t="str">
        <f t="array" ref="G24">IF($F24="","",IFERROR(INDEX(Config!$E:$E,MATCH($F24,Config!$D:$D,0)),0))</f>
        <v/>
      </c>
      <c r="H24" s="16"/>
      <c r="I24" s="36" t="str">
        <f t="shared" si="1"/>
        <v/>
      </c>
      <c r="J24" s="16"/>
      <c r="K24" s="15"/>
      <c r="L24" s="15"/>
      <c r="M24" s="36" t="str">
        <f t="array" ref="M24">IF($A24="","",IF($L24="Atendido",IFERROR($I24*INDEX(Config!$B:$B,MATCH($C24,Config!$A:$A,0)),0),0))</f>
        <v/>
      </c>
      <c r="N24" s="36" t="str">
        <f t="shared" si="2"/>
        <v/>
      </c>
      <c r="O24" s="36" t="str">
        <f t="shared" si="3"/>
        <v/>
      </c>
      <c r="P24" s="15"/>
      <c r="Q24" s="37" t="str">
        <f t="shared" si="4"/>
        <v/>
      </c>
      <c r="R24" s="37" t="str">
        <f t="shared" si="5"/>
        <v/>
      </c>
      <c r="S24" s="32" t="str">
        <f t="shared" si="6"/>
        <v/>
      </c>
      <c r="T24" s="37" t="str">
        <f t="shared" si="7"/>
        <v/>
      </c>
      <c r="U24" s="37" t="str">
        <f t="array" ref="U24">IF($F24="","",IFERROR(INDEX(Config!$F:$F,MATCH($F24,Config!$D:$D,0)),0))</f>
        <v/>
      </c>
    </row>
    <row r="25" ht="15.0" customHeight="1">
      <c r="A25" s="34"/>
      <c r="B25" s="35"/>
      <c r="C25" s="15"/>
      <c r="D25" s="15"/>
      <c r="E25" s="15"/>
      <c r="F25" s="15"/>
      <c r="G25" s="36" t="str">
        <f t="array" ref="G25">IF($F25="","",IFERROR(INDEX(Config!$E:$E,MATCH($F25,Config!$D:$D,0)),0))</f>
        <v/>
      </c>
      <c r="H25" s="16"/>
      <c r="I25" s="36" t="str">
        <f t="shared" si="1"/>
        <v/>
      </c>
      <c r="J25" s="16"/>
      <c r="K25" s="15"/>
      <c r="L25" s="15"/>
      <c r="M25" s="36" t="str">
        <f t="array" ref="M25">IF($A25="","",IF($L25="Atendido",IFERROR($I25*INDEX(Config!$B:$B,MATCH($C25,Config!$A:$A,0)),0),0))</f>
        <v/>
      </c>
      <c r="N25" s="36" t="str">
        <f t="shared" si="2"/>
        <v/>
      </c>
      <c r="O25" s="36" t="str">
        <f t="shared" si="3"/>
        <v/>
      </c>
      <c r="P25" s="15"/>
      <c r="Q25" s="37" t="str">
        <f t="shared" si="4"/>
        <v/>
      </c>
      <c r="R25" s="37" t="str">
        <f t="shared" si="5"/>
        <v/>
      </c>
      <c r="S25" s="32" t="str">
        <f t="shared" si="6"/>
        <v/>
      </c>
      <c r="T25" s="37" t="str">
        <f t="shared" si="7"/>
        <v/>
      </c>
      <c r="U25" s="37" t="str">
        <f t="array" ref="U25">IF($F25="","",IFERROR(INDEX(Config!$F:$F,MATCH($F25,Config!$D:$D,0)),0))</f>
        <v/>
      </c>
    </row>
    <row r="26" ht="15.0" customHeight="1">
      <c r="A26" s="34"/>
      <c r="B26" s="35"/>
      <c r="C26" s="15"/>
      <c r="D26" s="15"/>
      <c r="E26" s="15"/>
      <c r="F26" s="15"/>
      <c r="G26" s="36" t="str">
        <f t="array" ref="G26">IF($F26="","",IFERROR(INDEX(Config!$E:$E,MATCH($F26,Config!$D:$D,0)),0))</f>
        <v/>
      </c>
      <c r="H26" s="16"/>
      <c r="I26" s="36" t="str">
        <f t="shared" si="1"/>
        <v/>
      </c>
      <c r="J26" s="16"/>
      <c r="K26" s="15"/>
      <c r="L26" s="15"/>
      <c r="M26" s="36" t="str">
        <f t="array" ref="M26">IF($A26="","",IF($L26="Atendido",IFERROR($I26*INDEX(Config!$B:$B,MATCH($C26,Config!$A:$A,0)),0),0))</f>
        <v/>
      </c>
      <c r="N26" s="36" t="str">
        <f t="shared" si="2"/>
        <v/>
      </c>
      <c r="O26" s="36" t="str">
        <f t="shared" si="3"/>
        <v/>
      </c>
      <c r="P26" s="15"/>
      <c r="Q26" s="37" t="str">
        <f t="shared" si="4"/>
        <v/>
      </c>
      <c r="R26" s="37" t="str">
        <f t="shared" si="5"/>
        <v/>
      </c>
      <c r="S26" s="32" t="str">
        <f t="shared" si="6"/>
        <v/>
      </c>
      <c r="T26" s="37" t="str">
        <f t="shared" si="7"/>
        <v/>
      </c>
      <c r="U26" s="37" t="str">
        <f t="array" ref="U26">IF($F26="","",IFERROR(INDEX(Config!$F:$F,MATCH($F26,Config!$D:$D,0)),0))</f>
        <v/>
      </c>
    </row>
    <row r="27" ht="15.0" customHeight="1">
      <c r="A27" s="34"/>
      <c r="B27" s="35"/>
      <c r="C27" s="15"/>
      <c r="D27" s="15"/>
      <c r="E27" s="15"/>
      <c r="F27" s="15"/>
      <c r="G27" s="36" t="str">
        <f t="array" ref="G27">IF($F27="","",IFERROR(INDEX(Config!$E:$E,MATCH($F27,Config!$D:$D,0)),0))</f>
        <v/>
      </c>
      <c r="H27" s="16"/>
      <c r="I27" s="36" t="str">
        <f t="shared" si="1"/>
        <v/>
      </c>
      <c r="J27" s="16"/>
      <c r="K27" s="15"/>
      <c r="L27" s="15"/>
      <c r="M27" s="36" t="str">
        <f t="array" ref="M27">IF($A27="","",IF($L27="Atendido",IFERROR($I27*INDEX(Config!$B:$B,MATCH($C27,Config!$A:$A,0)),0),0))</f>
        <v/>
      </c>
      <c r="N27" s="36" t="str">
        <f t="shared" si="2"/>
        <v/>
      </c>
      <c r="O27" s="36" t="str">
        <f t="shared" si="3"/>
        <v/>
      </c>
      <c r="P27" s="15"/>
      <c r="Q27" s="37" t="str">
        <f t="shared" si="4"/>
        <v/>
      </c>
      <c r="R27" s="37" t="str">
        <f t="shared" si="5"/>
        <v/>
      </c>
      <c r="S27" s="32" t="str">
        <f t="shared" si="6"/>
        <v/>
      </c>
      <c r="T27" s="37" t="str">
        <f t="shared" si="7"/>
        <v/>
      </c>
      <c r="U27" s="37" t="str">
        <f t="array" ref="U27">IF($F27="","",IFERROR(INDEX(Config!$F:$F,MATCH($F27,Config!$D:$D,0)),0))</f>
        <v/>
      </c>
    </row>
    <row r="28" ht="15.0" customHeight="1">
      <c r="A28" s="34"/>
      <c r="B28" s="35"/>
      <c r="C28" s="15"/>
      <c r="D28" s="15"/>
      <c r="E28" s="15"/>
      <c r="F28" s="15"/>
      <c r="G28" s="36" t="str">
        <f t="array" ref="G28">IF($F28="","",IFERROR(INDEX(Config!$E:$E,MATCH($F28,Config!$D:$D,0)),0))</f>
        <v/>
      </c>
      <c r="H28" s="16"/>
      <c r="I28" s="36" t="str">
        <f t="shared" si="1"/>
        <v/>
      </c>
      <c r="J28" s="16"/>
      <c r="K28" s="15"/>
      <c r="L28" s="15"/>
      <c r="M28" s="36" t="str">
        <f t="array" ref="M28">IF($A28="","",IF($L28="Atendido",IFERROR($I28*INDEX(Config!$B:$B,MATCH($C28,Config!$A:$A,0)),0),0))</f>
        <v/>
      </c>
      <c r="N28" s="36" t="str">
        <f t="shared" si="2"/>
        <v/>
      </c>
      <c r="O28" s="36" t="str">
        <f t="shared" si="3"/>
        <v/>
      </c>
      <c r="P28" s="15"/>
      <c r="Q28" s="37" t="str">
        <f t="shared" si="4"/>
        <v/>
      </c>
      <c r="R28" s="37" t="str">
        <f t="shared" si="5"/>
        <v/>
      </c>
      <c r="S28" s="32" t="str">
        <f t="shared" si="6"/>
        <v/>
      </c>
      <c r="T28" s="37" t="str">
        <f t="shared" si="7"/>
        <v/>
      </c>
      <c r="U28" s="37" t="str">
        <f t="array" ref="U28">IF($F28="","",IFERROR(INDEX(Config!$F:$F,MATCH($F28,Config!$D:$D,0)),0))</f>
        <v/>
      </c>
    </row>
    <row r="29" ht="15.0" customHeight="1">
      <c r="A29" s="34"/>
      <c r="B29" s="35"/>
      <c r="C29" s="15"/>
      <c r="D29" s="15"/>
      <c r="E29" s="15"/>
      <c r="F29" s="15"/>
      <c r="G29" s="36" t="str">
        <f t="array" ref="G29">IF($F29="","",IFERROR(INDEX(Config!$E:$E,MATCH($F29,Config!$D:$D,0)),0))</f>
        <v/>
      </c>
      <c r="H29" s="16"/>
      <c r="I29" s="36" t="str">
        <f t="shared" si="1"/>
        <v/>
      </c>
      <c r="J29" s="16"/>
      <c r="K29" s="15"/>
      <c r="L29" s="15"/>
      <c r="M29" s="36" t="str">
        <f t="array" ref="M29">IF($A29="","",IF($L29="Atendido",IFERROR($I29*INDEX(Config!$B:$B,MATCH($C29,Config!$A:$A,0)),0),0))</f>
        <v/>
      </c>
      <c r="N29" s="36" t="str">
        <f t="shared" si="2"/>
        <v/>
      </c>
      <c r="O29" s="36" t="str">
        <f t="shared" si="3"/>
        <v/>
      </c>
      <c r="P29" s="15"/>
      <c r="Q29" s="37" t="str">
        <f t="shared" si="4"/>
        <v/>
      </c>
      <c r="R29" s="37" t="str">
        <f t="shared" si="5"/>
        <v/>
      </c>
      <c r="S29" s="32" t="str">
        <f t="shared" si="6"/>
        <v/>
      </c>
      <c r="T29" s="37" t="str">
        <f t="shared" si="7"/>
        <v/>
      </c>
      <c r="U29" s="37" t="str">
        <f t="array" ref="U29">IF($F29="","",IFERROR(INDEX(Config!$F:$F,MATCH($F29,Config!$D:$D,0)),0))</f>
        <v/>
      </c>
    </row>
    <row r="30" ht="15.0" customHeight="1">
      <c r="A30" s="34"/>
      <c r="B30" s="35"/>
      <c r="C30" s="15"/>
      <c r="D30" s="15"/>
      <c r="E30" s="15"/>
      <c r="F30" s="15"/>
      <c r="G30" s="36" t="str">
        <f t="array" ref="G30">IF($F30="","",IFERROR(INDEX(Config!$E:$E,MATCH($F30,Config!$D:$D,0)),0))</f>
        <v/>
      </c>
      <c r="H30" s="16"/>
      <c r="I30" s="36" t="str">
        <f t="shared" si="1"/>
        <v/>
      </c>
      <c r="J30" s="16"/>
      <c r="K30" s="15"/>
      <c r="L30" s="15"/>
      <c r="M30" s="36" t="str">
        <f t="array" ref="M30">IF($A30="","",IF($L30="Atendido",IFERROR($I30*INDEX(Config!$B:$B,MATCH($C30,Config!$A:$A,0)),0),0))</f>
        <v/>
      </c>
      <c r="N30" s="36" t="str">
        <f t="shared" si="2"/>
        <v/>
      </c>
      <c r="O30" s="36" t="str">
        <f t="shared" si="3"/>
        <v/>
      </c>
      <c r="P30" s="15"/>
      <c r="Q30" s="37" t="str">
        <f t="shared" si="4"/>
        <v/>
      </c>
      <c r="R30" s="37" t="str">
        <f t="shared" si="5"/>
        <v/>
      </c>
      <c r="S30" s="32" t="str">
        <f t="shared" si="6"/>
        <v/>
      </c>
      <c r="T30" s="37" t="str">
        <f t="shared" si="7"/>
        <v/>
      </c>
      <c r="U30" s="37" t="str">
        <f t="array" ref="U30">IF($F30="","",IFERROR(INDEX(Config!$F:$F,MATCH($F30,Config!$D:$D,0)),0))</f>
        <v/>
      </c>
    </row>
    <row r="31" ht="15.0" customHeight="1">
      <c r="A31" s="34"/>
      <c r="B31" s="35"/>
      <c r="C31" s="15"/>
      <c r="D31" s="15"/>
      <c r="E31" s="15"/>
      <c r="F31" s="15"/>
      <c r="G31" s="36" t="str">
        <f t="array" ref="G31">IF($F31="","",IFERROR(INDEX(Config!$E:$E,MATCH($F31,Config!$D:$D,0)),0))</f>
        <v/>
      </c>
      <c r="H31" s="16"/>
      <c r="I31" s="36" t="str">
        <f t="shared" si="1"/>
        <v/>
      </c>
      <c r="J31" s="16"/>
      <c r="K31" s="15"/>
      <c r="L31" s="15"/>
      <c r="M31" s="36" t="str">
        <f t="array" ref="M31">IF($A31="","",IF($L31="Atendido",IFERROR($I31*INDEX(Config!$B:$B,MATCH($C31,Config!$A:$A,0)),0),0))</f>
        <v/>
      </c>
      <c r="N31" s="36" t="str">
        <f t="shared" si="2"/>
        <v/>
      </c>
      <c r="O31" s="36" t="str">
        <f t="shared" si="3"/>
        <v/>
      </c>
      <c r="P31" s="15"/>
      <c r="Q31" s="37" t="str">
        <f t="shared" si="4"/>
        <v/>
      </c>
      <c r="R31" s="37" t="str">
        <f t="shared" si="5"/>
        <v/>
      </c>
      <c r="S31" s="32" t="str">
        <f t="shared" si="6"/>
        <v/>
      </c>
      <c r="T31" s="37" t="str">
        <f t="shared" si="7"/>
        <v/>
      </c>
      <c r="U31" s="37" t="str">
        <f t="array" ref="U31">IF($F31="","",IFERROR(INDEX(Config!$F:$F,MATCH($F31,Config!$D:$D,0)),0))</f>
        <v/>
      </c>
    </row>
    <row r="32" ht="15.0" customHeight="1">
      <c r="A32" s="34"/>
      <c r="B32" s="35"/>
      <c r="C32" s="15"/>
      <c r="D32" s="15"/>
      <c r="E32" s="15"/>
      <c r="F32" s="15"/>
      <c r="G32" s="36" t="str">
        <f t="array" ref="G32">IF($F32="","",IFERROR(INDEX(Config!$E:$E,MATCH($F32,Config!$D:$D,0)),0))</f>
        <v/>
      </c>
      <c r="H32" s="16"/>
      <c r="I32" s="36" t="str">
        <f t="shared" si="1"/>
        <v/>
      </c>
      <c r="J32" s="16"/>
      <c r="K32" s="15"/>
      <c r="L32" s="15"/>
      <c r="M32" s="36" t="str">
        <f t="array" ref="M32">IF($A32="","",IF($L32="Atendido",IFERROR($I32*INDEX(Config!$B:$B,MATCH($C32,Config!$A:$A,0)),0),0))</f>
        <v/>
      </c>
      <c r="N32" s="36" t="str">
        <f t="shared" si="2"/>
        <v/>
      </c>
      <c r="O32" s="36" t="str">
        <f t="shared" si="3"/>
        <v/>
      </c>
      <c r="P32" s="15"/>
      <c r="Q32" s="37" t="str">
        <f t="shared" si="4"/>
        <v/>
      </c>
      <c r="R32" s="37" t="str">
        <f t="shared" si="5"/>
        <v/>
      </c>
      <c r="S32" s="32" t="str">
        <f t="shared" si="6"/>
        <v/>
      </c>
      <c r="T32" s="37" t="str">
        <f t="shared" si="7"/>
        <v/>
      </c>
      <c r="U32" s="37" t="str">
        <f t="array" ref="U32">IF($F32="","",IFERROR(INDEX(Config!$F:$F,MATCH($F32,Config!$D:$D,0)),0))</f>
        <v/>
      </c>
    </row>
    <row r="33" ht="15.0" customHeight="1">
      <c r="A33" s="34"/>
      <c r="B33" s="35"/>
      <c r="C33" s="15"/>
      <c r="D33" s="15"/>
      <c r="E33" s="15"/>
      <c r="F33" s="15"/>
      <c r="G33" s="36" t="str">
        <f t="array" ref="G33">IF($F33="","",IFERROR(INDEX(Config!$E:$E,MATCH($F33,Config!$D:$D,0)),0))</f>
        <v/>
      </c>
      <c r="H33" s="16"/>
      <c r="I33" s="36" t="str">
        <f t="shared" si="1"/>
        <v/>
      </c>
      <c r="J33" s="16"/>
      <c r="K33" s="15"/>
      <c r="L33" s="15"/>
      <c r="M33" s="36" t="str">
        <f t="array" ref="M33">IF($A33="","",IF($L33="Atendido",IFERROR($I33*INDEX(Config!$B:$B,MATCH($C33,Config!$A:$A,0)),0),0))</f>
        <v/>
      </c>
      <c r="N33" s="36" t="str">
        <f t="shared" si="2"/>
        <v/>
      </c>
      <c r="O33" s="36" t="str">
        <f t="shared" si="3"/>
        <v/>
      </c>
      <c r="P33" s="15"/>
      <c r="Q33" s="37" t="str">
        <f t="shared" si="4"/>
        <v/>
      </c>
      <c r="R33" s="37" t="str">
        <f t="shared" si="5"/>
        <v/>
      </c>
      <c r="S33" s="32" t="str">
        <f t="shared" si="6"/>
        <v/>
      </c>
      <c r="T33" s="37" t="str">
        <f t="shared" si="7"/>
        <v/>
      </c>
      <c r="U33" s="37" t="str">
        <f t="array" ref="U33">IF($F33="","",IFERROR(INDEX(Config!$F:$F,MATCH($F33,Config!$D:$D,0)),0))</f>
        <v/>
      </c>
    </row>
    <row r="34" ht="15.0" customHeight="1">
      <c r="A34" s="34"/>
      <c r="B34" s="35"/>
      <c r="C34" s="15"/>
      <c r="D34" s="15"/>
      <c r="E34" s="15"/>
      <c r="F34" s="15"/>
      <c r="G34" s="36" t="str">
        <f t="array" ref="G34">IF($F34="","",IFERROR(INDEX(Config!$E:$E,MATCH($F34,Config!$D:$D,0)),0))</f>
        <v/>
      </c>
      <c r="H34" s="16"/>
      <c r="I34" s="36" t="str">
        <f t="shared" si="1"/>
        <v/>
      </c>
      <c r="J34" s="16"/>
      <c r="K34" s="15"/>
      <c r="L34" s="15"/>
      <c r="M34" s="36" t="str">
        <f t="array" ref="M34">IF($A34="","",IF($L34="Atendido",IFERROR($I34*INDEX(Config!$B:$B,MATCH($C34,Config!$A:$A,0)),0),0))</f>
        <v/>
      </c>
      <c r="N34" s="36" t="str">
        <f t="shared" si="2"/>
        <v/>
      </c>
      <c r="O34" s="36" t="str">
        <f t="shared" si="3"/>
        <v/>
      </c>
      <c r="P34" s="15"/>
      <c r="Q34" s="37" t="str">
        <f t="shared" si="4"/>
        <v/>
      </c>
      <c r="R34" s="37" t="str">
        <f t="shared" si="5"/>
        <v/>
      </c>
      <c r="S34" s="32" t="str">
        <f t="shared" si="6"/>
        <v/>
      </c>
      <c r="T34" s="37" t="str">
        <f t="shared" si="7"/>
        <v/>
      </c>
      <c r="U34" s="37" t="str">
        <f t="array" ref="U34">IF($F34="","",IFERROR(INDEX(Config!$F:$F,MATCH($F34,Config!$D:$D,0)),0))</f>
        <v/>
      </c>
    </row>
    <row r="35" ht="15.0" customHeight="1">
      <c r="A35" s="34"/>
      <c r="B35" s="35"/>
      <c r="C35" s="15"/>
      <c r="D35" s="15"/>
      <c r="E35" s="15"/>
      <c r="F35" s="15"/>
      <c r="G35" s="36" t="str">
        <f t="array" ref="G35">IF($F35="","",IFERROR(INDEX(Config!$E:$E,MATCH($F35,Config!$D:$D,0)),0))</f>
        <v/>
      </c>
      <c r="H35" s="16"/>
      <c r="I35" s="36" t="str">
        <f t="shared" si="1"/>
        <v/>
      </c>
      <c r="J35" s="16"/>
      <c r="K35" s="15"/>
      <c r="L35" s="15"/>
      <c r="M35" s="36" t="str">
        <f t="array" ref="M35">IF($A35="","",IF($L35="Atendido",IFERROR($I35*INDEX(Config!$B:$B,MATCH($C35,Config!$A:$A,0)),0),0))</f>
        <v/>
      </c>
      <c r="N35" s="36" t="str">
        <f t="shared" si="2"/>
        <v/>
      </c>
      <c r="O35" s="36" t="str">
        <f t="shared" si="3"/>
        <v/>
      </c>
      <c r="P35" s="15"/>
      <c r="Q35" s="37" t="str">
        <f t="shared" si="4"/>
        <v/>
      </c>
      <c r="R35" s="37" t="str">
        <f t="shared" si="5"/>
        <v/>
      </c>
      <c r="S35" s="32" t="str">
        <f t="shared" si="6"/>
        <v/>
      </c>
      <c r="T35" s="37" t="str">
        <f t="shared" si="7"/>
        <v/>
      </c>
      <c r="U35" s="37" t="str">
        <f t="array" ref="U35">IF($F35="","",IFERROR(INDEX(Config!$F:$F,MATCH($F35,Config!$D:$D,0)),0))</f>
        <v/>
      </c>
    </row>
    <row r="36" ht="15.0" customHeight="1">
      <c r="A36" s="34"/>
      <c r="B36" s="35"/>
      <c r="C36" s="15"/>
      <c r="D36" s="15"/>
      <c r="E36" s="15"/>
      <c r="F36" s="15"/>
      <c r="G36" s="36" t="str">
        <f t="array" ref="G36">IF($F36="","",IFERROR(INDEX(Config!$E:$E,MATCH($F36,Config!$D:$D,0)),0))</f>
        <v/>
      </c>
      <c r="H36" s="16"/>
      <c r="I36" s="36" t="str">
        <f t="shared" si="1"/>
        <v/>
      </c>
      <c r="J36" s="16"/>
      <c r="K36" s="15"/>
      <c r="L36" s="15"/>
      <c r="M36" s="36" t="str">
        <f t="array" ref="M36">IF($A36="","",IF($L36="Atendido",IFERROR($I36*INDEX(Config!$B:$B,MATCH($C36,Config!$A:$A,0)),0),0))</f>
        <v/>
      </c>
      <c r="N36" s="36" t="str">
        <f t="shared" si="2"/>
        <v/>
      </c>
      <c r="O36" s="36" t="str">
        <f t="shared" si="3"/>
        <v/>
      </c>
      <c r="P36" s="15"/>
      <c r="Q36" s="37" t="str">
        <f t="shared" si="4"/>
        <v/>
      </c>
      <c r="R36" s="37" t="str">
        <f t="shared" si="5"/>
        <v/>
      </c>
      <c r="S36" s="32" t="str">
        <f t="shared" si="6"/>
        <v/>
      </c>
      <c r="T36" s="37" t="str">
        <f t="shared" si="7"/>
        <v/>
      </c>
      <c r="U36" s="37" t="str">
        <f t="array" ref="U36">IF($F36="","",IFERROR(INDEX(Config!$F:$F,MATCH($F36,Config!$D:$D,0)),0))</f>
        <v/>
      </c>
    </row>
    <row r="37" ht="15.0" customHeight="1">
      <c r="A37" s="34"/>
      <c r="B37" s="35"/>
      <c r="C37" s="15"/>
      <c r="D37" s="15"/>
      <c r="E37" s="15"/>
      <c r="F37" s="15"/>
      <c r="G37" s="36" t="str">
        <f t="array" ref="G37">IF($F37="","",IFERROR(INDEX(Config!$E:$E,MATCH($F37,Config!$D:$D,0)),0))</f>
        <v/>
      </c>
      <c r="H37" s="16"/>
      <c r="I37" s="36" t="str">
        <f t="shared" si="1"/>
        <v/>
      </c>
      <c r="J37" s="16"/>
      <c r="K37" s="15"/>
      <c r="L37" s="15"/>
      <c r="M37" s="36" t="str">
        <f t="array" ref="M37">IF($A37="","",IF($L37="Atendido",IFERROR($I37*INDEX(Config!$B:$B,MATCH($C37,Config!$A:$A,0)),0),0))</f>
        <v/>
      </c>
      <c r="N37" s="36" t="str">
        <f t="shared" si="2"/>
        <v/>
      </c>
      <c r="O37" s="36" t="str">
        <f t="shared" si="3"/>
        <v/>
      </c>
      <c r="P37" s="15"/>
      <c r="Q37" s="37" t="str">
        <f t="shared" si="4"/>
        <v/>
      </c>
      <c r="R37" s="37" t="str">
        <f t="shared" si="5"/>
        <v/>
      </c>
      <c r="S37" s="32" t="str">
        <f t="shared" si="6"/>
        <v/>
      </c>
      <c r="T37" s="37" t="str">
        <f t="shared" si="7"/>
        <v/>
      </c>
      <c r="U37" s="37" t="str">
        <f t="array" ref="U37">IF($F37="","",IFERROR(INDEX(Config!$F:$F,MATCH($F37,Config!$D:$D,0)),0))</f>
        <v/>
      </c>
    </row>
    <row r="38" ht="15.0" customHeight="1">
      <c r="A38" s="34"/>
      <c r="B38" s="35"/>
      <c r="C38" s="15"/>
      <c r="D38" s="15"/>
      <c r="E38" s="15"/>
      <c r="F38" s="15"/>
      <c r="G38" s="36" t="str">
        <f t="array" ref="G38">IF($F38="","",IFERROR(INDEX(Config!$E:$E,MATCH($F38,Config!$D:$D,0)),0))</f>
        <v/>
      </c>
      <c r="H38" s="16"/>
      <c r="I38" s="36" t="str">
        <f t="shared" si="1"/>
        <v/>
      </c>
      <c r="J38" s="16"/>
      <c r="K38" s="15"/>
      <c r="L38" s="15"/>
      <c r="M38" s="36" t="str">
        <f t="array" ref="M38">IF($A38="","",IF($L38="Atendido",IFERROR($I38*INDEX(Config!$B:$B,MATCH($C38,Config!$A:$A,0)),0),0))</f>
        <v/>
      </c>
      <c r="N38" s="36" t="str">
        <f t="shared" si="2"/>
        <v/>
      </c>
      <c r="O38" s="36" t="str">
        <f t="shared" si="3"/>
        <v/>
      </c>
      <c r="P38" s="15"/>
      <c r="Q38" s="37" t="str">
        <f t="shared" si="4"/>
        <v/>
      </c>
      <c r="R38" s="37" t="str">
        <f t="shared" si="5"/>
        <v/>
      </c>
      <c r="S38" s="32" t="str">
        <f t="shared" si="6"/>
        <v/>
      </c>
      <c r="T38" s="37" t="str">
        <f t="shared" si="7"/>
        <v/>
      </c>
      <c r="U38" s="37" t="str">
        <f t="array" ref="U38">IF($F38="","",IFERROR(INDEX(Config!$F:$F,MATCH($F38,Config!$D:$D,0)),0))</f>
        <v/>
      </c>
    </row>
    <row r="39" ht="15.0" customHeight="1">
      <c r="A39" s="34"/>
      <c r="B39" s="35"/>
      <c r="C39" s="15"/>
      <c r="D39" s="15"/>
      <c r="E39" s="15"/>
      <c r="F39" s="15"/>
      <c r="G39" s="36" t="str">
        <f t="array" ref="G39">IF($F39="","",IFERROR(INDEX(Config!$E:$E,MATCH($F39,Config!$D:$D,0)),0))</f>
        <v/>
      </c>
      <c r="H39" s="16"/>
      <c r="I39" s="36" t="str">
        <f t="shared" si="1"/>
        <v/>
      </c>
      <c r="J39" s="16"/>
      <c r="K39" s="15"/>
      <c r="L39" s="15"/>
      <c r="M39" s="36" t="str">
        <f t="array" ref="M39">IF($A39="","",IF($L39="Atendido",IFERROR($I39*INDEX(Config!$B:$B,MATCH($C39,Config!$A:$A,0)),0),0))</f>
        <v/>
      </c>
      <c r="N39" s="36" t="str">
        <f t="shared" si="2"/>
        <v/>
      </c>
      <c r="O39" s="36" t="str">
        <f t="shared" si="3"/>
        <v/>
      </c>
      <c r="P39" s="15"/>
      <c r="Q39" s="37" t="str">
        <f t="shared" si="4"/>
        <v/>
      </c>
      <c r="R39" s="37" t="str">
        <f t="shared" si="5"/>
        <v/>
      </c>
      <c r="S39" s="32" t="str">
        <f t="shared" si="6"/>
        <v/>
      </c>
      <c r="T39" s="37" t="str">
        <f t="shared" si="7"/>
        <v/>
      </c>
      <c r="U39" s="37" t="str">
        <f t="array" ref="U39">IF($F39="","",IFERROR(INDEX(Config!$F:$F,MATCH($F39,Config!$D:$D,0)),0))</f>
        <v/>
      </c>
    </row>
    <row r="40" ht="15.0" customHeight="1">
      <c r="A40" s="34"/>
      <c r="B40" s="35"/>
      <c r="C40" s="15"/>
      <c r="D40" s="15"/>
      <c r="E40" s="15"/>
      <c r="F40" s="15"/>
      <c r="G40" s="36" t="str">
        <f t="array" ref="G40">IF($F40="","",IFERROR(INDEX(Config!$E:$E,MATCH($F40,Config!$D:$D,0)),0))</f>
        <v/>
      </c>
      <c r="H40" s="16"/>
      <c r="I40" s="36" t="str">
        <f t="shared" si="1"/>
        <v/>
      </c>
      <c r="J40" s="16"/>
      <c r="K40" s="15"/>
      <c r="L40" s="15"/>
      <c r="M40" s="36" t="str">
        <f t="array" ref="M40">IF($A40="","",IF($L40="Atendido",IFERROR($I40*INDEX(Config!$B:$B,MATCH($C40,Config!$A:$A,0)),0),0))</f>
        <v/>
      </c>
      <c r="N40" s="36" t="str">
        <f t="shared" si="2"/>
        <v/>
      </c>
      <c r="O40" s="36" t="str">
        <f t="shared" si="3"/>
        <v/>
      </c>
      <c r="P40" s="15"/>
      <c r="Q40" s="37" t="str">
        <f t="shared" si="4"/>
        <v/>
      </c>
      <c r="R40" s="37" t="str">
        <f t="shared" si="5"/>
        <v/>
      </c>
      <c r="S40" s="32" t="str">
        <f t="shared" si="6"/>
        <v/>
      </c>
      <c r="T40" s="37" t="str">
        <f t="shared" si="7"/>
        <v/>
      </c>
      <c r="U40" s="37" t="str">
        <f t="array" ref="U40">IF($F40="","",IFERROR(INDEX(Config!$F:$F,MATCH($F40,Config!$D:$D,0)),0))</f>
        <v/>
      </c>
    </row>
    <row r="41" ht="15.0" customHeight="1">
      <c r="A41" s="34"/>
      <c r="B41" s="35"/>
      <c r="C41" s="15"/>
      <c r="D41" s="15"/>
      <c r="E41" s="15"/>
      <c r="F41" s="15"/>
      <c r="G41" s="36" t="str">
        <f t="array" ref="G41">IF($F41="","",IFERROR(INDEX(Config!$E:$E,MATCH($F41,Config!$D:$D,0)),0))</f>
        <v/>
      </c>
      <c r="H41" s="16"/>
      <c r="I41" s="36" t="str">
        <f t="shared" si="1"/>
        <v/>
      </c>
      <c r="J41" s="16"/>
      <c r="K41" s="15"/>
      <c r="L41" s="15"/>
      <c r="M41" s="36" t="str">
        <f t="array" ref="M41">IF($A41="","",IF($L41="Atendido",IFERROR($I41*INDEX(Config!$B:$B,MATCH($C41,Config!$A:$A,0)),0),0))</f>
        <v/>
      </c>
      <c r="N41" s="36" t="str">
        <f t="shared" si="2"/>
        <v/>
      </c>
      <c r="O41" s="36" t="str">
        <f t="shared" si="3"/>
        <v/>
      </c>
      <c r="P41" s="15"/>
      <c r="Q41" s="37" t="str">
        <f t="shared" si="4"/>
        <v/>
      </c>
      <c r="R41" s="37" t="str">
        <f t="shared" si="5"/>
        <v/>
      </c>
      <c r="S41" s="32" t="str">
        <f t="shared" si="6"/>
        <v/>
      </c>
      <c r="T41" s="37" t="str">
        <f t="shared" si="7"/>
        <v/>
      </c>
      <c r="U41" s="37" t="str">
        <f t="array" ref="U41">IF($F41="","",IFERROR(INDEX(Config!$F:$F,MATCH($F41,Config!$D:$D,0)),0))</f>
        <v/>
      </c>
    </row>
    <row r="42" ht="15.0" customHeight="1">
      <c r="A42" s="34"/>
      <c r="B42" s="35"/>
      <c r="C42" s="15"/>
      <c r="D42" s="15"/>
      <c r="E42" s="15"/>
      <c r="F42" s="15"/>
      <c r="G42" s="36" t="str">
        <f t="array" ref="G42">IF($F42="","",IFERROR(INDEX(Config!$E:$E,MATCH($F42,Config!$D:$D,0)),0))</f>
        <v/>
      </c>
      <c r="H42" s="16"/>
      <c r="I42" s="36" t="str">
        <f t="shared" si="1"/>
        <v/>
      </c>
      <c r="J42" s="16"/>
      <c r="K42" s="15"/>
      <c r="L42" s="15"/>
      <c r="M42" s="36" t="str">
        <f t="array" ref="M42">IF($A42="","",IF($L42="Atendido",IFERROR($I42*INDEX(Config!$B:$B,MATCH($C42,Config!$A:$A,0)),0),0))</f>
        <v/>
      </c>
      <c r="N42" s="36" t="str">
        <f t="shared" si="2"/>
        <v/>
      </c>
      <c r="O42" s="36" t="str">
        <f t="shared" si="3"/>
        <v/>
      </c>
      <c r="P42" s="15"/>
      <c r="Q42" s="37" t="str">
        <f t="shared" si="4"/>
        <v/>
      </c>
      <c r="R42" s="37" t="str">
        <f t="shared" si="5"/>
        <v/>
      </c>
      <c r="S42" s="32" t="str">
        <f t="shared" si="6"/>
        <v/>
      </c>
      <c r="T42" s="37" t="str">
        <f t="shared" si="7"/>
        <v/>
      </c>
      <c r="U42" s="37" t="str">
        <f t="array" ref="U42">IF($F42="","",IFERROR(INDEX(Config!$F:$F,MATCH($F42,Config!$D:$D,0)),0))</f>
        <v/>
      </c>
    </row>
    <row r="43" ht="15.0" customHeight="1">
      <c r="A43" s="34"/>
      <c r="B43" s="35"/>
      <c r="C43" s="15"/>
      <c r="D43" s="15"/>
      <c r="E43" s="15"/>
      <c r="F43" s="15"/>
      <c r="G43" s="36" t="str">
        <f t="array" ref="G43">IF($F43="","",IFERROR(INDEX(Config!$E:$E,MATCH($F43,Config!$D:$D,0)),0))</f>
        <v/>
      </c>
      <c r="H43" s="16"/>
      <c r="I43" s="36" t="str">
        <f t="shared" si="1"/>
        <v/>
      </c>
      <c r="J43" s="16"/>
      <c r="K43" s="15"/>
      <c r="L43" s="15"/>
      <c r="M43" s="36" t="str">
        <f t="array" ref="M43">IF($A43="","",IF($L43="Atendido",IFERROR($I43*INDEX(Config!$B:$B,MATCH($C43,Config!$A:$A,0)),0),0))</f>
        <v/>
      </c>
      <c r="N43" s="36" t="str">
        <f t="shared" si="2"/>
        <v/>
      </c>
      <c r="O43" s="36" t="str">
        <f t="shared" si="3"/>
        <v/>
      </c>
      <c r="P43" s="15"/>
      <c r="Q43" s="37" t="str">
        <f t="shared" si="4"/>
        <v/>
      </c>
      <c r="R43" s="37" t="str">
        <f t="shared" si="5"/>
        <v/>
      </c>
      <c r="S43" s="32" t="str">
        <f t="shared" si="6"/>
        <v/>
      </c>
      <c r="T43" s="37" t="str">
        <f t="shared" si="7"/>
        <v/>
      </c>
      <c r="U43" s="37" t="str">
        <f t="array" ref="U43">IF($F43="","",IFERROR(INDEX(Config!$F:$F,MATCH($F43,Config!$D:$D,0)),0))</f>
        <v/>
      </c>
    </row>
    <row r="44" ht="15.0" customHeight="1">
      <c r="A44" s="34"/>
      <c r="B44" s="35"/>
      <c r="C44" s="15"/>
      <c r="D44" s="15"/>
      <c r="E44" s="15"/>
      <c r="F44" s="15"/>
      <c r="G44" s="36" t="str">
        <f t="array" ref="G44">IF($F44="","",IFERROR(INDEX(Config!$E:$E,MATCH($F44,Config!$D:$D,0)),0))</f>
        <v/>
      </c>
      <c r="H44" s="16"/>
      <c r="I44" s="36" t="str">
        <f t="shared" si="1"/>
        <v/>
      </c>
      <c r="J44" s="16"/>
      <c r="K44" s="15"/>
      <c r="L44" s="15"/>
      <c r="M44" s="36" t="str">
        <f t="array" ref="M44">IF($A44="","",IF($L44="Atendido",IFERROR($I44*INDEX(Config!$B:$B,MATCH($C44,Config!$A:$A,0)),0),0))</f>
        <v/>
      </c>
      <c r="N44" s="36" t="str">
        <f t="shared" si="2"/>
        <v/>
      </c>
      <c r="O44" s="36" t="str">
        <f t="shared" si="3"/>
        <v/>
      </c>
      <c r="P44" s="15"/>
      <c r="Q44" s="37" t="str">
        <f t="shared" si="4"/>
        <v/>
      </c>
      <c r="R44" s="37" t="str">
        <f t="shared" si="5"/>
        <v/>
      </c>
      <c r="S44" s="32" t="str">
        <f t="shared" si="6"/>
        <v/>
      </c>
      <c r="T44" s="37" t="str">
        <f t="shared" si="7"/>
        <v/>
      </c>
      <c r="U44" s="37" t="str">
        <f t="array" ref="U44">IF($F44="","",IFERROR(INDEX(Config!$F:$F,MATCH($F44,Config!$D:$D,0)),0))</f>
        <v/>
      </c>
    </row>
    <row r="45" ht="15.0" customHeight="1">
      <c r="A45" s="34"/>
      <c r="B45" s="35"/>
      <c r="C45" s="15"/>
      <c r="D45" s="15"/>
      <c r="E45" s="15"/>
      <c r="F45" s="15"/>
      <c r="G45" s="36" t="str">
        <f t="array" ref="G45">IF($F45="","",IFERROR(INDEX(Config!$E:$E,MATCH($F45,Config!$D:$D,0)),0))</f>
        <v/>
      </c>
      <c r="H45" s="16"/>
      <c r="I45" s="36" t="str">
        <f t="shared" si="1"/>
        <v/>
      </c>
      <c r="J45" s="16"/>
      <c r="K45" s="15"/>
      <c r="L45" s="15"/>
      <c r="M45" s="36" t="str">
        <f t="array" ref="M45">IF($A45="","",IF($L45="Atendido",IFERROR($I45*INDEX(Config!$B:$B,MATCH($C45,Config!$A:$A,0)),0),0))</f>
        <v/>
      </c>
      <c r="N45" s="36" t="str">
        <f t="shared" si="2"/>
        <v/>
      </c>
      <c r="O45" s="36" t="str">
        <f t="shared" si="3"/>
        <v/>
      </c>
      <c r="P45" s="15"/>
      <c r="Q45" s="37" t="str">
        <f t="shared" si="4"/>
        <v/>
      </c>
      <c r="R45" s="37" t="str">
        <f t="shared" si="5"/>
        <v/>
      </c>
      <c r="S45" s="32" t="str">
        <f t="shared" si="6"/>
        <v/>
      </c>
      <c r="T45" s="37" t="str">
        <f t="shared" si="7"/>
        <v/>
      </c>
      <c r="U45" s="37" t="str">
        <f t="array" ref="U45">IF($F45="","",IFERROR(INDEX(Config!$F:$F,MATCH($F45,Config!$D:$D,0)),0))</f>
        <v/>
      </c>
    </row>
    <row r="46" ht="15.0" customHeight="1">
      <c r="A46" s="34"/>
      <c r="B46" s="35"/>
      <c r="C46" s="15"/>
      <c r="D46" s="15"/>
      <c r="E46" s="15"/>
      <c r="F46" s="15"/>
      <c r="G46" s="36" t="str">
        <f t="array" ref="G46">IF($F46="","",IFERROR(INDEX(Config!$E:$E,MATCH($F46,Config!$D:$D,0)),0))</f>
        <v/>
      </c>
      <c r="H46" s="16"/>
      <c r="I46" s="36" t="str">
        <f t="shared" si="1"/>
        <v/>
      </c>
      <c r="J46" s="16"/>
      <c r="K46" s="15"/>
      <c r="L46" s="15"/>
      <c r="M46" s="36" t="str">
        <f t="array" ref="M46">IF($A46="","",IF($L46="Atendido",IFERROR($I46*INDEX(Config!$B:$B,MATCH($C46,Config!$A:$A,0)),0),0))</f>
        <v/>
      </c>
      <c r="N46" s="36" t="str">
        <f t="shared" si="2"/>
        <v/>
      </c>
      <c r="O46" s="36" t="str">
        <f t="shared" si="3"/>
        <v/>
      </c>
      <c r="P46" s="15"/>
      <c r="Q46" s="37" t="str">
        <f t="shared" si="4"/>
        <v/>
      </c>
      <c r="R46" s="37" t="str">
        <f t="shared" si="5"/>
        <v/>
      </c>
      <c r="S46" s="32" t="str">
        <f t="shared" si="6"/>
        <v/>
      </c>
      <c r="T46" s="37" t="str">
        <f t="shared" si="7"/>
        <v/>
      </c>
      <c r="U46" s="37" t="str">
        <f t="array" ref="U46">IF($F46="","",IFERROR(INDEX(Config!$F:$F,MATCH($F46,Config!$D:$D,0)),0))</f>
        <v/>
      </c>
    </row>
    <row r="47" ht="15.0" customHeight="1">
      <c r="A47" s="34"/>
      <c r="B47" s="35"/>
      <c r="C47" s="15"/>
      <c r="D47" s="15"/>
      <c r="E47" s="15"/>
      <c r="F47" s="15"/>
      <c r="G47" s="36" t="str">
        <f t="array" ref="G47">IF($F47="","",IFERROR(INDEX(Config!$E:$E,MATCH($F47,Config!$D:$D,0)),0))</f>
        <v/>
      </c>
      <c r="H47" s="16"/>
      <c r="I47" s="36" t="str">
        <f t="shared" si="1"/>
        <v/>
      </c>
      <c r="J47" s="16"/>
      <c r="K47" s="15"/>
      <c r="L47" s="15"/>
      <c r="M47" s="36" t="str">
        <f t="array" ref="M47">IF($A47="","",IF($L47="Atendido",IFERROR($I47*INDEX(Config!$B:$B,MATCH($C47,Config!$A:$A,0)),0),0))</f>
        <v/>
      </c>
      <c r="N47" s="36" t="str">
        <f t="shared" si="2"/>
        <v/>
      </c>
      <c r="O47" s="36" t="str">
        <f t="shared" si="3"/>
        <v/>
      </c>
      <c r="P47" s="15"/>
      <c r="Q47" s="37" t="str">
        <f t="shared" si="4"/>
        <v/>
      </c>
      <c r="R47" s="37" t="str">
        <f t="shared" si="5"/>
        <v/>
      </c>
      <c r="S47" s="32" t="str">
        <f t="shared" si="6"/>
        <v/>
      </c>
      <c r="T47" s="37" t="str">
        <f t="shared" si="7"/>
        <v/>
      </c>
      <c r="U47" s="37" t="str">
        <f t="array" ref="U47">IF($F47="","",IFERROR(INDEX(Config!$F:$F,MATCH($F47,Config!$D:$D,0)),0))</f>
        <v/>
      </c>
    </row>
    <row r="48" ht="15.0" customHeight="1">
      <c r="A48" s="34"/>
      <c r="B48" s="35"/>
      <c r="C48" s="15"/>
      <c r="D48" s="15"/>
      <c r="E48" s="15"/>
      <c r="F48" s="15"/>
      <c r="G48" s="36" t="str">
        <f t="array" ref="G48">IF($F48="","",IFERROR(INDEX(Config!$E:$E,MATCH($F48,Config!$D:$D,0)),0))</f>
        <v/>
      </c>
      <c r="H48" s="16"/>
      <c r="I48" s="36" t="str">
        <f t="shared" si="1"/>
        <v/>
      </c>
      <c r="J48" s="16"/>
      <c r="K48" s="15"/>
      <c r="L48" s="15"/>
      <c r="M48" s="36" t="str">
        <f t="array" ref="M48">IF($A48="","",IF($L48="Atendido",IFERROR($I48*INDEX(Config!$B:$B,MATCH($C48,Config!$A:$A,0)),0),0))</f>
        <v/>
      </c>
      <c r="N48" s="36" t="str">
        <f t="shared" si="2"/>
        <v/>
      </c>
      <c r="O48" s="36" t="str">
        <f t="shared" si="3"/>
        <v/>
      </c>
      <c r="P48" s="15"/>
      <c r="Q48" s="37" t="str">
        <f t="shared" si="4"/>
        <v/>
      </c>
      <c r="R48" s="37" t="str">
        <f t="shared" si="5"/>
        <v/>
      </c>
      <c r="S48" s="32" t="str">
        <f t="shared" si="6"/>
        <v/>
      </c>
      <c r="T48" s="37" t="str">
        <f t="shared" si="7"/>
        <v/>
      </c>
      <c r="U48" s="37" t="str">
        <f t="array" ref="U48">IF($F48="","",IFERROR(INDEX(Config!$F:$F,MATCH($F48,Config!$D:$D,0)),0))</f>
        <v/>
      </c>
    </row>
    <row r="49" ht="15.0" customHeight="1">
      <c r="A49" s="34"/>
      <c r="B49" s="35"/>
      <c r="C49" s="15"/>
      <c r="D49" s="15"/>
      <c r="E49" s="15"/>
      <c r="F49" s="15"/>
      <c r="G49" s="36" t="str">
        <f t="array" ref="G49">IF($F49="","",IFERROR(INDEX(Config!$E:$E,MATCH($F49,Config!$D:$D,0)),0))</f>
        <v/>
      </c>
      <c r="H49" s="16"/>
      <c r="I49" s="36" t="str">
        <f t="shared" si="1"/>
        <v/>
      </c>
      <c r="J49" s="16"/>
      <c r="K49" s="15"/>
      <c r="L49" s="15"/>
      <c r="M49" s="36" t="str">
        <f t="array" ref="M49">IF($A49="","",IF($L49="Atendido",IFERROR($I49*INDEX(Config!$B:$B,MATCH($C49,Config!$A:$A,0)),0),0))</f>
        <v/>
      </c>
      <c r="N49" s="36" t="str">
        <f t="shared" si="2"/>
        <v/>
      </c>
      <c r="O49" s="36" t="str">
        <f t="shared" si="3"/>
        <v/>
      </c>
      <c r="P49" s="15"/>
      <c r="Q49" s="37" t="str">
        <f t="shared" si="4"/>
        <v/>
      </c>
      <c r="R49" s="37" t="str">
        <f t="shared" si="5"/>
        <v/>
      </c>
      <c r="S49" s="32" t="str">
        <f t="shared" si="6"/>
        <v/>
      </c>
      <c r="T49" s="37" t="str">
        <f t="shared" si="7"/>
        <v/>
      </c>
      <c r="U49" s="37" t="str">
        <f t="array" ref="U49">IF($F49="","",IFERROR(INDEX(Config!$F:$F,MATCH($F49,Config!$D:$D,0)),0))</f>
        <v/>
      </c>
    </row>
    <row r="50" ht="15.0" customHeight="1">
      <c r="A50" s="34"/>
      <c r="B50" s="35"/>
      <c r="C50" s="15"/>
      <c r="D50" s="15"/>
      <c r="E50" s="15"/>
      <c r="F50" s="15"/>
      <c r="G50" s="36" t="str">
        <f t="array" ref="G50">IF($F50="","",IFERROR(INDEX(Config!$E:$E,MATCH($F50,Config!$D:$D,0)),0))</f>
        <v/>
      </c>
      <c r="H50" s="16"/>
      <c r="I50" s="36" t="str">
        <f t="shared" si="1"/>
        <v/>
      </c>
      <c r="J50" s="16"/>
      <c r="K50" s="15"/>
      <c r="L50" s="15"/>
      <c r="M50" s="36" t="str">
        <f t="array" ref="M50">IF($A50="","",IF($L50="Atendido",IFERROR($I50*INDEX(Config!$B:$B,MATCH($C50,Config!$A:$A,0)),0),0))</f>
        <v/>
      </c>
      <c r="N50" s="36" t="str">
        <f t="shared" si="2"/>
        <v/>
      </c>
      <c r="O50" s="36" t="str">
        <f t="shared" si="3"/>
        <v/>
      </c>
      <c r="P50" s="15"/>
      <c r="Q50" s="37" t="str">
        <f t="shared" si="4"/>
        <v/>
      </c>
      <c r="R50" s="37" t="str">
        <f t="shared" si="5"/>
        <v/>
      </c>
      <c r="S50" s="32" t="str">
        <f t="shared" si="6"/>
        <v/>
      </c>
      <c r="T50" s="37" t="str">
        <f t="shared" si="7"/>
        <v/>
      </c>
      <c r="U50" s="37" t="str">
        <f t="array" ref="U50">IF($F50="","",IFERROR(INDEX(Config!$F:$F,MATCH($F50,Config!$D:$D,0)),0))</f>
        <v/>
      </c>
    </row>
    <row r="51" ht="15.0" customHeight="1">
      <c r="A51" s="34"/>
      <c r="B51" s="35"/>
      <c r="C51" s="15"/>
      <c r="D51" s="15"/>
      <c r="E51" s="15"/>
      <c r="F51" s="15"/>
      <c r="G51" s="36" t="str">
        <f t="array" ref="G51">IF($F51="","",IFERROR(INDEX(Config!$E:$E,MATCH($F51,Config!$D:$D,0)),0))</f>
        <v/>
      </c>
      <c r="H51" s="16"/>
      <c r="I51" s="36" t="str">
        <f t="shared" si="1"/>
        <v/>
      </c>
      <c r="J51" s="16"/>
      <c r="K51" s="15"/>
      <c r="L51" s="15"/>
      <c r="M51" s="36" t="str">
        <f t="array" ref="M51">IF($A51="","",IF($L51="Atendido",IFERROR($I51*INDEX(Config!$B:$B,MATCH($C51,Config!$A:$A,0)),0),0))</f>
        <v/>
      </c>
      <c r="N51" s="36" t="str">
        <f t="shared" si="2"/>
        <v/>
      </c>
      <c r="O51" s="36" t="str">
        <f t="shared" si="3"/>
        <v/>
      </c>
      <c r="P51" s="15"/>
      <c r="Q51" s="37" t="str">
        <f t="shared" si="4"/>
        <v/>
      </c>
      <c r="R51" s="37" t="str">
        <f t="shared" si="5"/>
        <v/>
      </c>
      <c r="S51" s="32" t="str">
        <f t="shared" si="6"/>
        <v/>
      </c>
      <c r="T51" s="37" t="str">
        <f t="shared" si="7"/>
        <v/>
      </c>
      <c r="U51" s="37" t="str">
        <f t="array" ref="U51">IF($F51="","",IFERROR(INDEX(Config!$F:$F,MATCH($F51,Config!$D:$D,0)),0))</f>
        <v/>
      </c>
    </row>
    <row r="52" ht="15.0" customHeight="1">
      <c r="A52" s="34"/>
      <c r="B52" s="35"/>
      <c r="C52" s="15"/>
      <c r="D52" s="15"/>
      <c r="E52" s="15"/>
      <c r="F52" s="15"/>
      <c r="G52" s="36" t="str">
        <f t="array" ref="G52">IF($F52="","",IFERROR(INDEX(Config!$E:$E,MATCH($F52,Config!$D:$D,0)),0))</f>
        <v/>
      </c>
      <c r="H52" s="16"/>
      <c r="I52" s="36" t="str">
        <f t="shared" si="1"/>
        <v/>
      </c>
      <c r="J52" s="16"/>
      <c r="K52" s="15"/>
      <c r="L52" s="15"/>
      <c r="M52" s="36" t="str">
        <f t="array" ref="M52">IF($A52="","",IF($L52="Atendido",IFERROR($I52*INDEX(Config!$B:$B,MATCH($C52,Config!$A:$A,0)),0),0))</f>
        <v/>
      </c>
      <c r="N52" s="36" t="str">
        <f t="shared" si="2"/>
        <v/>
      </c>
      <c r="O52" s="36" t="str">
        <f t="shared" si="3"/>
        <v/>
      </c>
      <c r="P52" s="15"/>
      <c r="Q52" s="37" t="str">
        <f t="shared" si="4"/>
        <v/>
      </c>
      <c r="R52" s="37" t="str">
        <f t="shared" si="5"/>
        <v/>
      </c>
      <c r="S52" s="32" t="str">
        <f t="shared" si="6"/>
        <v/>
      </c>
      <c r="T52" s="37" t="str">
        <f t="shared" si="7"/>
        <v/>
      </c>
      <c r="U52" s="37" t="str">
        <f t="array" ref="U52">IF($F52="","",IFERROR(INDEX(Config!$F:$F,MATCH($F52,Config!$D:$D,0)),0))</f>
        <v/>
      </c>
    </row>
    <row r="53" ht="15.0" customHeight="1">
      <c r="A53" s="34"/>
      <c r="B53" s="35"/>
      <c r="C53" s="15"/>
      <c r="D53" s="15"/>
      <c r="E53" s="15"/>
      <c r="F53" s="15"/>
      <c r="G53" s="36" t="str">
        <f t="array" ref="G53">IF($F53="","",IFERROR(INDEX(Config!$E:$E,MATCH($F53,Config!$D:$D,0)),0))</f>
        <v/>
      </c>
      <c r="H53" s="16"/>
      <c r="I53" s="36" t="str">
        <f t="shared" si="1"/>
        <v/>
      </c>
      <c r="J53" s="16"/>
      <c r="K53" s="15"/>
      <c r="L53" s="15"/>
      <c r="M53" s="36" t="str">
        <f t="array" ref="M53">IF($A53="","",IF($L53="Atendido",IFERROR($I53*INDEX(Config!$B:$B,MATCH($C53,Config!$A:$A,0)),0),0))</f>
        <v/>
      </c>
      <c r="N53" s="36" t="str">
        <f t="shared" si="2"/>
        <v/>
      </c>
      <c r="O53" s="36" t="str">
        <f t="shared" si="3"/>
        <v/>
      </c>
      <c r="P53" s="15"/>
      <c r="Q53" s="37" t="str">
        <f t="shared" si="4"/>
        <v/>
      </c>
      <c r="R53" s="37" t="str">
        <f t="shared" si="5"/>
        <v/>
      </c>
      <c r="S53" s="32" t="str">
        <f t="shared" si="6"/>
        <v/>
      </c>
      <c r="T53" s="37" t="str">
        <f t="shared" si="7"/>
        <v/>
      </c>
      <c r="U53" s="37" t="str">
        <f t="array" ref="U53">IF($F53="","",IFERROR(INDEX(Config!$F:$F,MATCH($F53,Config!$D:$D,0)),0))</f>
        <v/>
      </c>
    </row>
    <row r="54" ht="15.0" customHeight="1">
      <c r="A54" s="34"/>
      <c r="B54" s="35"/>
      <c r="C54" s="15"/>
      <c r="D54" s="15"/>
      <c r="E54" s="15"/>
      <c r="F54" s="15"/>
      <c r="G54" s="36" t="str">
        <f t="array" ref="G54">IF($F54="","",IFERROR(INDEX(Config!$E:$E,MATCH($F54,Config!$D:$D,0)),0))</f>
        <v/>
      </c>
      <c r="H54" s="16"/>
      <c r="I54" s="36" t="str">
        <f t="shared" si="1"/>
        <v/>
      </c>
      <c r="J54" s="16"/>
      <c r="K54" s="15"/>
      <c r="L54" s="15"/>
      <c r="M54" s="36" t="str">
        <f t="array" ref="M54">IF($A54="","",IF($L54="Atendido",IFERROR($I54*INDEX(Config!$B:$B,MATCH($C54,Config!$A:$A,0)),0),0))</f>
        <v/>
      </c>
      <c r="N54" s="36" t="str">
        <f t="shared" si="2"/>
        <v/>
      </c>
      <c r="O54" s="36" t="str">
        <f t="shared" si="3"/>
        <v/>
      </c>
      <c r="P54" s="15"/>
      <c r="Q54" s="37" t="str">
        <f t="shared" si="4"/>
        <v/>
      </c>
      <c r="R54" s="37" t="str">
        <f t="shared" si="5"/>
        <v/>
      </c>
      <c r="S54" s="32" t="str">
        <f t="shared" si="6"/>
        <v/>
      </c>
      <c r="T54" s="37" t="str">
        <f t="shared" si="7"/>
        <v/>
      </c>
      <c r="U54" s="37" t="str">
        <f t="array" ref="U54">IF($F54="","",IFERROR(INDEX(Config!$F:$F,MATCH($F54,Config!$D:$D,0)),0))</f>
        <v/>
      </c>
    </row>
    <row r="55" ht="15.0" customHeight="1">
      <c r="A55" s="34"/>
      <c r="B55" s="35"/>
      <c r="C55" s="15"/>
      <c r="D55" s="15"/>
      <c r="E55" s="15"/>
      <c r="F55" s="15"/>
      <c r="G55" s="36" t="str">
        <f t="array" ref="G55">IF($F55="","",IFERROR(INDEX(Config!$E:$E,MATCH($F55,Config!$D:$D,0)),0))</f>
        <v/>
      </c>
      <c r="H55" s="16"/>
      <c r="I55" s="36" t="str">
        <f t="shared" si="1"/>
        <v/>
      </c>
      <c r="J55" s="16"/>
      <c r="K55" s="15"/>
      <c r="L55" s="15"/>
      <c r="M55" s="36" t="str">
        <f t="array" ref="M55">IF($A55="","",IF($L55="Atendido",IFERROR($I55*INDEX(Config!$B:$B,MATCH($C55,Config!$A:$A,0)),0),0))</f>
        <v/>
      </c>
      <c r="N55" s="36" t="str">
        <f t="shared" si="2"/>
        <v/>
      </c>
      <c r="O55" s="36" t="str">
        <f t="shared" si="3"/>
        <v/>
      </c>
      <c r="P55" s="15"/>
      <c r="Q55" s="37" t="str">
        <f t="shared" si="4"/>
        <v/>
      </c>
      <c r="R55" s="37" t="str">
        <f t="shared" si="5"/>
        <v/>
      </c>
      <c r="S55" s="32" t="str">
        <f t="shared" si="6"/>
        <v/>
      </c>
      <c r="T55" s="37" t="str">
        <f t="shared" si="7"/>
        <v/>
      </c>
      <c r="U55" s="37" t="str">
        <f t="array" ref="U55">IF($F55="","",IFERROR(INDEX(Config!$F:$F,MATCH($F55,Config!$D:$D,0)),0))</f>
        <v/>
      </c>
    </row>
    <row r="56" ht="15.0" customHeight="1">
      <c r="A56" s="34"/>
      <c r="B56" s="35"/>
      <c r="C56" s="15"/>
      <c r="D56" s="15"/>
      <c r="E56" s="15"/>
      <c r="F56" s="15"/>
      <c r="G56" s="36" t="str">
        <f t="array" ref="G56">IF($F56="","",IFERROR(INDEX(Config!$E:$E,MATCH($F56,Config!$D:$D,0)),0))</f>
        <v/>
      </c>
      <c r="H56" s="16"/>
      <c r="I56" s="36" t="str">
        <f t="shared" si="1"/>
        <v/>
      </c>
      <c r="J56" s="16"/>
      <c r="K56" s="15"/>
      <c r="L56" s="15"/>
      <c r="M56" s="36" t="str">
        <f t="array" ref="M56">IF($A56="","",IF($L56="Atendido",IFERROR($I56*INDEX(Config!$B:$B,MATCH($C56,Config!$A:$A,0)),0),0))</f>
        <v/>
      </c>
      <c r="N56" s="36" t="str">
        <f t="shared" si="2"/>
        <v/>
      </c>
      <c r="O56" s="36" t="str">
        <f t="shared" si="3"/>
        <v/>
      </c>
      <c r="P56" s="15"/>
      <c r="Q56" s="37" t="str">
        <f t="shared" si="4"/>
        <v/>
      </c>
      <c r="R56" s="37" t="str">
        <f t="shared" si="5"/>
        <v/>
      </c>
      <c r="S56" s="32" t="str">
        <f t="shared" si="6"/>
        <v/>
      </c>
      <c r="T56" s="37" t="str">
        <f t="shared" si="7"/>
        <v/>
      </c>
      <c r="U56" s="37" t="str">
        <f t="array" ref="U56">IF($F56="","",IFERROR(INDEX(Config!$F:$F,MATCH($F56,Config!$D:$D,0)),0))</f>
        <v/>
      </c>
    </row>
    <row r="57" ht="15.0" customHeight="1">
      <c r="A57" s="34"/>
      <c r="B57" s="35"/>
      <c r="C57" s="15"/>
      <c r="D57" s="15"/>
      <c r="E57" s="15"/>
      <c r="F57" s="15"/>
      <c r="G57" s="36" t="str">
        <f t="array" ref="G57">IF($F57="","",IFERROR(INDEX(Config!$E:$E,MATCH($F57,Config!$D:$D,0)),0))</f>
        <v/>
      </c>
      <c r="H57" s="16"/>
      <c r="I57" s="36" t="str">
        <f t="shared" si="1"/>
        <v/>
      </c>
      <c r="J57" s="16"/>
      <c r="K57" s="15"/>
      <c r="L57" s="15"/>
      <c r="M57" s="36" t="str">
        <f t="array" ref="M57">IF($A57="","",IF($L57="Atendido",IFERROR($I57*INDEX(Config!$B:$B,MATCH($C57,Config!$A:$A,0)),0),0))</f>
        <v/>
      </c>
      <c r="N57" s="36" t="str">
        <f t="shared" si="2"/>
        <v/>
      </c>
      <c r="O57" s="36" t="str">
        <f t="shared" si="3"/>
        <v/>
      </c>
      <c r="P57" s="15"/>
      <c r="Q57" s="37" t="str">
        <f t="shared" si="4"/>
        <v/>
      </c>
      <c r="R57" s="37" t="str">
        <f t="shared" si="5"/>
        <v/>
      </c>
      <c r="S57" s="32" t="str">
        <f t="shared" si="6"/>
        <v/>
      </c>
      <c r="T57" s="37" t="str">
        <f t="shared" si="7"/>
        <v/>
      </c>
      <c r="U57" s="37" t="str">
        <f t="array" ref="U57">IF($F57="","",IFERROR(INDEX(Config!$F:$F,MATCH($F57,Config!$D:$D,0)),0))</f>
        <v/>
      </c>
    </row>
    <row r="58" ht="15.0" customHeight="1">
      <c r="A58" s="34"/>
      <c r="B58" s="35"/>
      <c r="C58" s="15"/>
      <c r="D58" s="15"/>
      <c r="E58" s="15"/>
      <c r="F58" s="15"/>
      <c r="G58" s="36" t="str">
        <f t="array" ref="G58">IF($F58="","",IFERROR(INDEX(Config!$E:$E,MATCH($F58,Config!$D:$D,0)),0))</f>
        <v/>
      </c>
      <c r="H58" s="16"/>
      <c r="I58" s="36" t="str">
        <f t="shared" si="1"/>
        <v/>
      </c>
      <c r="J58" s="16"/>
      <c r="K58" s="15"/>
      <c r="L58" s="15"/>
      <c r="M58" s="36" t="str">
        <f t="array" ref="M58">IF($A58="","",IF($L58="Atendido",IFERROR($I58*INDEX(Config!$B:$B,MATCH($C58,Config!$A:$A,0)),0),0))</f>
        <v/>
      </c>
      <c r="N58" s="36" t="str">
        <f t="shared" si="2"/>
        <v/>
      </c>
      <c r="O58" s="36" t="str">
        <f t="shared" si="3"/>
        <v/>
      </c>
      <c r="P58" s="15"/>
      <c r="Q58" s="37" t="str">
        <f t="shared" si="4"/>
        <v/>
      </c>
      <c r="R58" s="37" t="str">
        <f t="shared" si="5"/>
        <v/>
      </c>
      <c r="S58" s="32" t="str">
        <f t="shared" si="6"/>
        <v/>
      </c>
      <c r="T58" s="37" t="str">
        <f t="shared" si="7"/>
        <v/>
      </c>
      <c r="U58" s="37" t="str">
        <f t="array" ref="U58">IF($F58="","",IFERROR(INDEX(Config!$F:$F,MATCH($F58,Config!$D:$D,0)),0))</f>
        <v/>
      </c>
    </row>
    <row r="59" ht="15.0" customHeight="1">
      <c r="A59" s="34"/>
      <c r="B59" s="35"/>
      <c r="C59" s="15"/>
      <c r="D59" s="15"/>
      <c r="E59" s="15"/>
      <c r="F59" s="15"/>
      <c r="G59" s="36" t="str">
        <f t="array" ref="G59">IF($F59="","",IFERROR(INDEX(Config!$E:$E,MATCH($F59,Config!$D:$D,0)),0))</f>
        <v/>
      </c>
      <c r="H59" s="16"/>
      <c r="I59" s="36" t="str">
        <f t="shared" si="1"/>
        <v/>
      </c>
      <c r="J59" s="16"/>
      <c r="K59" s="15"/>
      <c r="L59" s="15"/>
      <c r="M59" s="36" t="str">
        <f t="array" ref="M59">IF($A59="","",IF($L59="Atendido",IFERROR($I59*INDEX(Config!$B:$B,MATCH($C59,Config!$A:$A,0)),0),0))</f>
        <v/>
      </c>
      <c r="N59" s="36" t="str">
        <f t="shared" si="2"/>
        <v/>
      </c>
      <c r="O59" s="36" t="str">
        <f t="shared" si="3"/>
        <v/>
      </c>
      <c r="P59" s="15"/>
      <c r="Q59" s="37" t="str">
        <f t="shared" si="4"/>
        <v/>
      </c>
      <c r="R59" s="37" t="str">
        <f t="shared" si="5"/>
        <v/>
      </c>
      <c r="S59" s="32" t="str">
        <f t="shared" si="6"/>
        <v/>
      </c>
      <c r="T59" s="37" t="str">
        <f t="shared" si="7"/>
        <v/>
      </c>
      <c r="U59" s="37" t="str">
        <f t="array" ref="U59">IF($F59="","",IFERROR(INDEX(Config!$F:$F,MATCH($F59,Config!$D:$D,0)),0))</f>
        <v/>
      </c>
    </row>
    <row r="60" ht="15.0" customHeight="1">
      <c r="A60" s="34"/>
      <c r="B60" s="35"/>
      <c r="C60" s="15"/>
      <c r="D60" s="15"/>
      <c r="E60" s="15"/>
      <c r="F60" s="15"/>
      <c r="G60" s="36" t="str">
        <f t="array" ref="G60">IF($F60="","",IFERROR(INDEX(Config!$E:$E,MATCH($F60,Config!$D:$D,0)),0))</f>
        <v/>
      </c>
      <c r="H60" s="16"/>
      <c r="I60" s="36" t="str">
        <f t="shared" si="1"/>
        <v/>
      </c>
      <c r="J60" s="16"/>
      <c r="K60" s="15"/>
      <c r="L60" s="15"/>
      <c r="M60" s="36" t="str">
        <f t="array" ref="M60">IF($A60="","",IF($L60="Atendido",IFERROR($I60*INDEX(Config!$B:$B,MATCH($C60,Config!$A:$A,0)),0),0))</f>
        <v/>
      </c>
      <c r="N60" s="36" t="str">
        <f t="shared" si="2"/>
        <v/>
      </c>
      <c r="O60" s="36" t="str">
        <f t="shared" si="3"/>
        <v/>
      </c>
      <c r="P60" s="15"/>
      <c r="Q60" s="37" t="str">
        <f t="shared" si="4"/>
        <v/>
      </c>
      <c r="R60" s="37" t="str">
        <f t="shared" si="5"/>
        <v/>
      </c>
      <c r="S60" s="32" t="str">
        <f t="shared" si="6"/>
        <v/>
      </c>
      <c r="T60" s="37" t="str">
        <f t="shared" si="7"/>
        <v/>
      </c>
      <c r="U60" s="37" t="str">
        <f t="array" ref="U60">IF($F60="","",IFERROR(INDEX(Config!$F:$F,MATCH($F60,Config!$D:$D,0)),0))</f>
        <v/>
      </c>
    </row>
    <row r="61" ht="15.0" customHeight="1">
      <c r="A61" s="34"/>
      <c r="B61" s="35"/>
      <c r="C61" s="15"/>
      <c r="D61" s="15"/>
      <c r="E61" s="15"/>
      <c r="F61" s="15"/>
      <c r="G61" s="36" t="str">
        <f t="array" ref="G61">IF($F61="","",IFERROR(INDEX(Config!$E:$E,MATCH($F61,Config!$D:$D,0)),0))</f>
        <v/>
      </c>
      <c r="H61" s="16"/>
      <c r="I61" s="36" t="str">
        <f t="shared" si="1"/>
        <v/>
      </c>
      <c r="J61" s="16"/>
      <c r="K61" s="15"/>
      <c r="L61" s="15"/>
      <c r="M61" s="36" t="str">
        <f t="array" ref="M61">IF($A61="","",IF($L61="Atendido",IFERROR($I61*INDEX(Config!$B:$B,MATCH($C61,Config!$A:$A,0)),0),0))</f>
        <v/>
      </c>
      <c r="N61" s="36" t="str">
        <f t="shared" si="2"/>
        <v/>
      </c>
      <c r="O61" s="36" t="str">
        <f t="shared" si="3"/>
        <v/>
      </c>
      <c r="P61" s="15"/>
      <c r="Q61" s="37" t="str">
        <f t="shared" si="4"/>
        <v/>
      </c>
      <c r="R61" s="37" t="str">
        <f t="shared" si="5"/>
        <v/>
      </c>
      <c r="S61" s="32" t="str">
        <f t="shared" si="6"/>
        <v/>
      </c>
      <c r="T61" s="37" t="str">
        <f t="shared" si="7"/>
        <v/>
      </c>
      <c r="U61" s="37" t="str">
        <f t="array" ref="U61">IF($F61="","",IFERROR(INDEX(Config!$F:$F,MATCH($F61,Config!$D:$D,0)),0))</f>
        <v/>
      </c>
    </row>
    <row r="62" ht="15.0" customHeight="1">
      <c r="A62" s="34"/>
      <c r="B62" s="35"/>
      <c r="C62" s="15"/>
      <c r="D62" s="15"/>
      <c r="E62" s="15"/>
      <c r="F62" s="15"/>
      <c r="G62" s="36" t="str">
        <f t="array" ref="G62">IF($F62="","",IFERROR(INDEX(Config!$E:$E,MATCH($F62,Config!$D:$D,0)),0))</f>
        <v/>
      </c>
      <c r="H62" s="16"/>
      <c r="I62" s="36" t="str">
        <f t="shared" si="1"/>
        <v/>
      </c>
      <c r="J62" s="16"/>
      <c r="K62" s="15"/>
      <c r="L62" s="15"/>
      <c r="M62" s="36" t="str">
        <f t="array" ref="M62">IF($A62="","",IF($L62="Atendido",IFERROR($I62*INDEX(Config!$B:$B,MATCH($C62,Config!$A:$A,0)),0),0))</f>
        <v/>
      </c>
      <c r="N62" s="36" t="str">
        <f t="shared" si="2"/>
        <v/>
      </c>
      <c r="O62" s="36" t="str">
        <f t="shared" si="3"/>
        <v/>
      </c>
      <c r="P62" s="15"/>
      <c r="Q62" s="37" t="str">
        <f t="shared" si="4"/>
        <v/>
      </c>
      <c r="R62" s="37" t="str">
        <f t="shared" si="5"/>
        <v/>
      </c>
      <c r="S62" s="32" t="str">
        <f t="shared" si="6"/>
        <v/>
      </c>
      <c r="T62" s="37" t="str">
        <f t="shared" si="7"/>
        <v/>
      </c>
      <c r="U62" s="37" t="str">
        <f t="array" ref="U62">IF($F62="","",IFERROR(INDEX(Config!$F:$F,MATCH($F62,Config!$D:$D,0)),0))</f>
        <v/>
      </c>
    </row>
    <row r="63" ht="15.0" customHeight="1">
      <c r="A63" s="34"/>
      <c r="B63" s="35"/>
      <c r="C63" s="15"/>
      <c r="D63" s="15"/>
      <c r="E63" s="15"/>
      <c r="F63" s="15"/>
      <c r="G63" s="36" t="str">
        <f t="array" ref="G63">IF($F63="","",IFERROR(INDEX(Config!$E:$E,MATCH($F63,Config!$D:$D,0)),0))</f>
        <v/>
      </c>
      <c r="H63" s="16"/>
      <c r="I63" s="36" t="str">
        <f t="shared" si="1"/>
        <v/>
      </c>
      <c r="J63" s="16"/>
      <c r="K63" s="15"/>
      <c r="L63" s="15"/>
      <c r="M63" s="36" t="str">
        <f t="array" ref="M63">IF($A63="","",IF($L63="Atendido",IFERROR($I63*INDEX(Config!$B:$B,MATCH($C63,Config!$A:$A,0)),0),0))</f>
        <v/>
      </c>
      <c r="N63" s="36" t="str">
        <f t="shared" si="2"/>
        <v/>
      </c>
      <c r="O63" s="36" t="str">
        <f t="shared" si="3"/>
        <v/>
      </c>
      <c r="P63" s="15"/>
      <c r="Q63" s="37" t="str">
        <f t="shared" si="4"/>
        <v/>
      </c>
      <c r="R63" s="37" t="str">
        <f t="shared" si="5"/>
        <v/>
      </c>
      <c r="S63" s="32" t="str">
        <f t="shared" si="6"/>
        <v/>
      </c>
      <c r="T63" s="37" t="str">
        <f t="shared" si="7"/>
        <v/>
      </c>
      <c r="U63" s="37" t="str">
        <f t="array" ref="U63">IF($F63="","",IFERROR(INDEX(Config!$F:$F,MATCH($F63,Config!$D:$D,0)),0))</f>
        <v/>
      </c>
    </row>
    <row r="64" ht="15.0" customHeight="1">
      <c r="A64" s="34"/>
      <c r="B64" s="35"/>
      <c r="C64" s="15"/>
      <c r="D64" s="15"/>
      <c r="E64" s="15"/>
      <c r="F64" s="15"/>
      <c r="G64" s="36" t="str">
        <f t="array" ref="G64">IF($F64="","",IFERROR(INDEX(Config!$E:$E,MATCH($F64,Config!$D:$D,0)),0))</f>
        <v/>
      </c>
      <c r="H64" s="16"/>
      <c r="I64" s="36" t="str">
        <f t="shared" si="1"/>
        <v/>
      </c>
      <c r="J64" s="16"/>
      <c r="K64" s="15"/>
      <c r="L64" s="15"/>
      <c r="M64" s="36" t="str">
        <f t="array" ref="M64">IF($A64="","",IF($L64="Atendido",IFERROR($I64*INDEX(Config!$B:$B,MATCH($C64,Config!$A:$A,0)),0),0))</f>
        <v/>
      </c>
      <c r="N64" s="36" t="str">
        <f t="shared" si="2"/>
        <v/>
      </c>
      <c r="O64" s="36" t="str">
        <f t="shared" si="3"/>
        <v/>
      </c>
      <c r="P64" s="15"/>
      <c r="Q64" s="37" t="str">
        <f t="shared" si="4"/>
        <v/>
      </c>
      <c r="R64" s="37" t="str">
        <f t="shared" si="5"/>
        <v/>
      </c>
      <c r="S64" s="32" t="str">
        <f t="shared" si="6"/>
        <v/>
      </c>
      <c r="T64" s="37" t="str">
        <f t="shared" si="7"/>
        <v/>
      </c>
      <c r="U64" s="37" t="str">
        <f t="array" ref="U64">IF($F64="","",IFERROR(INDEX(Config!$F:$F,MATCH($F64,Config!$D:$D,0)),0))</f>
        <v/>
      </c>
    </row>
    <row r="65" ht="15.0" customHeight="1">
      <c r="A65" s="34"/>
      <c r="B65" s="35"/>
      <c r="C65" s="15"/>
      <c r="D65" s="15"/>
      <c r="E65" s="15"/>
      <c r="F65" s="15"/>
      <c r="G65" s="36" t="str">
        <f t="array" ref="G65">IF($F65="","",IFERROR(INDEX(Config!$E:$E,MATCH($F65,Config!$D:$D,0)),0))</f>
        <v/>
      </c>
      <c r="H65" s="16"/>
      <c r="I65" s="36" t="str">
        <f t="shared" si="1"/>
        <v/>
      </c>
      <c r="J65" s="16"/>
      <c r="K65" s="15"/>
      <c r="L65" s="15"/>
      <c r="M65" s="36" t="str">
        <f t="array" ref="M65">IF($A65="","",IF($L65="Atendido",IFERROR($I65*INDEX(Config!$B:$B,MATCH($C65,Config!$A:$A,0)),0),0))</f>
        <v/>
      </c>
      <c r="N65" s="36" t="str">
        <f t="shared" si="2"/>
        <v/>
      </c>
      <c r="O65" s="36" t="str">
        <f t="shared" si="3"/>
        <v/>
      </c>
      <c r="P65" s="15"/>
      <c r="Q65" s="37" t="str">
        <f t="shared" si="4"/>
        <v/>
      </c>
      <c r="R65" s="37" t="str">
        <f t="shared" si="5"/>
        <v/>
      </c>
      <c r="S65" s="32" t="str">
        <f t="shared" si="6"/>
        <v/>
      </c>
      <c r="T65" s="37" t="str">
        <f t="shared" si="7"/>
        <v/>
      </c>
      <c r="U65" s="37" t="str">
        <f t="array" ref="U65">IF($F65="","",IFERROR(INDEX(Config!$F:$F,MATCH($F65,Config!$D:$D,0)),0))</f>
        <v/>
      </c>
    </row>
    <row r="66" ht="15.0" customHeight="1">
      <c r="A66" s="34"/>
      <c r="B66" s="35"/>
      <c r="C66" s="15"/>
      <c r="D66" s="15"/>
      <c r="E66" s="15"/>
      <c r="F66" s="15"/>
      <c r="G66" s="36" t="str">
        <f t="array" ref="G66">IF($F66="","",IFERROR(INDEX(Config!$E:$E,MATCH($F66,Config!$D:$D,0)),0))</f>
        <v/>
      </c>
      <c r="H66" s="16"/>
      <c r="I66" s="36" t="str">
        <f t="shared" si="1"/>
        <v/>
      </c>
      <c r="J66" s="16"/>
      <c r="K66" s="15"/>
      <c r="L66" s="15"/>
      <c r="M66" s="36" t="str">
        <f t="array" ref="M66">IF($A66="","",IF($L66="Atendido",IFERROR($I66*INDEX(Config!$B:$B,MATCH($C66,Config!$A:$A,0)),0),0))</f>
        <v/>
      </c>
      <c r="N66" s="36" t="str">
        <f t="shared" si="2"/>
        <v/>
      </c>
      <c r="O66" s="36" t="str">
        <f t="shared" si="3"/>
        <v/>
      </c>
      <c r="P66" s="15"/>
      <c r="Q66" s="37" t="str">
        <f t="shared" si="4"/>
        <v/>
      </c>
      <c r="R66" s="37" t="str">
        <f t="shared" si="5"/>
        <v/>
      </c>
      <c r="S66" s="32" t="str">
        <f t="shared" si="6"/>
        <v/>
      </c>
      <c r="T66" s="37" t="str">
        <f t="shared" si="7"/>
        <v/>
      </c>
      <c r="U66" s="37" t="str">
        <f t="array" ref="U66">IF($F66="","",IFERROR(INDEX(Config!$F:$F,MATCH($F66,Config!$D:$D,0)),0))</f>
        <v/>
      </c>
    </row>
    <row r="67" ht="15.0" customHeight="1">
      <c r="A67" s="34"/>
      <c r="B67" s="35"/>
      <c r="C67" s="15"/>
      <c r="D67" s="15"/>
      <c r="E67" s="15"/>
      <c r="F67" s="15"/>
      <c r="G67" s="36" t="str">
        <f t="array" ref="G67">IF($F67="","",IFERROR(INDEX(Config!$E:$E,MATCH($F67,Config!$D:$D,0)),0))</f>
        <v/>
      </c>
      <c r="H67" s="16"/>
      <c r="I67" s="36" t="str">
        <f t="shared" si="1"/>
        <v/>
      </c>
      <c r="J67" s="16"/>
      <c r="K67" s="15"/>
      <c r="L67" s="15"/>
      <c r="M67" s="36" t="str">
        <f t="array" ref="M67">IF($A67="","",IF($L67="Atendido",IFERROR($I67*INDEX(Config!$B:$B,MATCH($C67,Config!$A:$A,0)),0),0))</f>
        <v/>
      </c>
      <c r="N67" s="36" t="str">
        <f t="shared" si="2"/>
        <v/>
      </c>
      <c r="O67" s="36" t="str">
        <f t="shared" si="3"/>
        <v/>
      </c>
      <c r="P67" s="15"/>
      <c r="Q67" s="37" t="str">
        <f t="shared" si="4"/>
        <v/>
      </c>
      <c r="R67" s="37" t="str">
        <f t="shared" si="5"/>
        <v/>
      </c>
      <c r="S67" s="32" t="str">
        <f t="shared" si="6"/>
        <v/>
      </c>
      <c r="T67" s="37" t="str">
        <f t="shared" si="7"/>
        <v/>
      </c>
      <c r="U67" s="37" t="str">
        <f t="array" ref="U67">IF($F67="","",IFERROR(INDEX(Config!$F:$F,MATCH($F67,Config!$D:$D,0)),0))</f>
        <v/>
      </c>
    </row>
    <row r="68" ht="15.0" customHeight="1">
      <c r="A68" s="34"/>
      <c r="B68" s="35"/>
      <c r="C68" s="15"/>
      <c r="D68" s="15"/>
      <c r="E68" s="15"/>
      <c r="F68" s="15"/>
      <c r="G68" s="36" t="str">
        <f t="array" ref="G68">IF($F68="","",IFERROR(INDEX(Config!$E:$E,MATCH($F68,Config!$D:$D,0)),0))</f>
        <v/>
      </c>
      <c r="H68" s="16"/>
      <c r="I68" s="36" t="str">
        <f t="shared" si="1"/>
        <v/>
      </c>
      <c r="J68" s="16"/>
      <c r="K68" s="15"/>
      <c r="L68" s="15"/>
      <c r="M68" s="36" t="str">
        <f t="array" ref="M68">IF($A68="","",IF($L68="Atendido",IFERROR($I68*INDEX(Config!$B:$B,MATCH($C68,Config!$A:$A,0)),0),0))</f>
        <v/>
      </c>
      <c r="N68" s="36" t="str">
        <f t="shared" si="2"/>
        <v/>
      </c>
      <c r="O68" s="36" t="str">
        <f t="shared" si="3"/>
        <v/>
      </c>
      <c r="P68" s="15"/>
      <c r="Q68" s="37" t="str">
        <f t="shared" si="4"/>
        <v/>
      </c>
      <c r="R68" s="37" t="str">
        <f t="shared" si="5"/>
        <v/>
      </c>
      <c r="S68" s="32" t="str">
        <f t="shared" si="6"/>
        <v/>
      </c>
      <c r="T68" s="37" t="str">
        <f t="shared" si="7"/>
        <v/>
      </c>
      <c r="U68" s="37" t="str">
        <f t="array" ref="U68">IF($F68="","",IFERROR(INDEX(Config!$F:$F,MATCH($F68,Config!$D:$D,0)),0))</f>
        <v/>
      </c>
    </row>
    <row r="69" ht="15.0" customHeight="1">
      <c r="A69" s="34"/>
      <c r="B69" s="35"/>
      <c r="C69" s="15"/>
      <c r="D69" s="15"/>
      <c r="E69" s="15"/>
      <c r="F69" s="15"/>
      <c r="G69" s="36" t="str">
        <f t="array" ref="G69">IF($F69="","",IFERROR(INDEX(Config!$E:$E,MATCH($F69,Config!$D:$D,0)),0))</f>
        <v/>
      </c>
      <c r="H69" s="16"/>
      <c r="I69" s="36" t="str">
        <f t="shared" si="1"/>
        <v/>
      </c>
      <c r="J69" s="16"/>
      <c r="K69" s="15"/>
      <c r="L69" s="15"/>
      <c r="M69" s="36" t="str">
        <f t="array" ref="M69">IF($A69="","",IF($L69="Atendido",IFERROR($I69*INDEX(Config!$B:$B,MATCH($C69,Config!$A:$A,0)),0),0))</f>
        <v/>
      </c>
      <c r="N69" s="36" t="str">
        <f t="shared" si="2"/>
        <v/>
      </c>
      <c r="O69" s="36" t="str">
        <f t="shared" si="3"/>
        <v/>
      </c>
      <c r="P69" s="15"/>
      <c r="Q69" s="37" t="str">
        <f t="shared" si="4"/>
        <v/>
      </c>
      <c r="R69" s="37" t="str">
        <f t="shared" si="5"/>
        <v/>
      </c>
      <c r="S69" s="32" t="str">
        <f t="shared" si="6"/>
        <v/>
      </c>
      <c r="T69" s="37" t="str">
        <f t="shared" si="7"/>
        <v/>
      </c>
      <c r="U69" s="37" t="str">
        <f t="array" ref="U69">IF($F69="","",IFERROR(INDEX(Config!$F:$F,MATCH($F69,Config!$D:$D,0)),0))</f>
        <v/>
      </c>
    </row>
    <row r="70" ht="15.0" customHeight="1">
      <c r="A70" s="34"/>
      <c r="B70" s="35"/>
      <c r="C70" s="15"/>
      <c r="D70" s="15"/>
      <c r="E70" s="15"/>
      <c r="F70" s="15"/>
      <c r="G70" s="36" t="str">
        <f t="array" ref="G70">IF($F70="","",IFERROR(INDEX(Config!$E:$E,MATCH($F70,Config!$D:$D,0)),0))</f>
        <v/>
      </c>
      <c r="H70" s="16"/>
      <c r="I70" s="36" t="str">
        <f t="shared" si="1"/>
        <v/>
      </c>
      <c r="J70" s="16"/>
      <c r="K70" s="15"/>
      <c r="L70" s="15"/>
      <c r="M70" s="36" t="str">
        <f t="array" ref="M70">IF($A70="","",IF($L70="Atendido",IFERROR($I70*INDEX(Config!$B:$B,MATCH($C70,Config!$A:$A,0)),0),0))</f>
        <v/>
      </c>
      <c r="N70" s="36" t="str">
        <f t="shared" si="2"/>
        <v/>
      </c>
      <c r="O70" s="36" t="str">
        <f t="shared" si="3"/>
        <v/>
      </c>
      <c r="P70" s="15"/>
      <c r="Q70" s="37" t="str">
        <f t="shared" si="4"/>
        <v/>
      </c>
      <c r="R70" s="37" t="str">
        <f t="shared" si="5"/>
        <v/>
      </c>
      <c r="S70" s="32" t="str">
        <f t="shared" si="6"/>
        <v/>
      </c>
      <c r="T70" s="37" t="str">
        <f t="shared" si="7"/>
        <v/>
      </c>
      <c r="U70" s="37" t="str">
        <f t="array" ref="U70">IF($F70="","",IFERROR(INDEX(Config!$F:$F,MATCH($F70,Config!$D:$D,0)),0))</f>
        <v/>
      </c>
    </row>
    <row r="71" ht="15.0" customHeight="1">
      <c r="A71" s="34"/>
      <c r="B71" s="35"/>
      <c r="C71" s="15"/>
      <c r="D71" s="15"/>
      <c r="E71" s="15"/>
      <c r="F71" s="15"/>
      <c r="G71" s="36" t="str">
        <f t="array" ref="G71">IF($F71="","",IFERROR(INDEX(Config!$E:$E,MATCH($F71,Config!$D:$D,0)),0))</f>
        <v/>
      </c>
      <c r="H71" s="16"/>
      <c r="I71" s="36" t="str">
        <f t="shared" si="1"/>
        <v/>
      </c>
      <c r="J71" s="16"/>
      <c r="K71" s="15"/>
      <c r="L71" s="15"/>
      <c r="M71" s="36" t="str">
        <f t="array" ref="M71">IF($A71="","",IF($L71="Atendido",IFERROR($I71*INDEX(Config!$B:$B,MATCH($C71,Config!$A:$A,0)),0),0))</f>
        <v/>
      </c>
      <c r="N71" s="36" t="str">
        <f t="shared" si="2"/>
        <v/>
      </c>
      <c r="O71" s="36" t="str">
        <f t="shared" si="3"/>
        <v/>
      </c>
      <c r="P71" s="15"/>
      <c r="Q71" s="37" t="str">
        <f t="shared" si="4"/>
        <v/>
      </c>
      <c r="R71" s="37" t="str">
        <f t="shared" si="5"/>
        <v/>
      </c>
      <c r="S71" s="32" t="str">
        <f t="shared" si="6"/>
        <v/>
      </c>
      <c r="T71" s="37" t="str">
        <f t="shared" si="7"/>
        <v/>
      </c>
      <c r="U71" s="37" t="str">
        <f t="array" ref="U71">IF($F71="","",IFERROR(INDEX(Config!$F:$F,MATCH($F71,Config!$D:$D,0)),0))</f>
        <v/>
      </c>
    </row>
    <row r="72" ht="15.0" customHeight="1">
      <c r="A72" s="34"/>
      <c r="B72" s="35"/>
      <c r="C72" s="15"/>
      <c r="D72" s="15"/>
      <c r="E72" s="15"/>
      <c r="F72" s="15"/>
      <c r="G72" s="36" t="str">
        <f t="array" ref="G72">IF($F72="","",IFERROR(INDEX(Config!$E:$E,MATCH($F72,Config!$D:$D,0)),0))</f>
        <v/>
      </c>
      <c r="H72" s="16"/>
      <c r="I72" s="36" t="str">
        <f t="shared" si="1"/>
        <v/>
      </c>
      <c r="J72" s="16"/>
      <c r="K72" s="15"/>
      <c r="L72" s="15"/>
      <c r="M72" s="36" t="str">
        <f t="array" ref="M72">IF($A72="","",IF($L72="Atendido",IFERROR($I72*INDEX(Config!$B:$B,MATCH($C72,Config!$A:$A,0)),0),0))</f>
        <v/>
      </c>
      <c r="N72" s="36" t="str">
        <f t="shared" si="2"/>
        <v/>
      </c>
      <c r="O72" s="36" t="str">
        <f t="shared" si="3"/>
        <v/>
      </c>
      <c r="P72" s="15"/>
      <c r="Q72" s="37" t="str">
        <f t="shared" si="4"/>
        <v/>
      </c>
      <c r="R72" s="37" t="str">
        <f t="shared" si="5"/>
        <v/>
      </c>
      <c r="S72" s="32" t="str">
        <f t="shared" si="6"/>
        <v/>
      </c>
      <c r="T72" s="37" t="str">
        <f t="shared" si="7"/>
        <v/>
      </c>
      <c r="U72" s="37" t="str">
        <f t="array" ref="U72">IF($F72="","",IFERROR(INDEX(Config!$F:$F,MATCH($F72,Config!$D:$D,0)),0))</f>
        <v/>
      </c>
    </row>
    <row r="73" ht="15.0" customHeight="1">
      <c r="A73" s="34"/>
      <c r="B73" s="35"/>
      <c r="C73" s="15"/>
      <c r="D73" s="15"/>
      <c r="E73" s="15"/>
      <c r="F73" s="15"/>
      <c r="G73" s="36" t="str">
        <f t="array" ref="G73">IF($F73="","",IFERROR(INDEX(Config!$E:$E,MATCH($F73,Config!$D:$D,0)),0))</f>
        <v/>
      </c>
      <c r="H73" s="16"/>
      <c r="I73" s="36" t="str">
        <f t="shared" si="1"/>
        <v/>
      </c>
      <c r="J73" s="16"/>
      <c r="K73" s="15"/>
      <c r="L73" s="15"/>
      <c r="M73" s="36" t="str">
        <f t="array" ref="M73">IF($A73="","",IF($L73="Atendido",IFERROR($I73*INDEX(Config!$B:$B,MATCH($C73,Config!$A:$A,0)),0),0))</f>
        <v/>
      </c>
      <c r="N73" s="36" t="str">
        <f t="shared" si="2"/>
        <v/>
      </c>
      <c r="O73" s="36" t="str">
        <f t="shared" si="3"/>
        <v/>
      </c>
      <c r="P73" s="15"/>
      <c r="Q73" s="37" t="str">
        <f t="shared" si="4"/>
        <v/>
      </c>
      <c r="R73" s="37" t="str">
        <f t="shared" si="5"/>
        <v/>
      </c>
      <c r="S73" s="32" t="str">
        <f t="shared" si="6"/>
        <v/>
      </c>
      <c r="T73" s="37" t="str">
        <f t="shared" si="7"/>
        <v/>
      </c>
      <c r="U73" s="37" t="str">
        <f t="array" ref="U73">IF($F73="","",IFERROR(INDEX(Config!$F:$F,MATCH($F73,Config!$D:$D,0)),0))</f>
        <v/>
      </c>
    </row>
    <row r="74" ht="15.0" customHeight="1">
      <c r="A74" s="34"/>
      <c r="B74" s="35"/>
      <c r="C74" s="15"/>
      <c r="D74" s="15"/>
      <c r="E74" s="15"/>
      <c r="F74" s="15"/>
      <c r="G74" s="36" t="str">
        <f t="array" ref="G74">IF($F74="","",IFERROR(INDEX(Config!$E:$E,MATCH($F74,Config!$D:$D,0)),0))</f>
        <v/>
      </c>
      <c r="H74" s="16"/>
      <c r="I74" s="36" t="str">
        <f t="shared" si="1"/>
        <v/>
      </c>
      <c r="J74" s="16"/>
      <c r="K74" s="15"/>
      <c r="L74" s="15"/>
      <c r="M74" s="36" t="str">
        <f t="array" ref="M74">IF($A74="","",IF($L74="Atendido",IFERROR($I74*INDEX(Config!$B:$B,MATCH($C74,Config!$A:$A,0)),0),0))</f>
        <v/>
      </c>
      <c r="N74" s="36" t="str">
        <f t="shared" si="2"/>
        <v/>
      </c>
      <c r="O74" s="36" t="str">
        <f t="shared" si="3"/>
        <v/>
      </c>
      <c r="P74" s="15"/>
      <c r="Q74" s="37" t="str">
        <f t="shared" si="4"/>
        <v/>
      </c>
      <c r="R74" s="37" t="str">
        <f t="shared" si="5"/>
        <v/>
      </c>
      <c r="S74" s="32" t="str">
        <f t="shared" si="6"/>
        <v/>
      </c>
      <c r="T74" s="37" t="str">
        <f t="shared" si="7"/>
        <v/>
      </c>
      <c r="U74" s="37" t="str">
        <f t="array" ref="U74">IF($F74="","",IFERROR(INDEX(Config!$F:$F,MATCH($F74,Config!$D:$D,0)),0))</f>
        <v/>
      </c>
    </row>
    <row r="75" ht="15.0" customHeight="1">
      <c r="A75" s="34"/>
      <c r="B75" s="35"/>
      <c r="C75" s="15"/>
      <c r="D75" s="15"/>
      <c r="E75" s="15"/>
      <c r="F75" s="15"/>
      <c r="G75" s="36" t="str">
        <f t="array" ref="G75">IF($F75="","",IFERROR(INDEX(Config!$E:$E,MATCH($F75,Config!$D:$D,0)),0))</f>
        <v/>
      </c>
      <c r="H75" s="16"/>
      <c r="I75" s="36" t="str">
        <f t="shared" si="1"/>
        <v/>
      </c>
      <c r="J75" s="16"/>
      <c r="K75" s="15"/>
      <c r="L75" s="15"/>
      <c r="M75" s="36" t="str">
        <f t="array" ref="M75">IF($A75="","",IF($L75="Atendido",IFERROR($I75*INDEX(Config!$B:$B,MATCH($C75,Config!$A:$A,0)),0),0))</f>
        <v/>
      </c>
      <c r="N75" s="36" t="str">
        <f t="shared" si="2"/>
        <v/>
      </c>
      <c r="O75" s="36" t="str">
        <f t="shared" si="3"/>
        <v/>
      </c>
      <c r="P75" s="15"/>
      <c r="Q75" s="37" t="str">
        <f t="shared" si="4"/>
        <v/>
      </c>
      <c r="R75" s="37" t="str">
        <f t="shared" si="5"/>
        <v/>
      </c>
      <c r="S75" s="32" t="str">
        <f t="shared" si="6"/>
        <v/>
      </c>
      <c r="T75" s="37" t="str">
        <f t="shared" si="7"/>
        <v/>
      </c>
      <c r="U75" s="37" t="str">
        <f t="array" ref="U75">IF($F75="","",IFERROR(INDEX(Config!$F:$F,MATCH($F75,Config!$D:$D,0)),0))</f>
        <v/>
      </c>
    </row>
    <row r="76" ht="15.0" customHeight="1">
      <c r="A76" s="34"/>
      <c r="B76" s="35"/>
      <c r="C76" s="15"/>
      <c r="D76" s="15"/>
      <c r="E76" s="15"/>
      <c r="F76" s="15"/>
      <c r="G76" s="36" t="str">
        <f t="array" ref="G76">IF($F76="","",IFERROR(INDEX(Config!$E:$E,MATCH($F76,Config!$D:$D,0)),0))</f>
        <v/>
      </c>
      <c r="H76" s="16"/>
      <c r="I76" s="36" t="str">
        <f t="shared" si="1"/>
        <v/>
      </c>
      <c r="J76" s="16"/>
      <c r="K76" s="15"/>
      <c r="L76" s="15"/>
      <c r="M76" s="36" t="str">
        <f t="array" ref="M76">IF($A76="","",IF($L76="Atendido",IFERROR($I76*INDEX(Config!$B:$B,MATCH($C76,Config!$A:$A,0)),0),0))</f>
        <v/>
      </c>
      <c r="N76" s="36" t="str">
        <f t="shared" si="2"/>
        <v/>
      </c>
      <c r="O76" s="36" t="str">
        <f t="shared" si="3"/>
        <v/>
      </c>
      <c r="P76" s="15"/>
      <c r="Q76" s="37" t="str">
        <f t="shared" si="4"/>
        <v/>
      </c>
      <c r="R76" s="37" t="str">
        <f t="shared" si="5"/>
        <v/>
      </c>
      <c r="S76" s="32" t="str">
        <f t="shared" si="6"/>
        <v/>
      </c>
      <c r="T76" s="37" t="str">
        <f t="shared" si="7"/>
        <v/>
      </c>
      <c r="U76" s="37" t="str">
        <f t="array" ref="U76">IF($F76="","",IFERROR(INDEX(Config!$F:$F,MATCH($F76,Config!$D:$D,0)),0))</f>
        <v/>
      </c>
    </row>
    <row r="77" ht="15.0" customHeight="1">
      <c r="A77" s="34"/>
      <c r="B77" s="35"/>
      <c r="C77" s="15"/>
      <c r="D77" s="15"/>
      <c r="E77" s="15"/>
      <c r="F77" s="15"/>
      <c r="G77" s="36" t="str">
        <f t="array" ref="G77">IF($F77="","",IFERROR(INDEX(Config!$E:$E,MATCH($F77,Config!$D:$D,0)),0))</f>
        <v/>
      </c>
      <c r="H77" s="16"/>
      <c r="I77" s="36" t="str">
        <f t="shared" si="1"/>
        <v/>
      </c>
      <c r="J77" s="16"/>
      <c r="K77" s="15"/>
      <c r="L77" s="15"/>
      <c r="M77" s="36" t="str">
        <f t="array" ref="M77">IF($A77="","",IF($L77="Atendido",IFERROR($I77*INDEX(Config!$B:$B,MATCH($C77,Config!$A:$A,0)),0),0))</f>
        <v/>
      </c>
      <c r="N77" s="36" t="str">
        <f t="shared" si="2"/>
        <v/>
      </c>
      <c r="O77" s="36" t="str">
        <f t="shared" si="3"/>
        <v/>
      </c>
      <c r="P77" s="15"/>
      <c r="Q77" s="37" t="str">
        <f t="shared" si="4"/>
        <v/>
      </c>
      <c r="R77" s="37" t="str">
        <f t="shared" si="5"/>
        <v/>
      </c>
      <c r="S77" s="32" t="str">
        <f t="shared" si="6"/>
        <v/>
      </c>
      <c r="T77" s="37" t="str">
        <f t="shared" si="7"/>
        <v/>
      </c>
      <c r="U77" s="37" t="str">
        <f t="array" ref="U77">IF($F77="","",IFERROR(INDEX(Config!$F:$F,MATCH($F77,Config!$D:$D,0)),0))</f>
        <v/>
      </c>
    </row>
    <row r="78" ht="15.0" customHeight="1">
      <c r="A78" s="34"/>
      <c r="B78" s="35"/>
      <c r="C78" s="15"/>
      <c r="D78" s="15"/>
      <c r="E78" s="15"/>
      <c r="F78" s="15"/>
      <c r="G78" s="36" t="str">
        <f t="array" ref="G78">IF($F78="","",IFERROR(INDEX(Config!$E:$E,MATCH($F78,Config!$D:$D,0)),0))</f>
        <v/>
      </c>
      <c r="H78" s="16"/>
      <c r="I78" s="36" t="str">
        <f t="shared" si="1"/>
        <v/>
      </c>
      <c r="J78" s="16"/>
      <c r="K78" s="15"/>
      <c r="L78" s="15"/>
      <c r="M78" s="36" t="str">
        <f t="array" ref="M78">IF($A78="","",IF($L78="Atendido",IFERROR($I78*INDEX(Config!$B:$B,MATCH($C78,Config!$A:$A,0)),0),0))</f>
        <v/>
      </c>
      <c r="N78" s="36" t="str">
        <f t="shared" si="2"/>
        <v/>
      </c>
      <c r="O78" s="36" t="str">
        <f t="shared" si="3"/>
        <v/>
      </c>
      <c r="P78" s="15"/>
      <c r="Q78" s="37" t="str">
        <f t="shared" si="4"/>
        <v/>
      </c>
      <c r="R78" s="37" t="str">
        <f t="shared" si="5"/>
        <v/>
      </c>
      <c r="S78" s="32" t="str">
        <f t="shared" si="6"/>
        <v/>
      </c>
      <c r="T78" s="37" t="str">
        <f t="shared" si="7"/>
        <v/>
      </c>
      <c r="U78" s="37" t="str">
        <f t="array" ref="U78">IF($F78="","",IFERROR(INDEX(Config!$F:$F,MATCH($F78,Config!$D:$D,0)),0))</f>
        <v/>
      </c>
    </row>
    <row r="79" ht="15.0" customHeight="1">
      <c r="A79" s="34"/>
      <c r="B79" s="35"/>
      <c r="C79" s="15"/>
      <c r="D79" s="15"/>
      <c r="E79" s="15"/>
      <c r="F79" s="15"/>
      <c r="G79" s="36" t="str">
        <f t="array" ref="G79">IF($F79="","",IFERROR(INDEX(Config!$E:$E,MATCH($F79,Config!$D:$D,0)),0))</f>
        <v/>
      </c>
      <c r="H79" s="16"/>
      <c r="I79" s="36" t="str">
        <f t="shared" si="1"/>
        <v/>
      </c>
      <c r="J79" s="16"/>
      <c r="K79" s="15"/>
      <c r="L79" s="15"/>
      <c r="M79" s="36" t="str">
        <f t="array" ref="M79">IF($A79="","",IF($L79="Atendido",IFERROR($I79*INDEX(Config!$B:$B,MATCH($C79,Config!$A:$A,0)),0),0))</f>
        <v/>
      </c>
      <c r="N79" s="36" t="str">
        <f t="shared" si="2"/>
        <v/>
      </c>
      <c r="O79" s="36" t="str">
        <f t="shared" si="3"/>
        <v/>
      </c>
      <c r="P79" s="15"/>
      <c r="Q79" s="37" t="str">
        <f t="shared" si="4"/>
        <v/>
      </c>
      <c r="R79" s="37" t="str">
        <f t="shared" si="5"/>
        <v/>
      </c>
      <c r="S79" s="32" t="str">
        <f t="shared" si="6"/>
        <v/>
      </c>
      <c r="T79" s="37" t="str">
        <f t="shared" si="7"/>
        <v/>
      </c>
      <c r="U79" s="37" t="str">
        <f t="array" ref="U79">IF($F79="","",IFERROR(INDEX(Config!$F:$F,MATCH($F79,Config!$D:$D,0)),0))</f>
        <v/>
      </c>
    </row>
    <row r="80" ht="15.0" customHeight="1">
      <c r="A80" s="34"/>
      <c r="B80" s="35"/>
      <c r="C80" s="15"/>
      <c r="D80" s="15"/>
      <c r="E80" s="15"/>
      <c r="F80" s="15"/>
      <c r="G80" s="36" t="str">
        <f t="array" ref="G80">IF($F80="","",IFERROR(INDEX(Config!$E:$E,MATCH($F80,Config!$D:$D,0)),0))</f>
        <v/>
      </c>
      <c r="H80" s="16"/>
      <c r="I80" s="36" t="str">
        <f t="shared" si="1"/>
        <v/>
      </c>
      <c r="J80" s="16"/>
      <c r="K80" s="15"/>
      <c r="L80" s="15"/>
      <c r="M80" s="36" t="str">
        <f t="array" ref="M80">IF($A80="","",IF($L80="Atendido",IFERROR($I80*INDEX(Config!$B:$B,MATCH($C80,Config!$A:$A,0)),0),0))</f>
        <v/>
      </c>
      <c r="N80" s="36" t="str">
        <f t="shared" si="2"/>
        <v/>
      </c>
      <c r="O80" s="36" t="str">
        <f t="shared" si="3"/>
        <v/>
      </c>
      <c r="P80" s="15"/>
      <c r="Q80" s="37" t="str">
        <f t="shared" si="4"/>
        <v/>
      </c>
      <c r="R80" s="37" t="str">
        <f t="shared" si="5"/>
        <v/>
      </c>
      <c r="S80" s="32" t="str">
        <f t="shared" si="6"/>
        <v/>
      </c>
      <c r="T80" s="37" t="str">
        <f t="shared" si="7"/>
        <v/>
      </c>
      <c r="U80" s="37" t="str">
        <f t="array" ref="U80">IF($F80="","",IFERROR(INDEX(Config!$F:$F,MATCH($F80,Config!$D:$D,0)),0))</f>
        <v/>
      </c>
    </row>
    <row r="81" ht="15.0" customHeight="1">
      <c r="A81" s="34"/>
      <c r="B81" s="35"/>
      <c r="C81" s="15"/>
      <c r="D81" s="15"/>
      <c r="E81" s="15"/>
      <c r="F81" s="15"/>
      <c r="G81" s="36" t="str">
        <f t="array" ref="G81">IF($F81="","",IFERROR(INDEX(Config!$E:$E,MATCH($F81,Config!$D:$D,0)),0))</f>
        <v/>
      </c>
      <c r="H81" s="16"/>
      <c r="I81" s="36" t="str">
        <f t="shared" si="1"/>
        <v/>
      </c>
      <c r="J81" s="16"/>
      <c r="K81" s="15"/>
      <c r="L81" s="15"/>
      <c r="M81" s="36" t="str">
        <f t="array" ref="M81">IF($A81="","",IF($L81="Atendido",IFERROR($I81*INDEX(Config!$B:$B,MATCH($C81,Config!$A:$A,0)),0),0))</f>
        <v/>
      </c>
      <c r="N81" s="36" t="str">
        <f t="shared" si="2"/>
        <v/>
      </c>
      <c r="O81" s="36" t="str">
        <f t="shared" si="3"/>
        <v/>
      </c>
      <c r="P81" s="15"/>
      <c r="Q81" s="37" t="str">
        <f t="shared" si="4"/>
        <v/>
      </c>
      <c r="R81" s="37" t="str">
        <f t="shared" si="5"/>
        <v/>
      </c>
      <c r="S81" s="32" t="str">
        <f t="shared" si="6"/>
        <v/>
      </c>
      <c r="T81" s="37" t="str">
        <f t="shared" si="7"/>
        <v/>
      </c>
      <c r="U81" s="37" t="str">
        <f t="array" ref="U81">IF($F81="","",IFERROR(INDEX(Config!$F:$F,MATCH($F81,Config!$D:$D,0)),0))</f>
        <v/>
      </c>
    </row>
    <row r="82" ht="15.0" customHeight="1">
      <c r="A82" s="34"/>
      <c r="B82" s="35"/>
      <c r="C82" s="15"/>
      <c r="D82" s="15"/>
      <c r="E82" s="15"/>
      <c r="F82" s="15"/>
      <c r="G82" s="36" t="str">
        <f t="array" ref="G82">IF($F82="","",IFERROR(INDEX(Config!$E:$E,MATCH($F82,Config!$D:$D,0)),0))</f>
        <v/>
      </c>
      <c r="H82" s="16"/>
      <c r="I82" s="36" t="str">
        <f t="shared" si="1"/>
        <v/>
      </c>
      <c r="J82" s="16"/>
      <c r="K82" s="15"/>
      <c r="L82" s="15"/>
      <c r="M82" s="36" t="str">
        <f t="array" ref="M82">IF($A82="","",IF($L82="Atendido",IFERROR($I82*INDEX(Config!$B:$B,MATCH($C82,Config!$A:$A,0)),0),0))</f>
        <v/>
      </c>
      <c r="N82" s="36" t="str">
        <f t="shared" si="2"/>
        <v/>
      </c>
      <c r="O82" s="36" t="str">
        <f t="shared" si="3"/>
        <v/>
      </c>
      <c r="P82" s="15"/>
      <c r="Q82" s="37" t="str">
        <f t="shared" si="4"/>
        <v/>
      </c>
      <c r="R82" s="37" t="str">
        <f t="shared" si="5"/>
        <v/>
      </c>
      <c r="S82" s="32" t="str">
        <f t="shared" si="6"/>
        <v/>
      </c>
      <c r="T82" s="37" t="str">
        <f t="shared" si="7"/>
        <v/>
      </c>
      <c r="U82" s="37" t="str">
        <f t="array" ref="U82">IF($F82="","",IFERROR(INDEX(Config!$F:$F,MATCH($F82,Config!$D:$D,0)),0))</f>
        <v/>
      </c>
    </row>
    <row r="83" ht="15.0" customHeight="1">
      <c r="A83" s="34"/>
      <c r="B83" s="35"/>
      <c r="C83" s="15"/>
      <c r="D83" s="15"/>
      <c r="E83" s="15"/>
      <c r="F83" s="15"/>
      <c r="G83" s="36" t="str">
        <f t="array" ref="G83">IF($F83="","",IFERROR(INDEX(Config!$E:$E,MATCH($F83,Config!$D:$D,0)),0))</f>
        <v/>
      </c>
      <c r="H83" s="16"/>
      <c r="I83" s="36" t="str">
        <f t="shared" si="1"/>
        <v/>
      </c>
      <c r="J83" s="16"/>
      <c r="K83" s="15"/>
      <c r="L83" s="15"/>
      <c r="M83" s="36" t="str">
        <f t="array" ref="M83">IF($A83="","",IF($L83="Atendido",IFERROR($I83*INDEX(Config!$B:$B,MATCH($C83,Config!$A:$A,0)),0),0))</f>
        <v/>
      </c>
      <c r="N83" s="36" t="str">
        <f t="shared" si="2"/>
        <v/>
      </c>
      <c r="O83" s="36" t="str">
        <f t="shared" si="3"/>
        <v/>
      </c>
      <c r="P83" s="15"/>
      <c r="Q83" s="37" t="str">
        <f t="shared" si="4"/>
        <v/>
      </c>
      <c r="R83" s="37" t="str">
        <f t="shared" si="5"/>
        <v/>
      </c>
      <c r="S83" s="32" t="str">
        <f t="shared" si="6"/>
        <v/>
      </c>
      <c r="T83" s="37" t="str">
        <f t="shared" si="7"/>
        <v/>
      </c>
      <c r="U83" s="37" t="str">
        <f t="array" ref="U83">IF($F83="","",IFERROR(INDEX(Config!$F:$F,MATCH($F83,Config!$D:$D,0)),0))</f>
        <v/>
      </c>
    </row>
    <row r="84" ht="15.0" customHeight="1">
      <c r="A84" s="34"/>
      <c r="B84" s="35"/>
      <c r="C84" s="15"/>
      <c r="D84" s="15"/>
      <c r="E84" s="15"/>
      <c r="F84" s="15"/>
      <c r="G84" s="36" t="str">
        <f t="array" ref="G84">IF($F84="","",IFERROR(INDEX(Config!$E:$E,MATCH($F84,Config!$D:$D,0)),0))</f>
        <v/>
      </c>
      <c r="H84" s="16"/>
      <c r="I84" s="36" t="str">
        <f t="shared" si="1"/>
        <v/>
      </c>
      <c r="J84" s="16"/>
      <c r="K84" s="15"/>
      <c r="L84" s="15"/>
      <c r="M84" s="36" t="str">
        <f t="array" ref="M84">IF($A84="","",IF($L84="Atendido",IFERROR($I84*INDEX(Config!$B:$B,MATCH($C84,Config!$A:$A,0)),0),0))</f>
        <v/>
      </c>
      <c r="N84" s="36" t="str">
        <f t="shared" si="2"/>
        <v/>
      </c>
      <c r="O84" s="36" t="str">
        <f t="shared" si="3"/>
        <v/>
      </c>
      <c r="P84" s="15"/>
      <c r="Q84" s="37" t="str">
        <f t="shared" si="4"/>
        <v/>
      </c>
      <c r="R84" s="37" t="str">
        <f t="shared" si="5"/>
        <v/>
      </c>
      <c r="S84" s="32" t="str">
        <f t="shared" si="6"/>
        <v/>
      </c>
      <c r="T84" s="37" t="str">
        <f t="shared" si="7"/>
        <v/>
      </c>
      <c r="U84" s="37" t="str">
        <f t="array" ref="U84">IF($F84="","",IFERROR(INDEX(Config!$F:$F,MATCH($F84,Config!$D:$D,0)),0))</f>
        <v/>
      </c>
    </row>
    <row r="85" ht="15.0" customHeight="1">
      <c r="A85" s="34"/>
      <c r="B85" s="35"/>
      <c r="C85" s="15"/>
      <c r="D85" s="15"/>
      <c r="E85" s="15"/>
      <c r="F85" s="15"/>
      <c r="G85" s="36" t="str">
        <f t="array" ref="G85">IF($F85="","",IFERROR(INDEX(Config!$E:$E,MATCH($F85,Config!$D:$D,0)),0))</f>
        <v/>
      </c>
      <c r="H85" s="16"/>
      <c r="I85" s="36" t="str">
        <f t="shared" si="1"/>
        <v/>
      </c>
      <c r="J85" s="16"/>
      <c r="K85" s="15"/>
      <c r="L85" s="15"/>
      <c r="M85" s="36" t="str">
        <f t="array" ref="M85">IF($A85="","",IF($L85="Atendido",IFERROR($I85*INDEX(Config!$B:$B,MATCH($C85,Config!$A:$A,0)),0),0))</f>
        <v/>
      </c>
      <c r="N85" s="36" t="str">
        <f t="shared" si="2"/>
        <v/>
      </c>
      <c r="O85" s="36" t="str">
        <f t="shared" si="3"/>
        <v/>
      </c>
      <c r="P85" s="15"/>
      <c r="Q85" s="37" t="str">
        <f t="shared" si="4"/>
        <v/>
      </c>
      <c r="R85" s="37" t="str">
        <f t="shared" si="5"/>
        <v/>
      </c>
      <c r="S85" s="32" t="str">
        <f t="shared" si="6"/>
        <v/>
      </c>
      <c r="T85" s="37" t="str">
        <f t="shared" si="7"/>
        <v/>
      </c>
      <c r="U85" s="37" t="str">
        <f t="array" ref="U85">IF($F85="","",IFERROR(INDEX(Config!$F:$F,MATCH($F85,Config!$D:$D,0)),0))</f>
        <v/>
      </c>
    </row>
    <row r="86" ht="15.0" customHeight="1">
      <c r="A86" s="34"/>
      <c r="B86" s="35"/>
      <c r="C86" s="15"/>
      <c r="D86" s="15"/>
      <c r="E86" s="15"/>
      <c r="F86" s="15"/>
      <c r="G86" s="36" t="str">
        <f t="array" ref="G86">IF($F86="","",IFERROR(INDEX(Config!$E:$E,MATCH($F86,Config!$D:$D,0)),0))</f>
        <v/>
      </c>
      <c r="H86" s="16"/>
      <c r="I86" s="36" t="str">
        <f t="shared" si="1"/>
        <v/>
      </c>
      <c r="J86" s="16"/>
      <c r="K86" s="15"/>
      <c r="L86" s="15"/>
      <c r="M86" s="36" t="str">
        <f t="array" ref="M86">IF($A86="","",IF($L86="Atendido",IFERROR($I86*INDEX(Config!$B:$B,MATCH($C86,Config!$A:$A,0)),0),0))</f>
        <v/>
      </c>
      <c r="N86" s="36" t="str">
        <f t="shared" si="2"/>
        <v/>
      </c>
      <c r="O86" s="36" t="str">
        <f t="shared" si="3"/>
        <v/>
      </c>
      <c r="P86" s="15"/>
      <c r="Q86" s="37" t="str">
        <f t="shared" si="4"/>
        <v/>
      </c>
      <c r="R86" s="37" t="str">
        <f t="shared" si="5"/>
        <v/>
      </c>
      <c r="S86" s="32" t="str">
        <f t="shared" si="6"/>
        <v/>
      </c>
      <c r="T86" s="37" t="str">
        <f t="shared" si="7"/>
        <v/>
      </c>
      <c r="U86" s="37" t="str">
        <f t="array" ref="U86">IF($F86="","",IFERROR(INDEX(Config!$F:$F,MATCH($F86,Config!$D:$D,0)),0))</f>
        <v/>
      </c>
    </row>
    <row r="87" ht="15.0" customHeight="1">
      <c r="A87" s="34"/>
      <c r="B87" s="35"/>
      <c r="C87" s="15"/>
      <c r="D87" s="15"/>
      <c r="E87" s="15"/>
      <c r="F87" s="15"/>
      <c r="G87" s="36" t="str">
        <f t="array" ref="G87">IF($F87="","",IFERROR(INDEX(Config!$E:$E,MATCH($F87,Config!$D:$D,0)),0))</f>
        <v/>
      </c>
      <c r="H87" s="16"/>
      <c r="I87" s="36" t="str">
        <f t="shared" si="1"/>
        <v/>
      </c>
      <c r="J87" s="16"/>
      <c r="K87" s="15"/>
      <c r="L87" s="15"/>
      <c r="M87" s="36" t="str">
        <f t="array" ref="M87">IF($A87="","",IF($L87="Atendido",IFERROR($I87*INDEX(Config!$B:$B,MATCH($C87,Config!$A:$A,0)),0),0))</f>
        <v/>
      </c>
      <c r="N87" s="36" t="str">
        <f t="shared" si="2"/>
        <v/>
      </c>
      <c r="O87" s="36" t="str">
        <f t="shared" si="3"/>
        <v/>
      </c>
      <c r="P87" s="15"/>
      <c r="Q87" s="37" t="str">
        <f t="shared" si="4"/>
        <v/>
      </c>
      <c r="R87" s="37" t="str">
        <f t="shared" si="5"/>
        <v/>
      </c>
      <c r="S87" s="32" t="str">
        <f t="shared" si="6"/>
        <v/>
      </c>
      <c r="T87" s="37" t="str">
        <f t="shared" si="7"/>
        <v/>
      </c>
      <c r="U87" s="37" t="str">
        <f t="array" ref="U87">IF($F87="","",IFERROR(INDEX(Config!$F:$F,MATCH($F87,Config!$D:$D,0)),0))</f>
        <v/>
      </c>
    </row>
    <row r="88" ht="15.0" customHeight="1">
      <c r="A88" s="34"/>
      <c r="B88" s="35"/>
      <c r="C88" s="15"/>
      <c r="D88" s="15"/>
      <c r="E88" s="15"/>
      <c r="F88" s="15"/>
      <c r="G88" s="36" t="str">
        <f t="array" ref="G88">IF($F88="","",IFERROR(INDEX(Config!$E:$E,MATCH($F88,Config!$D:$D,0)),0))</f>
        <v/>
      </c>
      <c r="H88" s="16"/>
      <c r="I88" s="36" t="str">
        <f t="shared" si="1"/>
        <v/>
      </c>
      <c r="J88" s="16"/>
      <c r="K88" s="15"/>
      <c r="L88" s="15"/>
      <c r="M88" s="36" t="str">
        <f t="array" ref="M88">IF($A88="","",IF($L88="Atendido",IFERROR($I88*INDEX(Config!$B:$B,MATCH($C88,Config!$A:$A,0)),0),0))</f>
        <v/>
      </c>
      <c r="N88" s="36" t="str">
        <f t="shared" si="2"/>
        <v/>
      </c>
      <c r="O88" s="36" t="str">
        <f t="shared" si="3"/>
        <v/>
      </c>
      <c r="P88" s="15"/>
      <c r="Q88" s="37" t="str">
        <f t="shared" si="4"/>
        <v/>
      </c>
      <c r="R88" s="37" t="str">
        <f t="shared" si="5"/>
        <v/>
      </c>
      <c r="S88" s="32" t="str">
        <f t="shared" si="6"/>
        <v/>
      </c>
      <c r="T88" s="37" t="str">
        <f t="shared" si="7"/>
        <v/>
      </c>
      <c r="U88" s="37" t="str">
        <f t="array" ref="U88">IF($F88="","",IFERROR(INDEX(Config!$F:$F,MATCH($F88,Config!$D:$D,0)),0))</f>
        <v/>
      </c>
    </row>
    <row r="89" ht="15.0" customHeight="1">
      <c r="A89" s="34"/>
      <c r="B89" s="35"/>
      <c r="C89" s="15"/>
      <c r="D89" s="15"/>
      <c r="E89" s="15"/>
      <c r="F89" s="15"/>
      <c r="G89" s="36" t="str">
        <f t="array" ref="G89">IF($F89="","",IFERROR(INDEX(Config!$E:$E,MATCH($F89,Config!$D:$D,0)),0))</f>
        <v/>
      </c>
      <c r="H89" s="16"/>
      <c r="I89" s="36" t="str">
        <f t="shared" si="1"/>
        <v/>
      </c>
      <c r="J89" s="16"/>
      <c r="K89" s="15"/>
      <c r="L89" s="15"/>
      <c r="M89" s="36" t="str">
        <f t="array" ref="M89">IF($A89="","",IF($L89="Atendido",IFERROR($I89*INDEX(Config!$B:$B,MATCH($C89,Config!$A:$A,0)),0),0))</f>
        <v/>
      </c>
      <c r="N89" s="36" t="str">
        <f t="shared" si="2"/>
        <v/>
      </c>
      <c r="O89" s="36" t="str">
        <f t="shared" si="3"/>
        <v/>
      </c>
      <c r="P89" s="15"/>
      <c r="Q89" s="37" t="str">
        <f t="shared" si="4"/>
        <v/>
      </c>
      <c r="R89" s="37" t="str">
        <f t="shared" si="5"/>
        <v/>
      </c>
      <c r="S89" s="32" t="str">
        <f t="shared" si="6"/>
        <v/>
      </c>
      <c r="T89" s="37" t="str">
        <f t="shared" si="7"/>
        <v/>
      </c>
      <c r="U89" s="37" t="str">
        <f t="array" ref="U89">IF($F89="","",IFERROR(INDEX(Config!$F:$F,MATCH($F89,Config!$D:$D,0)),0))</f>
        <v/>
      </c>
    </row>
    <row r="90" ht="15.0" customHeight="1">
      <c r="A90" s="34"/>
      <c r="B90" s="35"/>
      <c r="C90" s="15"/>
      <c r="D90" s="15"/>
      <c r="E90" s="15"/>
      <c r="F90" s="15"/>
      <c r="G90" s="36" t="str">
        <f t="array" ref="G90">IF($F90="","",IFERROR(INDEX(Config!$E:$E,MATCH($F90,Config!$D:$D,0)),0))</f>
        <v/>
      </c>
      <c r="H90" s="16"/>
      <c r="I90" s="36" t="str">
        <f t="shared" si="1"/>
        <v/>
      </c>
      <c r="J90" s="16"/>
      <c r="K90" s="15"/>
      <c r="L90" s="15"/>
      <c r="M90" s="36" t="str">
        <f t="array" ref="M90">IF($A90="","",IF($L90="Atendido",IFERROR($I90*INDEX(Config!$B:$B,MATCH($C90,Config!$A:$A,0)),0),0))</f>
        <v/>
      </c>
      <c r="N90" s="36" t="str">
        <f t="shared" si="2"/>
        <v/>
      </c>
      <c r="O90" s="36" t="str">
        <f t="shared" si="3"/>
        <v/>
      </c>
      <c r="P90" s="15"/>
      <c r="Q90" s="37" t="str">
        <f t="shared" si="4"/>
        <v/>
      </c>
      <c r="R90" s="37" t="str">
        <f t="shared" si="5"/>
        <v/>
      </c>
      <c r="S90" s="32" t="str">
        <f t="shared" si="6"/>
        <v/>
      </c>
      <c r="T90" s="37" t="str">
        <f t="shared" si="7"/>
        <v/>
      </c>
      <c r="U90" s="37" t="str">
        <f t="array" ref="U90">IF($F90="","",IFERROR(INDEX(Config!$F:$F,MATCH($F90,Config!$D:$D,0)),0))</f>
        <v/>
      </c>
    </row>
    <row r="91" ht="15.0" customHeight="1">
      <c r="A91" s="34"/>
      <c r="B91" s="35"/>
      <c r="C91" s="15"/>
      <c r="D91" s="15"/>
      <c r="E91" s="15"/>
      <c r="F91" s="15"/>
      <c r="G91" s="36" t="str">
        <f t="array" ref="G91">IF($F91="","",IFERROR(INDEX(Config!$E:$E,MATCH($F91,Config!$D:$D,0)),0))</f>
        <v/>
      </c>
      <c r="H91" s="16"/>
      <c r="I91" s="36" t="str">
        <f t="shared" si="1"/>
        <v/>
      </c>
      <c r="J91" s="16"/>
      <c r="K91" s="15"/>
      <c r="L91" s="15"/>
      <c r="M91" s="36" t="str">
        <f t="array" ref="M91">IF($A91="","",IF($L91="Atendido",IFERROR($I91*INDEX(Config!$B:$B,MATCH($C91,Config!$A:$A,0)),0),0))</f>
        <v/>
      </c>
      <c r="N91" s="36" t="str">
        <f t="shared" si="2"/>
        <v/>
      </c>
      <c r="O91" s="36" t="str">
        <f t="shared" si="3"/>
        <v/>
      </c>
      <c r="P91" s="15"/>
      <c r="Q91" s="37" t="str">
        <f t="shared" si="4"/>
        <v/>
      </c>
      <c r="R91" s="37" t="str">
        <f t="shared" si="5"/>
        <v/>
      </c>
      <c r="S91" s="32" t="str">
        <f t="shared" si="6"/>
        <v/>
      </c>
      <c r="T91" s="37" t="str">
        <f t="shared" si="7"/>
        <v/>
      </c>
      <c r="U91" s="37" t="str">
        <f t="array" ref="U91">IF($F91="","",IFERROR(INDEX(Config!$F:$F,MATCH($F91,Config!$D:$D,0)),0))</f>
        <v/>
      </c>
    </row>
    <row r="92" ht="15.0" customHeight="1">
      <c r="A92" s="34"/>
      <c r="B92" s="35"/>
      <c r="C92" s="15"/>
      <c r="D92" s="15"/>
      <c r="E92" s="15"/>
      <c r="F92" s="15"/>
      <c r="G92" s="36" t="str">
        <f t="array" ref="G92">IF($F92="","",IFERROR(INDEX(Config!$E:$E,MATCH($F92,Config!$D:$D,0)),0))</f>
        <v/>
      </c>
      <c r="H92" s="16"/>
      <c r="I92" s="36" t="str">
        <f t="shared" si="1"/>
        <v/>
      </c>
      <c r="J92" s="16"/>
      <c r="K92" s="15"/>
      <c r="L92" s="15"/>
      <c r="M92" s="36" t="str">
        <f t="array" ref="M92">IF($A92="","",IF($L92="Atendido",IFERROR($I92*INDEX(Config!$B:$B,MATCH($C92,Config!$A:$A,0)),0),0))</f>
        <v/>
      </c>
      <c r="N92" s="36" t="str">
        <f t="shared" si="2"/>
        <v/>
      </c>
      <c r="O92" s="36" t="str">
        <f t="shared" si="3"/>
        <v/>
      </c>
      <c r="P92" s="15"/>
      <c r="Q92" s="37" t="str">
        <f t="shared" si="4"/>
        <v/>
      </c>
      <c r="R92" s="37" t="str">
        <f t="shared" si="5"/>
        <v/>
      </c>
      <c r="S92" s="32" t="str">
        <f t="shared" si="6"/>
        <v/>
      </c>
      <c r="T92" s="37" t="str">
        <f t="shared" si="7"/>
        <v/>
      </c>
      <c r="U92" s="37" t="str">
        <f t="array" ref="U92">IF($F92="","",IFERROR(INDEX(Config!$F:$F,MATCH($F92,Config!$D:$D,0)),0))</f>
        <v/>
      </c>
    </row>
    <row r="93" ht="15.0" customHeight="1">
      <c r="A93" s="34"/>
      <c r="B93" s="35"/>
      <c r="C93" s="15"/>
      <c r="D93" s="15"/>
      <c r="E93" s="15"/>
      <c r="F93" s="15"/>
      <c r="G93" s="36" t="str">
        <f t="array" ref="G93">IF($F93="","",IFERROR(INDEX(Config!$E:$E,MATCH($F93,Config!$D:$D,0)),0))</f>
        <v/>
      </c>
      <c r="H93" s="16"/>
      <c r="I93" s="36" t="str">
        <f t="shared" si="1"/>
        <v/>
      </c>
      <c r="J93" s="16"/>
      <c r="K93" s="15"/>
      <c r="L93" s="15"/>
      <c r="M93" s="36" t="str">
        <f t="array" ref="M93">IF($A93="","",IF($L93="Atendido",IFERROR($I93*INDEX(Config!$B:$B,MATCH($C93,Config!$A:$A,0)),0),0))</f>
        <v/>
      </c>
      <c r="N93" s="36" t="str">
        <f t="shared" si="2"/>
        <v/>
      </c>
      <c r="O93" s="36" t="str">
        <f t="shared" si="3"/>
        <v/>
      </c>
      <c r="P93" s="15"/>
      <c r="Q93" s="37" t="str">
        <f t="shared" si="4"/>
        <v/>
      </c>
      <c r="R93" s="37" t="str">
        <f t="shared" si="5"/>
        <v/>
      </c>
      <c r="S93" s="32" t="str">
        <f t="shared" si="6"/>
        <v/>
      </c>
      <c r="T93" s="37" t="str">
        <f t="shared" si="7"/>
        <v/>
      </c>
      <c r="U93" s="37" t="str">
        <f t="array" ref="U93">IF($F93="","",IFERROR(INDEX(Config!$F:$F,MATCH($F93,Config!$D:$D,0)),0))</f>
        <v/>
      </c>
    </row>
    <row r="94" ht="15.0" customHeight="1">
      <c r="A94" s="34"/>
      <c r="B94" s="35"/>
      <c r="C94" s="15"/>
      <c r="D94" s="15"/>
      <c r="E94" s="15"/>
      <c r="F94" s="15"/>
      <c r="G94" s="36" t="str">
        <f t="array" ref="G94">IF($F94="","",IFERROR(INDEX(Config!$E:$E,MATCH($F94,Config!$D:$D,0)),0))</f>
        <v/>
      </c>
      <c r="H94" s="16"/>
      <c r="I94" s="36" t="str">
        <f t="shared" si="1"/>
        <v/>
      </c>
      <c r="J94" s="16"/>
      <c r="K94" s="15"/>
      <c r="L94" s="15"/>
      <c r="M94" s="36" t="str">
        <f t="array" ref="M94">IF($A94="","",IF($L94="Atendido",IFERROR($I94*INDEX(Config!$B:$B,MATCH($C94,Config!$A:$A,0)),0),0))</f>
        <v/>
      </c>
      <c r="N94" s="36" t="str">
        <f t="shared" si="2"/>
        <v/>
      </c>
      <c r="O94" s="36" t="str">
        <f t="shared" si="3"/>
        <v/>
      </c>
      <c r="P94" s="15"/>
      <c r="Q94" s="37" t="str">
        <f t="shared" si="4"/>
        <v/>
      </c>
      <c r="R94" s="37" t="str">
        <f t="shared" si="5"/>
        <v/>
      </c>
      <c r="S94" s="32" t="str">
        <f t="shared" si="6"/>
        <v/>
      </c>
      <c r="T94" s="37" t="str">
        <f t="shared" si="7"/>
        <v/>
      </c>
      <c r="U94" s="37" t="str">
        <f t="array" ref="U94">IF($F94="","",IFERROR(INDEX(Config!$F:$F,MATCH($F94,Config!$D:$D,0)),0))</f>
        <v/>
      </c>
    </row>
    <row r="95" ht="15.0" customHeight="1">
      <c r="A95" s="34"/>
      <c r="B95" s="35"/>
      <c r="C95" s="15"/>
      <c r="D95" s="15"/>
      <c r="E95" s="15"/>
      <c r="F95" s="15"/>
      <c r="G95" s="36" t="str">
        <f t="array" ref="G95">IF($F95="","",IFERROR(INDEX(Config!$E:$E,MATCH($F95,Config!$D:$D,0)),0))</f>
        <v/>
      </c>
      <c r="H95" s="16"/>
      <c r="I95" s="36" t="str">
        <f t="shared" si="1"/>
        <v/>
      </c>
      <c r="J95" s="16"/>
      <c r="K95" s="15"/>
      <c r="L95" s="15"/>
      <c r="M95" s="36" t="str">
        <f t="array" ref="M95">IF($A95="","",IF($L95="Atendido",IFERROR($I95*INDEX(Config!$B:$B,MATCH($C95,Config!$A:$A,0)),0),0))</f>
        <v/>
      </c>
      <c r="N95" s="36" t="str">
        <f t="shared" si="2"/>
        <v/>
      </c>
      <c r="O95" s="36" t="str">
        <f t="shared" si="3"/>
        <v/>
      </c>
      <c r="P95" s="15"/>
      <c r="Q95" s="37" t="str">
        <f t="shared" si="4"/>
        <v/>
      </c>
      <c r="R95" s="37" t="str">
        <f t="shared" si="5"/>
        <v/>
      </c>
      <c r="S95" s="32" t="str">
        <f t="shared" si="6"/>
        <v/>
      </c>
      <c r="T95" s="37" t="str">
        <f t="shared" si="7"/>
        <v/>
      </c>
      <c r="U95" s="37" t="str">
        <f t="array" ref="U95">IF($F95="","",IFERROR(INDEX(Config!$F:$F,MATCH($F95,Config!$D:$D,0)),0))</f>
        <v/>
      </c>
    </row>
    <row r="96" ht="15.0" customHeight="1">
      <c r="A96" s="34"/>
      <c r="B96" s="35"/>
      <c r="C96" s="15"/>
      <c r="D96" s="15"/>
      <c r="E96" s="15"/>
      <c r="F96" s="15"/>
      <c r="G96" s="36" t="str">
        <f t="array" ref="G96">IF($F96="","",IFERROR(INDEX(Config!$E:$E,MATCH($F96,Config!$D:$D,0)),0))</f>
        <v/>
      </c>
      <c r="H96" s="16"/>
      <c r="I96" s="36" t="str">
        <f t="shared" si="1"/>
        <v/>
      </c>
      <c r="J96" s="16"/>
      <c r="K96" s="15"/>
      <c r="L96" s="15"/>
      <c r="M96" s="36" t="str">
        <f t="array" ref="M96">IF($A96="","",IF($L96="Atendido",IFERROR($I96*INDEX(Config!$B:$B,MATCH($C96,Config!$A:$A,0)),0),0))</f>
        <v/>
      </c>
      <c r="N96" s="36" t="str">
        <f t="shared" si="2"/>
        <v/>
      </c>
      <c r="O96" s="36" t="str">
        <f t="shared" si="3"/>
        <v/>
      </c>
      <c r="P96" s="15"/>
      <c r="Q96" s="37" t="str">
        <f t="shared" si="4"/>
        <v/>
      </c>
      <c r="R96" s="37" t="str">
        <f t="shared" si="5"/>
        <v/>
      </c>
      <c r="S96" s="32" t="str">
        <f t="shared" si="6"/>
        <v/>
      </c>
      <c r="T96" s="37" t="str">
        <f t="shared" si="7"/>
        <v/>
      </c>
      <c r="U96" s="37" t="str">
        <f t="array" ref="U96">IF($F96="","",IFERROR(INDEX(Config!$F:$F,MATCH($F96,Config!$D:$D,0)),0))</f>
        <v/>
      </c>
    </row>
    <row r="97" ht="15.0" customHeight="1">
      <c r="A97" s="34"/>
      <c r="B97" s="35"/>
      <c r="C97" s="15"/>
      <c r="D97" s="15"/>
      <c r="E97" s="15"/>
      <c r="F97" s="15"/>
      <c r="G97" s="36" t="str">
        <f t="array" ref="G97">IF($F97="","",IFERROR(INDEX(Config!$E:$E,MATCH($F97,Config!$D:$D,0)),0))</f>
        <v/>
      </c>
      <c r="H97" s="16"/>
      <c r="I97" s="36" t="str">
        <f t="shared" si="1"/>
        <v/>
      </c>
      <c r="J97" s="16"/>
      <c r="K97" s="15"/>
      <c r="L97" s="15"/>
      <c r="M97" s="36" t="str">
        <f t="array" ref="M97">IF($A97="","",IF($L97="Atendido",IFERROR($I97*INDEX(Config!$B:$B,MATCH($C97,Config!$A:$A,0)),0),0))</f>
        <v/>
      </c>
      <c r="N97" s="36" t="str">
        <f t="shared" si="2"/>
        <v/>
      </c>
      <c r="O97" s="36" t="str">
        <f t="shared" si="3"/>
        <v/>
      </c>
      <c r="P97" s="15"/>
      <c r="Q97" s="37" t="str">
        <f t="shared" si="4"/>
        <v/>
      </c>
      <c r="R97" s="37" t="str">
        <f t="shared" si="5"/>
        <v/>
      </c>
      <c r="S97" s="32" t="str">
        <f t="shared" si="6"/>
        <v/>
      </c>
      <c r="T97" s="37" t="str">
        <f t="shared" si="7"/>
        <v/>
      </c>
      <c r="U97" s="37" t="str">
        <f t="array" ref="U97">IF($F97="","",IFERROR(INDEX(Config!$F:$F,MATCH($F97,Config!$D:$D,0)),0))</f>
        <v/>
      </c>
    </row>
    <row r="98" ht="15.0" customHeight="1">
      <c r="A98" s="34"/>
      <c r="B98" s="35"/>
      <c r="C98" s="15"/>
      <c r="D98" s="15"/>
      <c r="E98" s="15"/>
      <c r="F98" s="15"/>
      <c r="G98" s="36" t="str">
        <f t="array" ref="G98">IF($F98="","",IFERROR(INDEX(Config!$E:$E,MATCH($F98,Config!$D:$D,0)),0))</f>
        <v/>
      </c>
      <c r="H98" s="16"/>
      <c r="I98" s="36" t="str">
        <f t="shared" si="1"/>
        <v/>
      </c>
      <c r="J98" s="16"/>
      <c r="K98" s="15"/>
      <c r="L98" s="15"/>
      <c r="M98" s="36" t="str">
        <f t="array" ref="M98">IF($A98="","",IF($L98="Atendido",IFERROR($I98*INDEX(Config!$B:$B,MATCH($C98,Config!$A:$A,0)),0),0))</f>
        <v/>
      </c>
      <c r="N98" s="36" t="str">
        <f t="shared" si="2"/>
        <v/>
      </c>
      <c r="O98" s="36" t="str">
        <f t="shared" si="3"/>
        <v/>
      </c>
      <c r="P98" s="15"/>
      <c r="Q98" s="37" t="str">
        <f t="shared" si="4"/>
        <v/>
      </c>
      <c r="R98" s="37" t="str">
        <f t="shared" si="5"/>
        <v/>
      </c>
      <c r="S98" s="32" t="str">
        <f t="shared" si="6"/>
        <v/>
      </c>
      <c r="T98" s="37" t="str">
        <f t="shared" si="7"/>
        <v/>
      </c>
      <c r="U98" s="37" t="str">
        <f t="array" ref="U98">IF($F98="","",IFERROR(INDEX(Config!$F:$F,MATCH($F98,Config!$D:$D,0)),0))</f>
        <v/>
      </c>
    </row>
    <row r="99" ht="15.0" customHeight="1">
      <c r="A99" s="34"/>
      <c r="B99" s="35"/>
      <c r="C99" s="15"/>
      <c r="D99" s="15"/>
      <c r="E99" s="15"/>
      <c r="F99" s="15"/>
      <c r="G99" s="36" t="str">
        <f t="array" ref="G99">IF($F99="","",IFERROR(INDEX(Config!$E:$E,MATCH($F99,Config!$D:$D,0)),0))</f>
        <v/>
      </c>
      <c r="H99" s="16"/>
      <c r="I99" s="36" t="str">
        <f t="shared" si="1"/>
        <v/>
      </c>
      <c r="J99" s="16"/>
      <c r="K99" s="15"/>
      <c r="L99" s="15"/>
      <c r="M99" s="36" t="str">
        <f t="array" ref="M99">IF($A99="","",IF($L99="Atendido",IFERROR($I99*INDEX(Config!$B:$B,MATCH($C99,Config!$A:$A,0)),0),0))</f>
        <v/>
      </c>
      <c r="N99" s="36" t="str">
        <f t="shared" si="2"/>
        <v/>
      </c>
      <c r="O99" s="36" t="str">
        <f t="shared" si="3"/>
        <v/>
      </c>
      <c r="P99" s="15"/>
      <c r="Q99" s="37" t="str">
        <f t="shared" si="4"/>
        <v/>
      </c>
      <c r="R99" s="37" t="str">
        <f t="shared" si="5"/>
        <v/>
      </c>
      <c r="S99" s="32" t="str">
        <f t="shared" si="6"/>
        <v/>
      </c>
      <c r="T99" s="37" t="str">
        <f t="shared" si="7"/>
        <v/>
      </c>
      <c r="U99" s="37" t="str">
        <f t="array" ref="U99">IF($F99="","",IFERROR(INDEX(Config!$F:$F,MATCH($F99,Config!$D:$D,0)),0))</f>
        <v/>
      </c>
    </row>
    <row r="100" ht="15.0" customHeight="1">
      <c r="A100" s="34"/>
      <c r="B100" s="35"/>
      <c r="C100" s="15"/>
      <c r="D100" s="15"/>
      <c r="E100" s="15"/>
      <c r="F100" s="15"/>
      <c r="G100" s="36" t="str">
        <f t="array" ref="G100">IF($F100="","",IFERROR(INDEX(Config!$E:$E,MATCH($F100,Config!$D:$D,0)),0))</f>
        <v/>
      </c>
      <c r="H100" s="16"/>
      <c r="I100" s="36" t="str">
        <f t="shared" si="1"/>
        <v/>
      </c>
      <c r="J100" s="16"/>
      <c r="K100" s="15"/>
      <c r="L100" s="15"/>
      <c r="M100" s="36" t="str">
        <f t="array" ref="M100">IF($A100="","",IF($L100="Atendido",IFERROR($I100*INDEX(Config!$B:$B,MATCH($C100,Config!$A:$A,0)),0),0))</f>
        <v/>
      </c>
      <c r="N100" s="36" t="str">
        <f t="shared" si="2"/>
        <v/>
      </c>
      <c r="O100" s="36" t="str">
        <f t="shared" si="3"/>
        <v/>
      </c>
      <c r="P100" s="15"/>
      <c r="Q100" s="37" t="str">
        <f t="shared" si="4"/>
        <v/>
      </c>
      <c r="R100" s="37" t="str">
        <f t="shared" si="5"/>
        <v/>
      </c>
      <c r="S100" s="32" t="str">
        <f t="shared" si="6"/>
        <v/>
      </c>
      <c r="T100" s="37" t="str">
        <f t="shared" si="7"/>
        <v/>
      </c>
      <c r="U100" s="37" t="str">
        <f t="array" ref="U100">IF($F100="","",IFERROR(INDEX(Config!$F:$F,MATCH($F100,Config!$D:$D,0)),0))</f>
        <v/>
      </c>
    </row>
    <row r="101" ht="15.0" customHeight="1">
      <c r="A101" s="34"/>
      <c r="B101" s="35"/>
      <c r="C101" s="15"/>
      <c r="D101" s="15"/>
      <c r="E101" s="15"/>
      <c r="F101" s="15"/>
      <c r="G101" s="36" t="str">
        <f t="array" ref="G101">IF($F101="","",IFERROR(INDEX(Config!$E:$E,MATCH($F101,Config!$D:$D,0)),0))</f>
        <v/>
      </c>
      <c r="H101" s="16"/>
      <c r="I101" s="36" t="str">
        <f t="shared" si="1"/>
        <v/>
      </c>
      <c r="J101" s="16"/>
      <c r="K101" s="15"/>
      <c r="L101" s="15"/>
      <c r="M101" s="36" t="str">
        <f t="array" ref="M101">IF($A101="","",IF($L101="Atendido",IFERROR($I101*INDEX(Config!$B:$B,MATCH($C101,Config!$A:$A,0)),0),0))</f>
        <v/>
      </c>
      <c r="N101" s="36" t="str">
        <f t="shared" si="2"/>
        <v/>
      </c>
      <c r="O101" s="36" t="str">
        <f t="shared" si="3"/>
        <v/>
      </c>
      <c r="P101" s="15"/>
      <c r="Q101" s="37" t="str">
        <f t="shared" si="4"/>
        <v/>
      </c>
      <c r="R101" s="37" t="str">
        <f t="shared" si="5"/>
        <v/>
      </c>
      <c r="S101" s="32" t="str">
        <f t="shared" si="6"/>
        <v/>
      </c>
      <c r="T101" s="37" t="str">
        <f t="shared" si="7"/>
        <v/>
      </c>
      <c r="U101" s="37" t="str">
        <f t="array" ref="U101">IF($F101="","",IFERROR(INDEX(Config!$F:$F,MATCH($F101,Config!$D:$D,0)),0))</f>
        <v/>
      </c>
    </row>
    <row r="102" ht="15.0" customHeight="1">
      <c r="A102" s="34"/>
      <c r="B102" s="35"/>
      <c r="C102" s="15"/>
      <c r="D102" s="15"/>
      <c r="E102" s="15"/>
      <c r="F102" s="15"/>
      <c r="G102" s="36" t="str">
        <f t="array" ref="G102">IF($F102="","",IFERROR(INDEX(Config!$E:$E,MATCH($F102,Config!$D:$D,0)),0))</f>
        <v/>
      </c>
      <c r="H102" s="16"/>
      <c r="I102" s="36" t="str">
        <f t="shared" si="1"/>
        <v/>
      </c>
      <c r="J102" s="16"/>
      <c r="K102" s="15"/>
      <c r="L102" s="15"/>
      <c r="M102" s="36" t="str">
        <f t="array" ref="M102">IF($A102="","",IF($L102="Atendido",IFERROR($I102*INDEX(Config!$B:$B,MATCH($C102,Config!$A:$A,0)),0),0))</f>
        <v/>
      </c>
      <c r="N102" s="36" t="str">
        <f t="shared" si="2"/>
        <v/>
      </c>
      <c r="O102" s="36" t="str">
        <f t="shared" si="3"/>
        <v/>
      </c>
      <c r="P102" s="15"/>
      <c r="Q102" s="37" t="str">
        <f t="shared" si="4"/>
        <v/>
      </c>
      <c r="R102" s="37" t="str">
        <f t="shared" si="5"/>
        <v/>
      </c>
      <c r="S102" s="32" t="str">
        <f t="shared" si="6"/>
        <v/>
      </c>
      <c r="T102" s="37" t="str">
        <f t="shared" si="7"/>
        <v/>
      </c>
      <c r="U102" s="37" t="str">
        <f t="array" ref="U102">IF($F102="","",IFERROR(INDEX(Config!$F:$F,MATCH($F102,Config!$D:$D,0)),0))</f>
        <v/>
      </c>
    </row>
    <row r="103" ht="15.0" customHeight="1">
      <c r="A103" s="34"/>
      <c r="B103" s="35"/>
      <c r="C103" s="15"/>
      <c r="D103" s="15"/>
      <c r="E103" s="15"/>
      <c r="F103" s="15"/>
      <c r="G103" s="36" t="str">
        <f t="array" ref="G103">IF($F103="","",IFERROR(INDEX(Config!$E:$E,MATCH($F103,Config!$D:$D,0)),0))</f>
        <v/>
      </c>
      <c r="H103" s="16"/>
      <c r="I103" s="36" t="str">
        <f t="shared" si="1"/>
        <v/>
      </c>
      <c r="J103" s="16"/>
      <c r="K103" s="15"/>
      <c r="L103" s="15"/>
      <c r="M103" s="36" t="str">
        <f t="array" ref="M103">IF($A103="","",IF($L103="Atendido",IFERROR($I103*INDEX(Config!$B:$B,MATCH($C103,Config!$A:$A,0)),0),0))</f>
        <v/>
      </c>
      <c r="N103" s="36" t="str">
        <f t="shared" si="2"/>
        <v/>
      </c>
      <c r="O103" s="36" t="str">
        <f t="shared" si="3"/>
        <v/>
      </c>
      <c r="P103" s="15"/>
      <c r="Q103" s="37" t="str">
        <f t="shared" si="4"/>
        <v/>
      </c>
      <c r="R103" s="37" t="str">
        <f t="shared" si="5"/>
        <v/>
      </c>
      <c r="S103" s="32" t="str">
        <f t="shared" si="6"/>
        <v/>
      </c>
      <c r="T103" s="37" t="str">
        <f t="shared" si="7"/>
        <v/>
      </c>
      <c r="U103" s="37" t="str">
        <f t="array" ref="U103">IF($F103="","",IFERROR(INDEX(Config!$F:$F,MATCH($F103,Config!$D:$D,0)),0))</f>
        <v/>
      </c>
    </row>
    <row r="104" ht="15.0" customHeight="1">
      <c r="A104" s="34"/>
      <c r="B104" s="35"/>
      <c r="C104" s="15"/>
      <c r="D104" s="15"/>
      <c r="E104" s="15"/>
      <c r="F104" s="15"/>
      <c r="G104" s="36" t="str">
        <f t="array" ref="G104">IF($F104="","",IFERROR(INDEX(Config!$E:$E,MATCH($F104,Config!$D:$D,0)),0))</f>
        <v/>
      </c>
      <c r="H104" s="16"/>
      <c r="I104" s="36" t="str">
        <f t="shared" si="1"/>
        <v/>
      </c>
      <c r="J104" s="16"/>
      <c r="K104" s="15"/>
      <c r="L104" s="15"/>
      <c r="M104" s="36" t="str">
        <f t="array" ref="M104">IF($A104="","",IF($L104="Atendido",IFERROR($I104*INDEX(Config!$B:$B,MATCH($C104,Config!$A:$A,0)),0),0))</f>
        <v/>
      </c>
      <c r="N104" s="36" t="str">
        <f t="shared" si="2"/>
        <v/>
      </c>
      <c r="O104" s="36" t="str">
        <f t="shared" si="3"/>
        <v/>
      </c>
      <c r="P104" s="15"/>
      <c r="Q104" s="37" t="str">
        <f t="shared" si="4"/>
        <v/>
      </c>
      <c r="R104" s="37" t="str">
        <f t="shared" si="5"/>
        <v/>
      </c>
      <c r="S104" s="32" t="str">
        <f t="shared" si="6"/>
        <v/>
      </c>
      <c r="T104" s="37" t="str">
        <f t="shared" si="7"/>
        <v/>
      </c>
      <c r="U104" s="37" t="str">
        <f t="array" ref="U104">IF($F104="","",IFERROR(INDEX(Config!$F:$F,MATCH($F104,Config!$D:$D,0)),0))</f>
        <v/>
      </c>
    </row>
    <row r="105" ht="15.0" customHeight="1">
      <c r="A105" s="34"/>
      <c r="B105" s="35"/>
      <c r="C105" s="15"/>
      <c r="D105" s="15"/>
      <c r="E105" s="15"/>
      <c r="F105" s="15"/>
      <c r="G105" s="36" t="str">
        <f t="array" ref="G105">IF($F105="","",IFERROR(INDEX(Config!$E:$E,MATCH($F105,Config!$D:$D,0)),0))</f>
        <v/>
      </c>
      <c r="H105" s="16"/>
      <c r="I105" s="36" t="str">
        <f t="shared" si="1"/>
        <v/>
      </c>
      <c r="J105" s="16"/>
      <c r="K105" s="15"/>
      <c r="L105" s="15"/>
      <c r="M105" s="36" t="str">
        <f t="array" ref="M105">IF($A105="","",IF($L105="Atendido",IFERROR($I105*INDEX(Config!$B:$B,MATCH($C105,Config!$A:$A,0)),0),0))</f>
        <v/>
      </c>
      <c r="N105" s="36" t="str">
        <f t="shared" si="2"/>
        <v/>
      </c>
      <c r="O105" s="36" t="str">
        <f t="shared" si="3"/>
        <v/>
      </c>
      <c r="P105" s="15"/>
      <c r="Q105" s="37" t="str">
        <f t="shared" si="4"/>
        <v/>
      </c>
      <c r="R105" s="37" t="str">
        <f t="shared" si="5"/>
        <v/>
      </c>
      <c r="S105" s="32" t="str">
        <f t="shared" si="6"/>
        <v/>
      </c>
      <c r="T105" s="37" t="str">
        <f t="shared" si="7"/>
        <v/>
      </c>
      <c r="U105" s="37" t="str">
        <f t="array" ref="U105">IF($F105="","",IFERROR(INDEX(Config!$F:$F,MATCH($F105,Config!$D:$D,0)),0))</f>
        <v/>
      </c>
    </row>
    <row r="106" ht="15.0" customHeight="1">
      <c r="A106" s="34"/>
      <c r="B106" s="35"/>
      <c r="C106" s="15"/>
      <c r="D106" s="15"/>
      <c r="E106" s="15"/>
      <c r="F106" s="15"/>
      <c r="G106" s="36" t="str">
        <f t="array" ref="G106">IF($F106="","",IFERROR(INDEX(Config!$E:$E,MATCH($F106,Config!$D:$D,0)),0))</f>
        <v/>
      </c>
      <c r="H106" s="16"/>
      <c r="I106" s="36" t="str">
        <f t="shared" si="1"/>
        <v/>
      </c>
      <c r="J106" s="16"/>
      <c r="K106" s="15"/>
      <c r="L106" s="15"/>
      <c r="M106" s="36" t="str">
        <f t="array" ref="M106">IF($A106="","",IF($L106="Atendido",IFERROR($I106*INDEX(Config!$B:$B,MATCH($C106,Config!$A:$A,0)),0),0))</f>
        <v/>
      </c>
      <c r="N106" s="36" t="str">
        <f t="shared" si="2"/>
        <v/>
      </c>
      <c r="O106" s="36" t="str">
        <f t="shared" si="3"/>
        <v/>
      </c>
      <c r="P106" s="15"/>
      <c r="Q106" s="37" t="str">
        <f t="shared" si="4"/>
        <v/>
      </c>
      <c r="R106" s="37" t="str">
        <f t="shared" si="5"/>
        <v/>
      </c>
      <c r="S106" s="32" t="str">
        <f t="shared" si="6"/>
        <v/>
      </c>
      <c r="T106" s="37" t="str">
        <f t="shared" si="7"/>
        <v/>
      </c>
      <c r="U106" s="37" t="str">
        <f t="array" ref="U106">IF($F106="","",IFERROR(INDEX(Config!$F:$F,MATCH($F106,Config!$D:$D,0)),0))</f>
        <v/>
      </c>
    </row>
    <row r="107" ht="15.0" customHeight="1">
      <c r="A107" s="34"/>
      <c r="B107" s="35"/>
      <c r="C107" s="15"/>
      <c r="D107" s="15"/>
      <c r="E107" s="15"/>
      <c r="F107" s="15"/>
      <c r="G107" s="36" t="str">
        <f t="array" ref="G107">IF($F107="","",IFERROR(INDEX(Config!$E:$E,MATCH($F107,Config!$D:$D,0)),0))</f>
        <v/>
      </c>
      <c r="H107" s="16"/>
      <c r="I107" s="36" t="str">
        <f t="shared" si="1"/>
        <v/>
      </c>
      <c r="J107" s="16"/>
      <c r="K107" s="15"/>
      <c r="L107" s="15"/>
      <c r="M107" s="36" t="str">
        <f t="array" ref="M107">IF($A107="","",IF($L107="Atendido",IFERROR($I107*INDEX(Config!$B:$B,MATCH($C107,Config!$A:$A,0)),0),0))</f>
        <v/>
      </c>
      <c r="N107" s="36" t="str">
        <f t="shared" si="2"/>
        <v/>
      </c>
      <c r="O107" s="36" t="str">
        <f t="shared" si="3"/>
        <v/>
      </c>
      <c r="P107" s="15"/>
      <c r="Q107" s="37" t="str">
        <f t="shared" si="4"/>
        <v/>
      </c>
      <c r="R107" s="37" t="str">
        <f t="shared" si="5"/>
        <v/>
      </c>
      <c r="S107" s="32" t="str">
        <f t="shared" si="6"/>
        <v/>
      </c>
      <c r="T107" s="37" t="str">
        <f t="shared" si="7"/>
        <v/>
      </c>
      <c r="U107" s="37" t="str">
        <f t="array" ref="U107">IF($F107="","",IFERROR(INDEX(Config!$F:$F,MATCH($F107,Config!$D:$D,0)),0))</f>
        <v/>
      </c>
    </row>
    <row r="108" ht="15.0" customHeight="1">
      <c r="A108" s="34"/>
      <c r="B108" s="35"/>
      <c r="C108" s="15"/>
      <c r="D108" s="15"/>
      <c r="E108" s="15"/>
      <c r="F108" s="15"/>
      <c r="G108" s="36" t="str">
        <f t="array" ref="G108">IF($F108="","",IFERROR(INDEX(Config!$E:$E,MATCH($F108,Config!$D:$D,0)),0))</f>
        <v/>
      </c>
      <c r="H108" s="16"/>
      <c r="I108" s="36" t="str">
        <f t="shared" si="1"/>
        <v/>
      </c>
      <c r="J108" s="16"/>
      <c r="K108" s="15"/>
      <c r="L108" s="15"/>
      <c r="M108" s="36" t="str">
        <f t="array" ref="M108">IF($A108="","",IF($L108="Atendido",IFERROR($I108*INDEX(Config!$B:$B,MATCH($C108,Config!$A:$A,0)),0),0))</f>
        <v/>
      </c>
      <c r="N108" s="36" t="str">
        <f t="shared" si="2"/>
        <v/>
      </c>
      <c r="O108" s="36" t="str">
        <f t="shared" si="3"/>
        <v/>
      </c>
      <c r="P108" s="15"/>
      <c r="Q108" s="37" t="str">
        <f t="shared" si="4"/>
        <v/>
      </c>
      <c r="R108" s="37" t="str">
        <f t="shared" si="5"/>
        <v/>
      </c>
      <c r="S108" s="32" t="str">
        <f t="shared" si="6"/>
        <v/>
      </c>
      <c r="T108" s="37" t="str">
        <f t="shared" si="7"/>
        <v/>
      </c>
      <c r="U108" s="37" t="str">
        <f t="array" ref="U108">IF($F108="","",IFERROR(INDEX(Config!$F:$F,MATCH($F108,Config!$D:$D,0)),0))</f>
        <v/>
      </c>
    </row>
    <row r="109" ht="15.0" customHeight="1">
      <c r="A109" s="34"/>
      <c r="B109" s="35"/>
      <c r="C109" s="15"/>
      <c r="D109" s="15"/>
      <c r="E109" s="15"/>
      <c r="F109" s="15"/>
      <c r="G109" s="36" t="str">
        <f t="array" ref="G109">IF($F109="","",IFERROR(INDEX(Config!$E:$E,MATCH($F109,Config!$D:$D,0)),0))</f>
        <v/>
      </c>
      <c r="H109" s="16"/>
      <c r="I109" s="36" t="str">
        <f t="shared" si="1"/>
        <v/>
      </c>
      <c r="J109" s="16"/>
      <c r="K109" s="15"/>
      <c r="L109" s="15"/>
      <c r="M109" s="36" t="str">
        <f t="array" ref="M109">IF($A109="","",IF($L109="Atendido",IFERROR($I109*INDEX(Config!$B:$B,MATCH($C109,Config!$A:$A,0)),0),0))</f>
        <v/>
      </c>
      <c r="N109" s="36" t="str">
        <f t="shared" si="2"/>
        <v/>
      </c>
      <c r="O109" s="36" t="str">
        <f t="shared" si="3"/>
        <v/>
      </c>
      <c r="P109" s="15"/>
      <c r="Q109" s="37" t="str">
        <f t="shared" si="4"/>
        <v/>
      </c>
      <c r="R109" s="37" t="str">
        <f t="shared" si="5"/>
        <v/>
      </c>
      <c r="S109" s="32" t="str">
        <f t="shared" si="6"/>
        <v/>
      </c>
      <c r="T109" s="37" t="str">
        <f t="shared" si="7"/>
        <v/>
      </c>
      <c r="U109" s="37" t="str">
        <f t="array" ref="U109">IF($F109="","",IFERROR(INDEX(Config!$F:$F,MATCH($F109,Config!$D:$D,0)),0))</f>
        <v/>
      </c>
    </row>
    <row r="110" ht="15.0" customHeight="1">
      <c r="A110" s="34"/>
      <c r="B110" s="35"/>
      <c r="C110" s="15"/>
      <c r="D110" s="15"/>
      <c r="E110" s="15"/>
      <c r="F110" s="15"/>
      <c r="G110" s="36" t="str">
        <f t="array" ref="G110">IF($F110="","",IFERROR(INDEX(Config!$E:$E,MATCH($F110,Config!$D:$D,0)),0))</f>
        <v/>
      </c>
      <c r="H110" s="16"/>
      <c r="I110" s="36" t="str">
        <f t="shared" si="1"/>
        <v/>
      </c>
      <c r="J110" s="16"/>
      <c r="K110" s="15"/>
      <c r="L110" s="15"/>
      <c r="M110" s="36" t="str">
        <f t="array" ref="M110">IF($A110="","",IF($L110="Atendido",IFERROR($I110*INDEX(Config!$B:$B,MATCH($C110,Config!$A:$A,0)),0),0))</f>
        <v/>
      </c>
      <c r="N110" s="36" t="str">
        <f t="shared" si="2"/>
        <v/>
      </c>
      <c r="O110" s="36" t="str">
        <f t="shared" si="3"/>
        <v/>
      </c>
      <c r="P110" s="15"/>
      <c r="Q110" s="37" t="str">
        <f t="shared" si="4"/>
        <v/>
      </c>
      <c r="R110" s="37" t="str">
        <f t="shared" si="5"/>
        <v/>
      </c>
      <c r="S110" s="32" t="str">
        <f t="shared" si="6"/>
        <v/>
      </c>
      <c r="T110" s="37" t="str">
        <f t="shared" si="7"/>
        <v/>
      </c>
      <c r="U110" s="37" t="str">
        <f t="array" ref="U110">IF($F110="","",IFERROR(INDEX(Config!$F:$F,MATCH($F110,Config!$D:$D,0)),0))</f>
        <v/>
      </c>
    </row>
    <row r="111" ht="15.0" customHeight="1">
      <c r="A111" s="34"/>
      <c r="B111" s="35"/>
      <c r="C111" s="15"/>
      <c r="D111" s="15"/>
      <c r="E111" s="15"/>
      <c r="F111" s="15"/>
      <c r="G111" s="36" t="str">
        <f t="array" ref="G111">IF($F111="","",IFERROR(INDEX(Config!$E:$E,MATCH($F111,Config!$D:$D,0)),0))</f>
        <v/>
      </c>
      <c r="H111" s="16"/>
      <c r="I111" s="36" t="str">
        <f t="shared" si="1"/>
        <v/>
      </c>
      <c r="J111" s="16"/>
      <c r="K111" s="15"/>
      <c r="L111" s="15"/>
      <c r="M111" s="36" t="str">
        <f t="array" ref="M111">IF($A111="","",IF($L111="Atendido",IFERROR($I111*INDEX(Config!$B:$B,MATCH($C111,Config!$A:$A,0)),0),0))</f>
        <v/>
      </c>
      <c r="N111" s="36" t="str">
        <f t="shared" si="2"/>
        <v/>
      </c>
      <c r="O111" s="36" t="str">
        <f t="shared" si="3"/>
        <v/>
      </c>
      <c r="P111" s="15"/>
      <c r="Q111" s="37" t="str">
        <f t="shared" si="4"/>
        <v/>
      </c>
      <c r="R111" s="37" t="str">
        <f t="shared" si="5"/>
        <v/>
      </c>
      <c r="S111" s="32" t="str">
        <f t="shared" si="6"/>
        <v/>
      </c>
      <c r="T111" s="37" t="str">
        <f t="shared" si="7"/>
        <v/>
      </c>
      <c r="U111" s="37" t="str">
        <f t="array" ref="U111">IF($F111="","",IFERROR(INDEX(Config!$F:$F,MATCH($F111,Config!$D:$D,0)),0))</f>
        <v/>
      </c>
    </row>
    <row r="112" ht="15.0" customHeight="1">
      <c r="A112" s="34"/>
      <c r="B112" s="35"/>
      <c r="C112" s="15"/>
      <c r="D112" s="15"/>
      <c r="E112" s="15"/>
      <c r="F112" s="15"/>
      <c r="G112" s="36" t="str">
        <f t="array" ref="G112">IF($F112="","",IFERROR(INDEX(Config!$E:$E,MATCH($F112,Config!$D:$D,0)),0))</f>
        <v/>
      </c>
      <c r="H112" s="16"/>
      <c r="I112" s="36" t="str">
        <f t="shared" si="1"/>
        <v/>
      </c>
      <c r="J112" s="16"/>
      <c r="K112" s="15"/>
      <c r="L112" s="15"/>
      <c r="M112" s="36" t="str">
        <f t="array" ref="M112">IF($A112="","",IF($L112="Atendido",IFERROR($I112*INDEX(Config!$B:$B,MATCH($C112,Config!$A:$A,0)),0),0))</f>
        <v/>
      </c>
      <c r="N112" s="36" t="str">
        <f t="shared" si="2"/>
        <v/>
      </c>
      <c r="O112" s="36" t="str">
        <f t="shared" si="3"/>
        <v/>
      </c>
      <c r="P112" s="15"/>
      <c r="Q112" s="37" t="str">
        <f t="shared" si="4"/>
        <v/>
      </c>
      <c r="R112" s="37" t="str">
        <f t="shared" si="5"/>
        <v/>
      </c>
      <c r="S112" s="32" t="str">
        <f t="shared" si="6"/>
        <v/>
      </c>
      <c r="T112" s="37" t="str">
        <f t="shared" si="7"/>
        <v/>
      </c>
      <c r="U112" s="37" t="str">
        <f t="array" ref="U112">IF($F112="","",IFERROR(INDEX(Config!$F:$F,MATCH($F112,Config!$D:$D,0)),0))</f>
        <v/>
      </c>
    </row>
    <row r="113" ht="15.0" customHeight="1">
      <c r="A113" s="34"/>
      <c r="B113" s="35"/>
      <c r="C113" s="15"/>
      <c r="D113" s="15"/>
      <c r="E113" s="15"/>
      <c r="F113" s="15"/>
      <c r="G113" s="36" t="str">
        <f t="array" ref="G113">IF($F113="","",IFERROR(INDEX(Config!$E:$E,MATCH($F113,Config!$D:$D,0)),0))</f>
        <v/>
      </c>
      <c r="H113" s="16"/>
      <c r="I113" s="36" t="str">
        <f t="shared" si="1"/>
        <v/>
      </c>
      <c r="J113" s="16"/>
      <c r="K113" s="15"/>
      <c r="L113" s="15"/>
      <c r="M113" s="36" t="str">
        <f t="array" ref="M113">IF($A113="","",IF($L113="Atendido",IFERROR($I113*INDEX(Config!$B:$B,MATCH($C113,Config!$A:$A,0)),0),0))</f>
        <v/>
      </c>
      <c r="N113" s="36" t="str">
        <f t="shared" si="2"/>
        <v/>
      </c>
      <c r="O113" s="36" t="str">
        <f t="shared" si="3"/>
        <v/>
      </c>
      <c r="P113" s="15"/>
      <c r="Q113" s="37" t="str">
        <f t="shared" si="4"/>
        <v/>
      </c>
      <c r="R113" s="37" t="str">
        <f t="shared" si="5"/>
        <v/>
      </c>
      <c r="S113" s="32" t="str">
        <f t="shared" si="6"/>
        <v/>
      </c>
      <c r="T113" s="37" t="str">
        <f t="shared" si="7"/>
        <v/>
      </c>
      <c r="U113" s="37" t="str">
        <f t="array" ref="U113">IF($F113="","",IFERROR(INDEX(Config!$F:$F,MATCH($F113,Config!$D:$D,0)),0))</f>
        <v/>
      </c>
    </row>
    <row r="114" ht="15.0" customHeight="1">
      <c r="A114" s="34"/>
      <c r="B114" s="35"/>
      <c r="C114" s="15"/>
      <c r="D114" s="15"/>
      <c r="E114" s="15"/>
      <c r="F114" s="15"/>
      <c r="G114" s="36" t="str">
        <f t="array" ref="G114">IF($F114="","",IFERROR(INDEX(Config!$E:$E,MATCH($F114,Config!$D:$D,0)),0))</f>
        <v/>
      </c>
      <c r="H114" s="16"/>
      <c r="I114" s="36" t="str">
        <f t="shared" si="1"/>
        <v/>
      </c>
      <c r="J114" s="16"/>
      <c r="K114" s="15"/>
      <c r="L114" s="15"/>
      <c r="M114" s="36" t="str">
        <f t="array" ref="M114">IF($A114="","",IF($L114="Atendido",IFERROR($I114*INDEX(Config!$B:$B,MATCH($C114,Config!$A:$A,0)),0),0))</f>
        <v/>
      </c>
      <c r="N114" s="36" t="str">
        <f t="shared" si="2"/>
        <v/>
      </c>
      <c r="O114" s="36" t="str">
        <f t="shared" si="3"/>
        <v/>
      </c>
      <c r="P114" s="15"/>
      <c r="Q114" s="37" t="str">
        <f t="shared" si="4"/>
        <v/>
      </c>
      <c r="R114" s="37" t="str">
        <f t="shared" si="5"/>
        <v/>
      </c>
      <c r="S114" s="32" t="str">
        <f t="shared" si="6"/>
        <v/>
      </c>
      <c r="T114" s="37" t="str">
        <f t="shared" si="7"/>
        <v/>
      </c>
      <c r="U114" s="37" t="str">
        <f t="array" ref="U114">IF($F114="","",IFERROR(INDEX(Config!$F:$F,MATCH($F114,Config!$D:$D,0)),0))</f>
        <v/>
      </c>
    </row>
    <row r="115" ht="15.0" customHeight="1">
      <c r="A115" s="34"/>
      <c r="B115" s="35"/>
      <c r="C115" s="15"/>
      <c r="D115" s="15"/>
      <c r="E115" s="15"/>
      <c r="F115" s="15"/>
      <c r="G115" s="36" t="str">
        <f t="array" ref="G115">IF($F115="","",IFERROR(INDEX(Config!$E:$E,MATCH($F115,Config!$D:$D,0)),0))</f>
        <v/>
      </c>
      <c r="H115" s="16"/>
      <c r="I115" s="36" t="str">
        <f t="shared" si="1"/>
        <v/>
      </c>
      <c r="J115" s="16"/>
      <c r="K115" s="15"/>
      <c r="L115" s="15"/>
      <c r="M115" s="36" t="str">
        <f t="array" ref="M115">IF($A115="","",IF($L115="Atendido",IFERROR($I115*INDEX(Config!$B:$B,MATCH($C115,Config!$A:$A,0)),0),0))</f>
        <v/>
      </c>
      <c r="N115" s="36" t="str">
        <f t="shared" si="2"/>
        <v/>
      </c>
      <c r="O115" s="36" t="str">
        <f t="shared" si="3"/>
        <v/>
      </c>
      <c r="P115" s="15"/>
      <c r="Q115" s="37" t="str">
        <f t="shared" si="4"/>
        <v/>
      </c>
      <c r="R115" s="37" t="str">
        <f t="shared" si="5"/>
        <v/>
      </c>
      <c r="S115" s="32" t="str">
        <f t="shared" si="6"/>
        <v/>
      </c>
      <c r="T115" s="37" t="str">
        <f t="shared" si="7"/>
        <v/>
      </c>
      <c r="U115" s="37" t="str">
        <f t="array" ref="U115">IF($F115="","",IFERROR(INDEX(Config!$F:$F,MATCH($F115,Config!$D:$D,0)),0))</f>
        <v/>
      </c>
    </row>
    <row r="116" ht="15.0" customHeight="1">
      <c r="A116" s="34"/>
      <c r="B116" s="35"/>
      <c r="C116" s="15"/>
      <c r="D116" s="15"/>
      <c r="E116" s="15"/>
      <c r="F116" s="15"/>
      <c r="G116" s="36" t="str">
        <f t="array" ref="G116">IF($F116="","",IFERROR(INDEX(Config!$E:$E,MATCH($F116,Config!$D:$D,0)),0))</f>
        <v/>
      </c>
      <c r="H116" s="16"/>
      <c r="I116" s="36" t="str">
        <f t="shared" si="1"/>
        <v/>
      </c>
      <c r="J116" s="16"/>
      <c r="K116" s="15"/>
      <c r="L116" s="15"/>
      <c r="M116" s="36" t="str">
        <f t="array" ref="M116">IF($A116="","",IF($L116="Atendido",IFERROR($I116*INDEX(Config!$B:$B,MATCH($C116,Config!$A:$A,0)),0),0))</f>
        <v/>
      </c>
      <c r="N116" s="36" t="str">
        <f t="shared" si="2"/>
        <v/>
      </c>
      <c r="O116" s="36" t="str">
        <f t="shared" si="3"/>
        <v/>
      </c>
      <c r="P116" s="15"/>
      <c r="Q116" s="37" t="str">
        <f t="shared" si="4"/>
        <v/>
      </c>
      <c r="R116" s="37" t="str">
        <f t="shared" si="5"/>
        <v/>
      </c>
      <c r="S116" s="32" t="str">
        <f t="shared" si="6"/>
        <v/>
      </c>
      <c r="T116" s="37" t="str">
        <f t="shared" si="7"/>
        <v/>
      </c>
      <c r="U116" s="37" t="str">
        <f t="array" ref="U116">IF($F116="","",IFERROR(INDEX(Config!$F:$F,MATCH($F116,Config!$D:$D,0)),0))</f>
        <v/>
      </c>
    </row>
    <row r="117" ht="15.0" customHeight="1">
      <c r="A117" s="34"/>
      <c r="B117" s="35"/>
      <c r="C117" s="15"/>
      <c r="D117" s="15"/>
      <c r="E117" s="15"/>
      <c r="F117" s="15"/>
      <c r="G117" s="36" t="str">
        <f t="array" ref="G117">IF($F117="","",IFERROR(INDEX(Config!$E:$E,MATCH($F117,Config!$D:$D,0)),0))</f>
        <v/>
      </c>
      <c r="H117" s="16"/>
      <c r="I117" s="36" t="str">
        <f t="shared" si="1"/>
        <v/>
      </c>
      <c r="J117" s="16"/>
      <c r="K117" s="15"/>
      <c r="L117" s="15"/>
      <c r="M117" s="36" t="str">
        <f t="array" ref="M117">IF($A117="","",IF($L117="Atendido",IFERROR($I117*INDEX(Config!$B:$B,MATCH($C117,Config!$A:$A,0)),0),0))</f>
        <v/>
      </c>
      <c r="N117" s="36" t="str">
        <f t="shared" si="2"/>
        <v/>
      </c>
      <c r="O117" s="36" t="str">
        <f t="shared" si="3"/>
        <v/>
      </c>
      <c r="P117" s="15"/>
      <c r="Q117" s="37" t="str">
        <f t="shared" si="4"/>
        <v/>
      </c>
      <c r="R117" s="37" t="str">
        <f t="shared" si="5"/>
        <v/>
      </c>
      <c r="S117" s="32" t="str">
        <f t="shared" si="6"/>
        <v/>
      </c>
      <c r="T117" s="37" t="str">
        <f t="shared" si="7"/>
        <v/>
      </c>
      <c r="U117" s="37" t="str">
        <f t="array" ref="U117">IF($F117="","",IFERROR(INDEX(Config!$F:$F,MATCH($F117,Config!$D:$D,0)),0))</f>
        <v/>
      </c>
    </row>
    <row r="118" ht="15.0" customHeight="1">
      <c r="A118" s="34"/>
      <c r="B118" s="35"/>
      <c r="C118" s="15"/>
      <c r="D118" s="15"/>
      <c r="E118" s="15"/>
      <c r="F118" s="15"/>
      <c r="G118" s="36" t="str">
        <f t="array" ref="G118">IF($F118="","",IFERROR(INDEX(Config!$E:$E,MATCH($F118,Config!$D:$D,0)),0))</f>
        <v/>
      </c>
      <c r="H118" s="16"/>
      <c r="I118" s="36" t="str">
        <f t="shared" si="1"/>
        <v/>
      </c>
      <c r="J118" s="16"/>
      <c r="K118" s="15"/>
      <c r="L118" s="15"/>
      <c r="M118" s="36" t="str">
        <f t="array" ref="M118">IF($A118="","",IF($L118="Atendido",IFERROR($I118*INDEX(Config!$B:$B,MATCH($C118,Config!$A:$A,0)),0),0))</f>
        <v/>
      </c>
      <c r="N118" s="36" t="str">
        <f t="shared" si="2"/>
        <v/>
      </c>
      <c r="O118" s="36" t="str">
        <f t="shared" si="3"/>
        <v/>
      </c>
      <c r="P118" s="15"/>
      <c r="Q118" s="37" t="str">
        <f t="shared" si="4"/>
        <v/>
      </c>
      <c r="R118" s="37" t="str">
        <f t="shared" si="5"/>
        <v/>
      </c>
      <c r="S118" s="32" t="str">
        <f t="shared" si="6"/>
        <v/>
      </c>
      <c r="T118" s="37" t="str">
        <f t="shared" si="7"/>
        <v/>
      </c>
      <c r="U118" s="37" t="str">
        <f t="array" ref="U118">IF($F118="","",IFERROR(INDEX(Config!$F:$F,MATCH($F118,Config!$D:$D,0)),0))</f>
        <v/>
      </c>
    </row>
    <row r="119" ht="15.0" customHeight="1">
      <c r="A119" s="34"/>
      <c r="B119" s="35"/>
      <c r="C119" s="15"/>
      <c r="D119" s="15"/>
      <c r="E119" s="15"/>
      <c r="F119" s="15"/>
      <c r="G119" s="36" t="str">
        <f t="array" ref="G119">IF($F119="","",IFERROR(INDEX(Config!$E:$E,MATCH($F119,Config!$D:$D,0)),0))</f>
        <v/>
      </c>
      <c r="H119" s="16"/>
      <c r="I119" s="36" t="str">
        <f t="shared" si="1"/>
        <v/>
      </c>
      <c r="J119" s="16"/>
      <c r="K119" s="15"/>
      <c r="L119" s="15"/>
      <c r="M119" s="36" t="str">
        <f t="array" ref="M119">IF($A119="","",IF($L119="Atendido",IFERROR($I119*INDEX(Config!$B:$B,MATCH($C119,Config!$A:$A,0)),0),0))</f>
        <v/>
      </c>
      <c r="N119" s="36" t="str">
        <f t="shared" si="2"/>
        <v/>
      </c>
      <c r="O119" s="36" t="str">
        <f t="shared" si="3"/>
        <v/>
      </c>
      <c r="P119" s="15"/>
      <c r="Q119" s="37" t="str">
        <f t="shared" si="4"/>
        <v/>
      </c>
      <c r="R119" s="37" t="str">
        <f t="shared" si="5"/>
        <v/>
      </c>
      <c r="S119" s="32" t="str">
        <f t="shared" si="6"/>
        <v/>
      </c>
      <c r="T119" s="37" t="str">
        <f t="shared" si="7"/>
        <v/>
      </c>
      <c r="U119" s="37" t="str">
        <f t="array" ref="U119">IF($F119="","",IFERROR(INDEX(Config!$F:$F,MATCH($F119,Config!$D:$D,0)),0))</f>
        <v/>
      </c>
    </row>
    <row r="120" ht="15.0" customHeight="1">
      <c r="A120" s="34"/>
      <c r="B120" s="35"/>
      <c r="C120" s="15"/>
      <c r="D120" s="15"/>
      <c r="E120" s="15"/>
      <c r="F120" s="15"/>
      <c r="G120" s="36" t="str">
        <f t="array" ref="G120">IF($F120="","",IFERROR(INDEX(Config!$E:$E,MATCH($F120,Config!$D:$D,0)),0))</f>
        <v/>
      </c>
      <c r="H120" s="16"/>
      <c r="I120" s="36" t="str">
        <f t="shared" si="1"/>
        <v/>
      </c>
      <c r="J120" s="16"/>
      <c r="K120" s="15"/>
      <c r="L120" s="15"/>
      <c r="M120" s="36" t="str">
        <f t="array" ref="M120">IF($A120="","",IF($L120="Atendido",IFERROR($I120*INDEX(Config!$B:$B,MATCH($C120,Config!$A:$A,0)),0),0))</f>
        <v/>
      </c>
      <c r="N120" s="36" t="str">
        <f t="shared" si="2"/>
        <v/>
      </c>
      <c r="O120" s="36" t="str">
        <f t="shared" si="3"/>
        <v/>
      </c>
      <c r="P120" s="15"/>
      <c r="Q120" s="37" t="str">
        <f t="shared" si="4"/>
        <v/>
      </c>
      <c r="R120" s="37" t="str">
        <f t="shared" si="5"/>
        <v/>
      </c>
      <c r="S120" s="32" t="str">
        <f t="shared" si="6"/>
        <v/>
      </c>
      <c r="T120" s="37" t="str">
        <f t="shared" si="7"/>
        <v/>
      </c>
      <c r="U120" s="37" t="str">
        <f t="array" ref="U120">IF($F120="","",IFERROR(INDEX(Config!$F:$F,MATCH($F120,Config!$D:$D,0)),0))</f>
        <v/>
      </c>
    </row>
    <row r="121" ht="15.0" customHeight="1">
      <c r="A121" s="34"/>
      <c r="B121" s="35"/>
      <c r="C121" s="15"/>
      <c r="D121" s="15"/>
      <c r="E121" s="15"/>
      <c r="F121" s="15"/>
      <c r="G121" s="36" t="str">
        <f t="array" ref="G121">IF($F121="","",IFERROR(INDEX(Config!$E:$E,MATCH($F121,Config!$D:$D,0)),0))</f>
        <v/>
      </c>
      <c r="H121" s="16"/>
      <c r="I121" s="36" t="str">
        <f t="shared" si="1"/>
        <v/>
      </c>
      <c r="J121" s="16"/>
      <c r="K121" s="15"/>
      <c r="L121" s="15"/>
      <c r="M121" s="36" t="str">
        <f t="array" ref="M121">IF($A121="","",IF($L121="Atendido",IFERROR($I121*INDEX(Config!$B:$B,MATCH($C121,Config!$A:$A,0)),0),0))</f>
        <v/>
      </c>
      <c r="N121" s="36" t="str">
        <f t="shared" si="2"/>
        <v/>
      </c>
      <c r="O121" s="36" t="str">
        <f t="shared" si="3"/>
        <v/>
      </c>
      <c r="P121" s="15"/>
      <c r="Q121" s="37" t="str">
        <f t="shared" si="4"/>
        <v/>
      </c>
      <c r="R121" s="37" t="str">
        <f t="shared" si="5"/>
        <v/>
      </c>
      <c r="S121" s="32" t="str">
        <f t="shared" si="6"/>
        <v/>
      </c>
      <c r="T121" s="37" t="str">
        <f t="shared" si="7"/>
        <v/>
      </c>
      <c r="U121" s="37" t="str">
        <f t="array" ref="U121">IF($F121="","",IFERROR(INDEX(Config!$F:$F,MATCH($F121,Config!$D:$D,0)),0))</f>
        <v/>
      </c>
    </row>
    <row r="122" ht="15.0" customHeight="1">
      <c r="A122" s="34"/>
      <c r="B122" s="35"/>
      <c r="C122" s="15"/>
      <c r="D122" s="15"/>
      <c r="E122" s="15"/>
      <c r="F122" s="15"/>
      <c r="G122" s="36" t="str">
        <f t="array" ref="G122">IF($F122="","",IFERROR(INDEX(Config!$E:$E,MATCH($F122,Config!$D:$D,0)),0))</f>
        <v/>
      </c>
      <c r="H122" s="16"/>
      <c r="I122" s="36" t="str">
        <f t="shared" si="1"/>
        <v/>
      </c>
      <c r="J122" s="16"/>
      <c r="K122" s="15"/>
      <c r="L122" s="15"/>
      <c r="M122" s="36" t="str">
        <f t="array" ref="M122">IF($A122="","",IF($L122="Atendido",IFERROR($I122*INDEX(Config!$B:$B,MATCH($C122,Config!$A:$A,0)),0),0))</f>
        <v/>
      </c>
      <c r="N122" s="36" t="str">
        <f t="shared" si="2"/>
        <v/>
      </c>
      <c r="O122" s="36" t="str">
        <f t="shared" si="3"/>
        <v/>
      </c>
      <c r="P122" s="15"/>
      <c r="Q122" s="37" t="str">
        <f t="shared" si="4"/>
        <v/>
      </c>
      <c r="R122" s="37" t="str">
        <f t="shared" si="5"/>
        <v/>
      </c>
      <c r="S122" s="32" t="str">
        <f t="shared" si="6"/>
        <v/>
      </c>
      <c r="T122" s="37" t="str">
        <f t="shared" si="7"/>
        <v/>
      </c>
      <c r="U122" s="37" t="str">
        <f t="array" ref="U122">IF($F122="","",IFERROR(INDEX(Config!$F:$F,MATCH($F122,Config!$D:$D,0)),0))</f>
        <v/>
      </c>
    </row>
    <row r="123" ht="15.0" customHeight="1">
      <c r="A123" s="34"/>
      <c r="B123" s="35"/>
      <c r="C123" s="15"/>
      <c r="D123" s="15"/>
      <c r="E123" s="15"/>
      <c r="F123" s="15"/>
      <c r="G123" s="36" t="str">
        <f t="array" ref="G123">IF($F123="","",IFERROR(INDEX(Config!$E:$E,MATCH($F123,Config!$D:$D,0)),0))</f>
        <v/>
      </c>
      <c r="H123" s="16"/>
      <c r="I123" s="36" t="str">
        <f t="shared" si="1"/>
        <v/>
      </c>
      <c r="J123" s="16"/>
      <c r="K123" s="15"/>
      <c r="L123" s="15"/>
      <c r="M123" s="36" t="str">
        <f t="array" ref="M123">IF($A123="","",IF($L123="Atendido",IFERROR($I123*INDEX(Config!$B:$B,MATCH($C123,Config!$A:$A,0)),0),0))</f>
        <v/>
      </c>
      <c r="N123" s="36" t="str">
        <f t="shared" si="2"/>
        <v/>
      </c>
      <c r="O123" s="36" t="str">
        <f t="shared" si="3"/>
        <v/>
      </c>
      <c r="P123" s="15"/>
      <c r="Q123" s="37" t="str">
        <f t="shared" si="4"/>
        <v/>
      </c>
      <c r="R123" s="37" t="str">
        <f t="shared" si="5"/>
        <v/>
      </c>
      <c r="S123" s="32" t="str">
        <f t="shared" si="6"/>
        <v/>
      </c>
      <c r="T123" s="37" t="str">
        <f t="shared" si="7"/>
        <v/>
      </c>
      <c r="U123" s="37" t="str">
        <f t="array" ref="U123">IF($F123="","",IFERROR(INDEX(Config!$F:$F,MATCH($F123,Config!$D:$D,0)),0))</f>
        <v/>
      </c>
    </row>
    <row r="124" ht="15.0" customHeight="1">
      <c r="A124" s="34"/>
      <c r="B124" s="35"/>
      <c r="C124" s="15"/>
      <c r="D124" s="15"/>
      <c r="E124" s="15"/>
      <c r="F124" s="15"/>
      <c r="G124" s="36" t="str">
        <f t="array" ref="G124">IF($F124="","",IFERROR(INDEX(Config!$E:$E,MATCH($F124,Config!$D:$D,0)),0))</f>
        <v/>
      </c>
      <c r="H124" s="16"/>
      <c r="I124" s="36" t="str">
        <f t="shared" si="1"/>
        <v/>
      </c>
      <c r="J124" s="16"/>
      <c r="K124" s="15"/>
      <c r="L124" s="15"/>
      <c r="M124" s="36" t="str">
        <f t="array" ref="M124">IF($A124="","",IF($L124="Atendido",IFERROR($I124*INDEX(Config!$B:$B,MATCH($C124,Config!$A:$A,0)),0),0))</f>
        <v/>
      </c>
      <c r="N124" s="36" t="str">
        <f t="shared" si="2"/>
        <v/>
      </c>
      <c r="O124" s="36" t="str">
        <f t="shared" si="3"/>
        <v/>
      </c>
      <c r="P124" s="15"/>
      <c r="Q124" s="37" t="str">
        <f t="shared" si="4"/>
        <v/>
      </c>
      <c r="R124" s="37" t="str">
        <f t="shared" si="5"/>
        <v/>
      </c>
      <c r="S124" s="32" t="str">
        <f t="shared" si="6"/>
        <v/>
      </c>
      <c r="T124" s="37" t="str">
        <f t="shared" si="7"/>
        <v/>
      </c>
      <c r="U124" s="37" t="str">
        <f t="array" ref="U124">IF($F124="","",IFERROR(INDEX(Config!$F:$F,MATCH($F124,Config!$D:$D,0)),0))</f>
        <v/>
      </c>
    </row>
    <row r="125" ht="15.0" customHeight="1">
      <c r="A125" s="34"/>
      <c r="B125" s="35"/>
      <c r="C125" s="15"/>
      <c r="D125" s="15"/>
      <c r="E125" s="15"/>
      <c r="F125" s="15"/>
      <c r="G125" s="36" t="str">
        <f t="array" ref="G125">IF($F125="","",IFERROR(INDEX(Config!$E:$E,MATCH($F125,Config!$D:$D,0)),0))</f>
        <v/>
      </c>
      <c r="H125" s="16"/>
      <c r="I125" s="36" t="str">
        <f t="shared" si="1"/>
        <v/>
      </c>
      <c r="J125" s="16"/>
      <c r="K125" s="15"/>
      <c r="L125" s="15"/>
      <c r="M125" s="36" t="str">
        <f t="array" ref="M125">IF($A125="","",IF($L125="Atendido",IFERROR($I125*INDEX(Config!$B:$B,MATCH($C125,Config!$A:$A,0)),0),0))</f>
        <v/>
      </c>
      <c r="N125" s="36" t="str">
        <f t="shared" si="2"/>
        <v/>
      </c>
      <c r="O125" s="36" t="str">
        <f t="shared" si="3"/>
        <v/>
      </c>
      <c r="P125" s="15"/>
      <c r="Q125" s="37" t="str">
        <f t="shared" si="4"/>
        <v/>
      </c>
      <c r="R125" s="37" t="str">
        <f t="shared" si="5"/>
        <v/>
      </c>
      <c r="S125" s="32" t="str">
        <f t="shared" si="6"/>
        <v/>
      </c>
      <c r="T125" s="37" t="str">
        <f t="shared" si="7"/>
        <v/>
      </c>
      <c r="U125" s="37" t="str">
        <f t="array" ref="U125">IF($F125="","",IFERROR(INDEX(Config!$F:$F,MATCH($F125,Config!$D:$D,0)),0))</f>
        <v/>
      </c>
    </row>
    <row r="126" ht="15.0" customHeight="1">
      <c r="A126" s="34"/>
      <c r="B126" s="35"/>
      <c r="C126" s="15"/>
      <c r="D126" s="15"/>
      <c r="E126" s="15"/>
      <c r="F126" s="15"/>
      <c r="G126" s="36" t="str">
        <f t="array" ref="G126">IF($F126="","",IFERROR(INDEX(Config!$E:$E,MATCH($F126,Config!$D:$D,0)),0))</f>
        <v/>
      </c>
      <c r="H126" s="16"/>
      <c r="I126" s="36" t="str">
        <f t="shared" si="1"/>
        <v/>
      </c>
      <c r="J126" s="16"/>
      <c r="K126" s="15"/>
      <c r="L126" s="15"/>
      <c r="M126" s="36" t="str">
        <f t="array" ref="M126">IF($A126="","",IF($L126="Atendido",IFERROR($I126*INDEX(Config!$B:$B,MATCH($C126,Config!$A:$A,0)),0),0))</f>
        <v/>
      </c>
      <c r="N126" s="36" t="str">
        <f t="shared" si="2"/>
        <v/>
      </c>
      <c r="O126" s="36" t="str">
        <f t="shared" si="3"/>
        <v/>
      </c>
      <c r="P126" s="15"/>
      <c r="Q126" s="37" t="str">
        <f t="shared" si="4"/>
        <v/>
      </c>
      <c r="R126" s="37" t="str">
        <f t="shared" si="5"/>
        <v/>
      </c>
      <c r="S126" s="32" t="str">
        <f t="shared" si="6"/>
        <v/>
      </c>
      <c r="T126" s="37" t="str">
        <f t="shared" si="7"/>
        <v/>
      </c>
      <c r="U126" s="37" t="str">
        <f t="array" ref="U126">IF($F126="","",IFERROR(INDEX(Config!$F:$F,MATCH($F126,Config!$D:$D,0)),0))</f>
        <v/>
      </c>
    </row>
    <row r="127" ht="15.0" customHeight="1">
      <c r="A127" s="34"/>
      <c r="B127" s="35"/>
      <c r="C127" s="15"/>
      <c r="D127" s="15"/>
      <c r="E127" s="15"/>
      <c r="F127" s="15"/>
      <c r="G127" s="36" t="str">
        <f t="array" ref="G127">IF($F127="","",IFERROR(INDEX(Config!$E:$E,MATCH($F127,Config!$D:$D,0)),0))</f>
        <v/>
      </c>
      <c r="H127" s="16"/>
      <c r="I127" s="36" t="str">
        <f t="shared" si="1"/>
        <v/>
      </c>
      <c r="J127" s="16"/>
      <c r="K127" s="15"/>
      <c r="L127" s="15"/>
      <c r="M127" s="36" t="str">
        <f t="array" ref="M127">IF($A127="","",IF($L127="Atendido",IFERROR($I127*INDEX(Config!$B:$B,MATCH($C127,Config!$A:$A,0)),0),0))</f>
        <v/>
      </c>
      <c r="N127" s="36" t="str">
        <f t="shared" si="2"/>
        <v/>
      </c>
      <c r="O127" s="36" t="str">
        <f t="shared" si="3"/>
        <v/>
      </c>
      <c r="P127" s="15"/>
      <c r="Q127" s="37" t="str">
        <f t="shared" si="4"/>
        <v/>
      </c>
      <c r="R127" s="37" t="str">
        <f t="shared" si="5"/>
        <v/>
      </c>
      <c r="S127" s="32" t="str">
        <f t="shared" si="6"/>
        <v/>
      </c>
      <c r="T127" s="37" t="str">
        <f t="shared" si="7"/>
        <v/>
      </c>
      <c r="U127" s="37" t="str">
        <f t="array" ref="U127">IF($F127="","",IFERROR(INDEX(Config!$F:$F,MATCH($F127,Config!$D:$D,0)),0))</f>
        <v/>
      </c>
    </row>
    <row r="128" ht="15.0" customHeight="1">
      <c r="A128" s="34"/>
      <c r="B128" s="35"/>
      <c r="C128" s="15"/>
      <c r="D128" s="15"/>
      <c r="E128" s="15"/>
      <c r="F128" s="15"/>
      <c r="G128" s="36" t="str">
        <f t="array" ref="G128">IF($F128="","",IFERROR(INDEX(Config!$E:$E,MATCH($F128,Config!$D:$D,0)),0))</f>
        <v/>
      </c>
      <c r="H128" s="16"/>
      <c r="I128" s="36" t="str">
        <f t="shared" si="1"/>
        <v/>
      </c>
      <c r="J128" s="16"/>
      <c r="K128" s="15"/>
      <c r="L128" s="15"/>
      <c r="M128" s="36" t="str">
        <f t="array" ref="M128">IF($A128="","",IF($L128="Atendido",IFERROR($I128*INDEX(Config!$B:$B,MATCH($C128,Config!$A:$A,0)),0),0))</f>
        <v/>
      </c>
      <c r="N128" s="36" t="str">
        <f t="shared" si="2"/>
        <v/>
      </c>
      <c r="O128" s="36" t="str">
        <f t="shared" si="3"/>
        <v/>
      </c>
      <c r="P128" s="15"/>
      <c r="Q128" s="37" t="str">
        <f t="shared" si="4"/>
        <v/>
      </c>
      <c r="R128" s="37" t="str">
        <f t="shared" si="5"/>
        <v/>
      </c>
      <c r="S128" s="32" t="str">
        <f t="shared" si="6"/>
        <v/>
      </c>
      <c r="T128" s="37" t="str">
        <f t="shared" si="7"/>
        <v/>
      </c>
      <c r="U128" s="37" t="str">
        <f t="array" ref="U128">IF($F128="","",IFERROR(INDEX(Config!$F:$F,MATCH($F128,Config!$D:$D,0)),0))</f>
        <v/>
      </c>
    </row>
    <row r="129" ht="15.0" customHeight="1">
      <c r="A129" s="34"/>
      <c r="B129" s="35"/>
      <c r="C129" s="15"/>
      <c r="D129" s="15"/>
      <c r="E129" s="15"/>
      <c r="F129" s="15"/>
      <c r="G129" s="36" t="str">
        <f t="array" ref="G129">IF($F129="","",IFERROR(INDEX(Config!$E:$E,MATCH($F129,Config!$D:$D,0)),0))</f>
        <v/>
      </c>
      <c r="H129" s="16"/>
      <c r="I129" s="36" t="str">
        <f t="shared" si="1"/>
        <v/>
      </c>
      <c r="J129" s="16"/>
      <c r="K129" s="15"/>
      <c r="L129" s="15"/>
      <c r="M129" s="36" t="str">
        <f t="array" ref="M129">IF($A129="","",IF($L129="Atendido",IFERROR($I129*INDEX(Config!$B:$B,MATCH($C129,Config!$A:$A,0)),0),0))</f>
        <v/>
      </c>
      <c r="N129" s="36" t="str">
        <f t="shared" si="2"/>
        <v/>
      </c>
      <c r="O129" s="36" t="str">
        <f t="shared" si="3"/>
        <v/>
      </c>
      <c r="P129" s="15"/>
      <c r="Q129" s="37" t="str">
        <f t="shared" si="4"/>
        <v/>
      </c>
      <c r="R129" s="37" t="str">
        <f t="shared" si="5"/>
        <v/>
      </c>
      <c r="S129" s="32" t="str">
        <f t="shared" si="6"/>
        <v/>
      </c>
      <c r="T129" s="37" t="str">
        <f t="shared" si="7"/>
        <v/>
      </c>
      <c r="U129" s="37" t="str">
        <f t="array" ref="U129">IF($F129="","",IFERROR(INDEX(Config!$F:$F,MATCH($F129,Config!$D:$D,0)),0))</f>
        <v/>
      </c>
    </row>
    <row r="130" ht="15.0" customHeight="1">
      <c r="A130" s="34"/>
      <c r="B130" s="35"/>
      <c r="C130" s="15"/>
      <c r="D130" s="15"/>
      <c r="E130" s="15"/>
      <c r="F130" s="15"/>
      <c r="G130" s="36" t="str">
        <f t="array" ref="G130">IF($F130="","",IFERROR(INDEX(Config!$E:$E,MATCH($F130,Config!$D:$D,0)),0))</f>
        <v/>
      </c>
      <c r="H130" s="16"/>
      <c r="I130" s="36" t="str">
        <f t="shared" si="1"/>
        <v/>
      </c>
      <c r="J130" s="16"/>
      <c r="K130" s="15"/>
      <c r="L130" s="15"/>
      <c r="M130" s="36" t="str">
        <f t="array" ref="M130">IF($A130="","",IF($L130="Atendido",IFERROR($I130*INDEX(Config!$B:$B,MATCH($C130,Config!$A:$A,0)),0),0))</f>
        <v/>
      </c>
      <c r="N130" s="36" t="str">
        <f t="shared" si="2"/>
        <v/>
      </c>
      <c r="O130" s="36" t="str">
        <f t="shared" si="3"/>
        <v/>
      </c>
      <c r="P130" s="15"/>
      <c r="Q130" s="37" t="str">
        <f t="shared" si="4"/>
        <v/>
      </c>
      <c r="R130" s="37" t="str">
        <f t="shared" si="5"/>
        <v/>
      </c>
      <c r="S130" s="32" t="str">
        <f t="shared" si="6"/>
        <v/>
      </c>
      <c r="T130" s="37" t="str">
        <f t="shared" si="7"/>
        <v/>
      </c>
      <c r="U130" s="37" t="str">
        <f t="array" ref="U130">IF($F130="","",IFERROR(INDEX(Config!$F:$F,MATCH($F130,Config!$D:$D,0)),0))</f>
        <v/>
      </c>
    </row>
    <row r="131" ht="15.0" customHeight="1">
      <c r="A131" s="34"/>
      <c r="B131" s="35"/>
      <c r="C131" s="15"/>
      <c r="D131" s="15"/>
      <c r="E131" s="15"/>
      <c r="F131" s="15"/>
      <c r="G131" s="36" t="str">
        <f t="array" ref="G131">IF($F131="","",IFERROR(INDEX(Config!$E:$E,MATCH($F131,Config!$D:$D,0)),0))</f>
        <v/>
      </c>
      <c r="H131" s="16"/>
      <c r="I131" s="36" t="str">
        <f t="shared" si="1"/>
        <v/>
      </c>
      <c r="J131" s="16"/>
      <c r="K131" s="15"/>
      <c r="L131" s="15"/>
      <c r="M131" s="36" t="str">
        <f t="array" ref="M131">IF($A131="","",IF($L131="Atendido",IFERROR($I131*INDEX(Config!$B:$B,MATCH($C131,Config!$A:$A,0)),0),0))</f>
        <v/>
      </c>
      <c r="N131" s="36" t="str">
        <f t="shared" si="2"/>
        <v/>
      </c>
      <c r="O131" s="36" t="str">
        <f t="shared" si="3"/>
        <v/>
      </c>
      <c r="P131" s="15"/>
      <c r="Q131" s="37" t="str">
        <f t="shared" si="4"/>
        <v/>
      </c>
      <c r="R131" s="37" t="str">
        <f t="shared" si="5"/>
        <v/>
      </c>
      <c r="S131" s="32" t="str">
        <f t="shared" si="6"/>
        <v/>
      </c>
      <c r="T131" s="37" t="str">
        <f t="shared" si="7"/>
        <v/>
      </c>
      <c r="U131" s="37" t="str">
        <f t="array" ref="U131">IF($F131="","",IFERROR(INDEX(Config!$F:$F,MATCH($F131,Config!$D:$D,0)),0))</f>
        <v/>
      </c>
    </row>
    <row r="132" ht="15.0" customHeight="1">
      <c r="A132" s="34"/>
      <c r="B132" s="35"/>
      <c r="C132" s="15"/>
      <c r="D132" s="15"/>
      <c r="E132" s="15"/>
      <c r="F132" s="15"/>
      <c r="G132" s="36" t="str">
        <f t="array" ref="G132">IF($F132="","",IFERROR(INDEX(Config!$E:$E,MATCH($F132,Config!$D:$D,0)),0))</f>
        <v/>
      </c>
      <c r="H132" s="16"/>
      <c r="I132" s="36" t="str">
        <f t="shared" si="1"/>
        <v/>
      </c>
      <c r="J132" s="16"/>
      <c r="K132" s="15"/>
      <c r="L132" s="15"/>
      <c r="M132" s="36" t="str">
        <f t="array" ref="M132">IF($A132="","",IF($L132="Atendido",IFERROR($I132*INDEX(Config!$B:$B,MATCH($C132,Config!$A:$A,0)),0),0))</f>
        <v/>
      </c>
      <c r="N132" s="36" t="str">
        <f t="shared" si="2"/>
        <v/>
      </c>
      <c r="O132" s="36" t="str">
        <f t="shared" si="3"/>
        <v/>
      </c>
      <c r="P132" s="15"/>
      <c r="Q132" s="37" t="str">
        <f t="shared" si="4"/>
        <v/>
      </c>
      <c r="R132" s="37" t="str">
        <f t="shared" si="5"/>
        <v/>
      </c>
      <c r="S132" s="32" t="str">
        <f t="shared" si="6"/>
        <v/>
      </c>
      <c r="T132" s="37" t="str">
        <f t="shared" si="7"/>
        <v/>
      </c>
      <c r="U132" s="37" t="str">
        <f t="array" ref="U132">IF($F132="","",IFERROR(INDEX(Config!$F:$F,MATCH($F132,Config!$D:$D,0)),0))</f>
        <v/>
      </c>
    </row>
    <row r="133" ht="15.0" customHeight="1">
      <c r="A133" s="34"/>
      <c r="B133" s="35"/>
      <c r="C133" s="15"/>
      <c r="D133" s="15"/>
      <c r="E133" s="15"/>
      <c r="F133" s="15"/>
      <c r="G133" s="36" t="str">
        <f t="array" ref="G133">IF($F133="","",IFERROR(INDEX(Config!$E:$E,MATCH($F133,Config!$D:$D,0)),0))</f>
        <v/>
      </c>
      <c r="H133" s="16"/>
      <c r="I133" s="36" t="str">
        <f t="shared" si="1"/>
        <v/>
      </c>
      <c r="J133" s="16"/>
      <c r="K133" s="15"/>
      <c r="L133" s="15"/>
      <c r="M133" s="36" t="str">
        <f t="array" ref="M133">IF($A133="","",IF($L133="Atendido",IFERROR($I133*INDEX(Config!$B:$B,MATCH($C133,Config!$A:$A,0)),0),0))</f>
        <v/>
      </c>
      <c r="N133" s="36" t="str">
        <f t="shared" si="2"/>
        <v/>
      </c>
      <c r="O133" s="36" t="str">
        <f t="shared" si="3"/>
        <v/>
      </c>
      <c r="P133" s="15"/>
      <c r="Q133" s="37" t="str">
        <f t="shared" si="4"/>
        <v/>
      </c>
      <c r="R133" s="37" t="str">
        <f t="shared" si="5"/>
        <v/>
      </c>
      <c r="S133" s="32" t="str">
        <f t="shared" si="6"/>
        <v/>
      </c>
      <c r="T133" s="37" t="str">
        <f t="shared" si="7"/>
        <v/>
      </c>
      <c r="U133" s="37" t="str">
        <f t="array" ref="U133">IF($F133="","",IFERROR(INDEX(Config!$F:$F,MATCH($F133,Config!$D:$D,0)),0))</f>
        <v/>
      </c>
    </row>
    <row r="134" ht="15.0" customHeight="1">
      <c r="A134" s="34"/>
      <c r="B134" s="35"/>
      <c r="C134" s="15"/>
      <c r="D134" s="15"/>
      <c r="E134" s="15"/>
      <c r="F134" s="15"/>
      <c r="G134" s="36" t="str">
        <f t="array" ref="G134">IF($F134="","",IFERROR(INDEX(Config!$E:$E,MATCH($F134,Config!$D:$D,0)),0))</f>
        <v/>
      </c>
      <c r="H134" s="16"/>
      <c r="I134" s="36" t="str">
        <f t="shared" si="1"/>
        <v/>
      </c>
      <c r="J134" s="16"/>
      <c r="K134" s="15"/>
      <c r="L134" s="15"/>
      <c r="M134" s="36" t="str">
        <f t="array" ref="M134">IF($A134="","",IF($L134="Atendido",IFERROR($I134*INDEX(Config!$B:$B,MATCH($C134,Config!$A:$A,0)),0),0))</f>
        <v/>
      </c>
      <c r="N134" s="36" t="str">
        <f t="shared" si="2"/>
        <v/>
      </c>
      <c r="O134" s="36" t="str">
        <f t="shared" si="3"/>
        <v/>
      </c>
      <c r="P134" s="15"/>
      <c r="Q134" s="37" t="str">
        <f t="shared" si="4"/>
        <v/>
      </c>
      <c r="R134" s="37" t="str">
        <f t="shared" si="5"/>
        <v/>
      </c>
      <c r="S134" s="32" t="str">
        <f t="shared" si="6"/>
        <v/>
      </c>
      <c r="T134" s="37" t="str">
        <f t="shared" si="7"/>
        <v/>
      </c>
      <c r="U134" s="37" t="str">
        <f t="array" ref="U134">IF($F134="","",IFERROR(INDEX(Config!$F:$F,MATCH($F134,Config!$D:$D,0)),0))</f>
        <v/>
      </c>
    </row>
    <row r="135" ht="15.0" customHeight="1">
      <c r="A135" s="34"/>
      <c r="B135" s="35"/>
      <c r="C135" s="15"/>
      <c r="D135" s="15"/>
      <c r="E135" s="15"/>
      <c r="F135" s="15"/>
      <c r="G135" s="36" t="str">
        <f t="array" ref="G135">IF($F135="","",IFERROR(INDEX(Config!$E:$E,MATCH($F135,Config!$D:$D,0)),0))</f>
        <v/>
      </c>
      <c r="H135" s="16"/>
      <c r="I135" s="36" t="str">
        <f t="shared" si="1"/>
        <v/>
      </c>
      <c r="J135" s="16"/>
      <c r="K135" s="15"/>
      <c r="L135" s="15"/>
      <c r="M135" s="36" t="str">
        <f t="array" ref="M135">IF($A135="","",IF($L135="Atendido",IFERROR($I135*INDEX(Config!$B:$B,MATCH($C135,Config!$A:$A,0)),0),0))</f>
        <v/>
      </c>
      <c r="N135" s="36" t="str">
        <f t="shared" si="2"/>
        <v/>
      </c>
      <c r="O135" s="36" t="str">
        <f t="shared" si="3"/>
        <v/>
      </c>
      <c r="P135" s="15"/>
      <c r="Q135" s="37" t="str">
        <f t="shared" si="4"/>
        <v/>
      </c>
      <c r="R135" s="37" t="str">
        <f t="shared" si="5"/>
        <v/>
      </c>
      <c r="S135" s="32" t="str">
        <f t="shared" si="6"/>
        <v/>
      </c>
      <c r="T135" s="37" t="str">
        <f t="shared" si="7"/>
        <v/>
      </c>
      <c r="U135" s="37" t="str">
        <f t="array" ref="U135">IF($F135="","",IFERROR(INDEX(Config!$F:$F,MATCH($F135,Config!$D:$D,0)),0))</f>
        <v/>
      </c>
    </row>
    <row r="136" ht="15.0" customHeight="1">
      <c r="A136" s="34"/>
      <c r="B136" s="35"/>
      <c r="C136" s="15"/>
      <c r="D136" s="15"/>
      <c r="E136" s="15"/>
      <c r="F136" s="15"/>
      <c r="G136" s="36" t="str">
        <f t="array" ref="G136">IF($F136="","",IFERROR(INDEX(Config!$E:$E,MATCH($F136,Config!$D:$D,0)),0))</f>
        <v/>
      </c>
      <c r="H136" s="16"/>
      <c r="I136" s="36" t="str">
        <f t="shared" si="1"/>
        <v/>
      </c>
      <c r="J136" s="16"/>
      <c r="K136" s="15"/>
      <c r="L136" s="15"/>
      <c r="M136" s="36" t="str">
        <f t="array" ref="M136">IF($A136="","",IF($L136="Atendido",IFERROR($I136*INDEX(Config!$B:$B,MATCH($C136,Config!$A:$A,0)),0),0))</f>
        <v/>
      </c>
      <c r="N136" s="36" t="str">
        <f t="shared" si="2"/>
        <v/>
      </c>
      <c r="O136" s="36" t="str">
        <f t="shared" si="3"/>
        <v/>
      </c>
      <c r="P136" s="15"/>
      <c r="Q136" s="37" t="str">
        <f t="shared" si="4"/>
        <v/>
      </c>
      <c r="R136" s="37" t="str">
        <f t="shared" si="5"/>
        <v/>
      </c>
      <c r="S136" s="32" t="str">
        <f t="shared" si="6"/>
        <v/>
      </c>
      <c r="T136" s="37" t="str">
        <f t="shared" si="7"/>
        <v/>
      </c>
      <c r="U136" s="37" t="str">
        <f t="array" ref="U136">IF($F136="","",IFERROR(INDEX(Config!$F:$F,MATCH($F136,Config!$D:$D,0)),0))</f>
        <v/>
      </c>
    </row>
    <row r="137" ht="15.0" customHeight="1">
      <c r="A137" s="34"/>
      <c r="B137" s="35"/>
      <c r="C137" s="15"/>
      <c r="D137" s="15"/>
      <c r="E137" s="15"/>
      <c r="F137" s="15"/>
      <c r="G137" s="36" t="str">
        <f t="array" ref="G137">IF($F137="","",IFERROR(INDEX(Config!$E:$E,MATCH($F137,Config!$D:$D,0)),0))</f>
        <v/>
      </c>
      <c r="H137" s="16"/>
      <c r="I137" s="36" t="str">
        <f t="shared" si="1"/>
        <v/>
      </c>
      <c r="J137" s="16"/>
      <c r="K137" s="15"/>
      <c r="L137" s="15"/>
      <c r="M137" s="36" t="str">
        <f t="array" ref="M137">IF($A137="","",IF($L137="Atendido",IFERROR($I137*INDEX(Config!$B:$B,MATCH($C137,Config!$A:$A,0)),0),0))</f>
        <v/>
      </c>
      <c r="N137" s="36" t="str">
        <f t="shared" si="2"/>
        <v/>
      </c>
      <c r="O137" s="36" t="str">
        <f t="shared" si="3"/>
        <v/>
      </c>
      <c r="P137" s="15"/>
      <c r="Q137" s="37" t="str">
        <f t="shared" si="4"/>
        <v/>
      </c>
      <c r="R137" s="37" t="str">
        <f t="shared" si="5"/>
        <v/>
      </c>
      <c r="S137" s="32" t="str">
        <f t="shared" si="6"/>
        <v/>
      </c>
      <c r="T137" s="37" t="str">
        <f t="shared" si="7"/>
        <v/>
      </c>
      <c r="U137" s="37" t="str">
        <f t="array" ref="U137">IF($F137="","",IFERROR(INDEX(Config!$F:$F,MATCH($F137,Config!$D:$D,0)),0))</f>
        <v/>
      </c>
    </row>
    <row r="138" ht="15.0" customHeight="1">
      <c r="A138" s="34"/>
      <c r="B138" s="35"/>
      <c r="C138" s="15"/>
      <c r="D138" s="15"/>
      <c r="E138" s="15"/>
      <c r="F138" s="15"/>
      <c r="G138" s="36" t="str">
        <f t="array" ref="G138">IF($F138="","",IFERROR(INDEX(Config!$E:$E,MATCH($F138,Config!$D:$D,0)),0))</f>
        <v/>
      </c>
      <c r="H138" s="16"/>
      <c r="I138" s="36" t="str">
        <f t="shared" si="1"/>
        <v/>
      </c>
      <c r="J138" s="16"/>
      <c r="K138" s="15"/>
      <c r="L138" s="15"/>
      <c r="M138" s="36" t="str">
        <f t="array" ref="M138">IF($A138="","",IF($L138="Atendido",IFERROR($I138*INDEX(Config!$B:$B,MATCH($C138,Config!$A:$A,0)),0),0))</f>
        <v/>
      </c>
      <c r="N138" s="36" t="str">
        <f t="shared" si="2"/>
        <v/>
      </c>
      <c r="O138" s="36" t="str">
        <f t="shared" si="3"/>
        <v/>
      </c>
      <c r="P138" s="15"/>
      <c r="Q138" s="37" t="str">
        <f t="shared" si="4"/>
        <v/>
      </c>
      <c r="R138" s="37" t="str">
        <f t="shared" si="5"/>
        <v/>
      </c>
      <c r="S138" s="32" t="str">
        <f t="shared" si="6"/>
        <v/>
      </c>
      <c r="T138" s="37" t="str">
        <f t="shared" si="7"/>
        <v/>
      </c>
      <c r="U138" s="37" t="str">
        <f t="array" ref="U138">IF($F138="","",IFERROR(INDEX(Config!$F:$F,MATCH($F138,Config!$D:$D,0)),0))</f>
        <v/>
      </c>
    </row>
    <row r="139" ht="15.0" customHeight="1">
      <c r="A139" s="34"/>
      <c r="B139" s="35"/>
      <c r="C139" s="15"/>
      <c r="D139" s="15"/>
      <c r="E139" s="15"/>
      <c r="F139" s="15"/>
      <c r="G139" s="36" t="str">
        <f t="array" ref="G139">IF($F139="","",IFERROR(INDEX(Config!$E:$E,MATCH($F139,Config!$D:$D,0)),0))</f>
        <v/>
      </c>
      <c r="H139" s="16"/>
      <c r="I139" s="36" t="str">
        <f t="shared" si="1"/>
        <v/>
      </c>
      <c r="J139" s="16"/>
      <c r="K139" s="15"/>
      <c r="L139" s="15"/>
      <c r="M139" s="36" t="str">
        <f t="array" ref="M139">IF($A139="","",IF($L139="Atendido",IFERROR($I139*INDEX(Config!$B:$B,MATCH($C139,Config!$A:$A,0)),0),0))</f>
        <v/>
      </c>
      <c r="N139" s="36" t="str">
        <f t="shared" si="2"/>
        <v/>
      </c>
      <c r="O139" s="36" t="str">
        <f t="shared" si="3"/>
        <v/>
      </c>
      <c r="P139" s="15"/>
      <c r="Q139" s="37" t="str">
        <f t="shared" si="4"/>
        <v/>
      </c>
      <c r="R139" s="37" t="str">
        <f t="shared" si="5"/>
        <v/>
      </c>
      <c r="S139" s="32" t="str">
        <f t="shared" si="6"/>
        <v/>
      </c>
      <c r="T139" s="37" t="str">
        <f t="shared" si="7"/>
        <v/>
      </c>
      <c r="U139" s="37" t="str">
        <f t="array" ref="U139">IF($F139="","",IFERROR(INDEX(Config!$F:$F,MATCH($F139,Config!$D:$D,0)),0))</f>
        <v/>
      </c>
    </row>
    <row r="140" ht="15.0" customHeight="1">
      <c r="A140" s="34"/>
      <c r="B140" s="35"/>
      <c r="C140" s="15"/>
      <c r="D140" s="15"/>
      <c r="E140" s="15"/>
      <c r="F140" s="15"/>
      <c r="G140" s="36" t="str">
        <f t="array" ref="G140">IF($F140="","",IFERROR(INDEX(Config!$E:$E,MATCH($F140,Config!$D:$D,0)),0))</f>
        <v/>
      </c>
      <c r="H140" s="16"/>
      <c r="I140" s="36" t="str">
        <f t="shared" si="1"/>
        <v/>
      </c>
      <c r="J140" s="16"/>
      <c r="K140" s="15"/>
      <c r="L140" s="15"/>
      <c r="M140" s="36" t="str">
        <f t="array" ref="M140">IF($A140="","",IF($L140="Atendido",IFERROR($I140*INDEX(Config!$B:$B,MATCH($C140,Config!$A:$A,0)),0),0))</f>
        <v/>
      </c>
      <c r="N140" s="36" t="str">
        <f t="shared" si="2"/>
        <v/>
      </c>
      <c r="O140" s="36" t="str">
        <f t="shared" si="3"/>
        <v/>
      </c>
      <c r="P140" s="15"/>
      <c r="Q140" s="37" t="str">
        <f t="shared" si="4"/>
        <v/>
      </c>
      <c r="R140" s="37" t="str">
        <f t="shared" si="5"/>
        <v/>
      </c>
      <c r="S140" s="32" t="str">
        <f t="shared" si="6"/>
        <v/>
      </c>
      <c r="T140" s="37" t="str">
        <f t="shared" si="7"/>
        <v/>
      </c>
      <c r="U140" s="37" t="str">
        <f t="array" ref="U140">IF($F140="","",IFERROR(INDEX(Config!$F:$F,MATCH($F140,Config!$D:$D,0)),0))</f>
        <v/>
      </c>
    </row>
    <row r="141" ht="15.0" customHeight="1">
      <c r="A141" s="34"/>
      <c r="B141" s="35"/>
      <c r="C141" s="15"/>
      <c r="D141" s="15"/>
      <c r="E141" s="15"/>
      <c r="F141" s="15"/>
      <c r="G141" s="36" t="str">
        <f t="array" ref="G141">IF($F141="","",IFERROR(INDEX(Config!$E:$E,MATCH($F141,Config!$D:$D,0)),0))</f>
        <v/>
      </c>
      <c r="H141" s="16"/>
      <c r="I141" s="36" t="str">
        <f t="shared" si="1"/>
        <v/>
      </c>
      <c r="J141" s="16"/>
      <c r="K141" s="15"/>
      <c r="L141" s="15"/>
      <c r="M141" s="36" t="str">
        <f t="array" ref="M141">IF($A141="","",IF($L141="Atendido",IFERROR($I141*INDEX(Config!$B:$B,MATCH($C141,Config!$A:$A,0)),0),0))</f>
        <v/>
      </c>
      <c r="N141" s="36" t="str">
        <f t="shared" si="2"/>
        <v/>
      </c>
      <c r="O141" s="36" t="str">
        <f t="shared" si="3"/>
        <v/>
      </c>
      <c r="P141" s="15"/>
      <c r="Q141" s="37" t="str">
        <f t="shared" si="4"/>
        <v/>
      </c>
      <c r="R141" s="37" t="str">
        <f t="shared" si="5"/>
        <v/>
      </c>
      <c r="S141" s="32" t="str">
        <f t="shared" si="6"/>
        <v/>
      </c>
      <c r="T141" s="37" t="str">
        <f t="shared" si="7"/>
        <v/>
      </c>
      <c r="U141" s="37" t="str">
        <f t="array" ref="U141">IF($F141="","",IFERROR(INDEX(Config!$F:$F,MATCH($F141,Config!$D:$D,0)),0))</f>
        <v/>
      </c>
    </row>
    <row r="142" ht="15.0" customHeight="1">
      <c r="A142" s="34"/>
      <c r="B142" s="35"/>
      <c r="C142" s="15"/>
      <c r="D142" s="15"/>
      <c r="E142" s="15"/>
      <c r="F142" s="15"/>
      <c r="G142" s="36" t="str">
        <f t="array" ref="G142">IF($F142="","",IFERROR(INDEX(Config!$E:$E,MATCH($F142,Config!$D:$D,0)),0))</f>
        <v/>
      </c>
      <c r="H142" s="16"/>
      <c r="I142" s="36" t="str">
        <f t="shared" si="1"/>
        <v/>
      </c>
      <c r="J142" s="16"/>
      <c r="K142" s="15"/>
      <c r="L142" s="15"/>
      <c r="M142" s="36" t="str">
        <f t="array" ref="M142">IF($A142="","",IF($L142="Atendido",IFERROR($I142*INDEX(Config!$B:$B,MATCH($C142,Config!$A:$A,0)),0),0))</f>
        <v/>
      </c>
      <c r="N142" s="36" t="str">
        <f t="shared" si="2"/>
        <v/>
      </c>
      <c r="O142" s="36" t="str">
        <f t="shared" si="3"/>
        <v/>
      </c>
      <c r="P142" s="15"/>
      <c r="Q142" s="37" t="str">
        <f t="shared" si="4"/>
        <v/>
      </c>
      <c r="R142" s="37" t="str">
        <f t="shared" si="5"/>
        <v/>
      </c>
      <c r="S142" s="32" t="str">
        <f t="shared" si="6"/>
        <v/>
      </c>
      <c r="T142" s="37" t="str">
        <f t="shared" si="7"/>
        <v/>
      </c>
      <c r="U142" s="37" t="str">
        <f t="array" ref="U142">IF($F142="","",IFERROR(INDEX(Config!$F:$F,MATCH($F142,Config!$D:$D,0)),0))</f>
        <v/>
      </c>
    </row>
    <row r="143" ht="15.0" customHeight="1">
      <c r="A143" s="34"/>
      <c r="B143" s="35"/>
      <c r="C143" s="15"/>
      <c r="D143" s="15"/>
      <c r="E143" s="15"/>
      <c r="F143" s="15"/>
      <c r="G143" s="36" t="str">
        <f t="array" ref="G143">IF($F143="","",IFERROR(INDEX(Config!$E:$E,MATCH($F143,Config!$D:$D,0)),0))</f>
        <v/>
      </c>
      <c r="H143" s="16"/>
      <c r="I143" s="36" t="str">
        <f t="shared" si="1"/>
        <v/>
      </c>
      <c r="J143" s="16"/>
      <c r="K143" s="15"/>
      <c r="L143" s="15"/>
      <c r="M143" s="36" t="str">
        <f t="array" ref="M143">IF($A143="","",IF($L143="Atendido",IFERROR($I143*INDEX(Config!$B:$B,MATCH($C143,Config!$A:$A,0)),0),0))</f>
        <v/>
      </c>
      <c r="N143" s="36" t="str">
        <f t="shared" si="2"/>
        <v/>
      </c>
      <c r="O143" s="36" t="str">
        <f t="shared" si="3"/>
        <v/>
      </c>
      <c r="P143" s="15"/>
      <c r="Q143" s="37" t="str">
        <f t="shared" si="4"/>
        <v/>
      </c>
      <c r="R143" s="37" t="str">
        <f t="shared" si="5"/>
        <v/>
      </c>
      <c r="S143" s="32" t="str">
        <f t="shared" si="6"/>
        <v/>
      </c>
      <c r="T143" s="37" t="str">
        <f t="shared" si="7"/>
        <v/>
      </c>
      <c r="U143" s="37" t="str">
        <f t="array" ref="U143">IF($F143="","",IFERROR(INDEX(Config!$F:$F,MATCH($F143,Config!$D:$D,0)),0))</f>
        <v/>
      </c>
    </row>
    <row r="144" ht="15.0" customHeight="1">
      <c r="A144" s="34"/>
      <c r="B144" s="35"/>
      <c r="C144" s="15"/>
      <c r="D144" s="15"/>
      <c r="E144" s="15"/>
      <c r="F144" s="15"/>
      <c r="G144" s="36" t="str">
        <f t="array" ref="G144">IF($F144="","",IFERROR(INDEX(Config!$E:$E,MATCH($F144,Config!$D:$D,0)),0))</f>
        <v/>
      </c>
      <c r="H144" s="16"/>
      <c r="I144" s="36" t="str">
        <f t="shared" si="1"/>
        <v/>
      </c>
      <c r="J144" s="16"/>
      <c r="K144" s="15"/>
      <c r="L144" s="15"/>
      <c r="M144" s="36" t="str">
        <f t="array" ref="M144">IF($A144="","",IF($L144="Atendido",IFERROR($I144*INDEX(Config!$B:$B,MATCH($C144,Config!$A:$A,0)),0),0))</f>
        <v/>
      </c>
      <c r="N144" s="36" t="str">
        <f t="shared" si="2"/>
        <v/>
      </c>
      <c r="O144" s="36" t="str">
        <f t="shared" si="3"/>
        <v/>
      </c>
      <c r="P144" s="15"/>
      <c r="Q144" s="37" t="str">
        <f t="shared" si="4"/>
        <v/>
      </c>
      <c r="R144" s="37" t="str">
        <f t="shared" si="5"/>
        <v/>
      </c>
      <c r="S144" s="32" t="str">
        <f t="shared" si="6"/>
        <v/>
      </c>
      <c r="T144" s="37" t="str">
        <f t="shared" si="7"/>
        <v/>
      </c>
      <c r="U144" s="37" t="str">
        <f t="array" ref="U144">IF($F144="","",IFERROR(INDEX(Config!$F:$F,MATCH($F144,Config!$D:$D,0)),0))</f>
        <v/>
      </c>
    </row>
    <row r="145" ht="15.0" customHeight="1">
      <c r="A145" s="34"/>
      <c r="B145" s="35"/>
      <c r="C145" s="15"/>
      <c r="D145" s="15"/>
      <c r="E145" s="15"/>
      <c r="F145" s="15"/>
      <c r="G145" s="36" t="str">
        <f t="array" ref="G145">IF($F145="","",IFERROR(INDEX(Config!$E:$E,MATCH($F145,Config!$D:$D,0)),0))</f>
        <v/>
      </c>
      <c r="H145" s="16"/>
      <c r="I145" s="36" t="str">
        <f t="shared" si="1"/>
        <v/>
      </c>
      <c r="J145" s="16"/>
      <c r="K145" s="15"/>
      <c r="L145" s="15"/>
      <c r="M145" s="36" t="str">
        <f t="array" ref="M145">IF($A145="","",IF($L145="Atendido",IFERROR($I145*INDEX(Config!$B:$B,MATCH($C145,Config!$A:$A,0)),0),0))</f>
        <v/>
      </c>
      <c r="N145" s="36" t="str">
        <f t="shared" si="2"/>
        <v/>
      </c>
      <c r="O145" s="36" t="str">
        <f t="shared" si="3"/>
        <v/>
      </c>
      <c r="P145" s="15"/>
      <c r="Q145" s="37" t="str">
        <f t="shared" si="4"/>
        <v/>
      </c>
      <c r="R145" s="37" t="str">
        <f t="shared" si="5"/>
        <v/>
      </c>
      <c r="S145" s="32" t="str">
        <f t="shared" si="6"/>
        <v/>
      </c>
      <c r="T145" s="37" t="str">
        <f t="shared" si="7"/>
        <v/>
      </c>
      <c r="U145" s="37" t="str">
        <f t="array" ref="U145">IF($F145="","",IFERROR(INDEX(Config!$F:$F,MATCH($F145,Config!$D:$D,0)),0))</f>
        <v/>
      </c>
    </row>
    <row r="146" ht="15.0" customHeight="1">
      <c r="A146" s="34"/>
      <c r="B146" s="35"/>
      <c r="C146" s="15"/>
      <c r="D146" s="15"/>
      <c r="E146" s="15"/>
      <c r="F146" s="15"/>
      <c r="G146" s="36" t="str">
        <f t="array" ref="G146">IF($F146="","",IFERROR(INDEX(Config!$E:$E,MATCH($F146,Config!$D:$D,0)),0))</f>
        <v/>
      </c>
      <c r="H146" s="16"/>
      <c r="I146" s="36" t="str">
        <f t="shared" si="1"/>
        <v/>
      </c>
      <c r="J146" s="16"/>
      <c r="K146" s="15"/>
      <c r="L146" s="15"/>
      <c r="M146" s="36" t="str">
        <f t="array" ref="M146">IF($A146="","",IF($L146="Atendido",IFERROR($I146*INDEX(Config!$B:$B,MATCH($C146,Config!$A:$A,0)),0),0))</f>
        <v/>
      </c>
      <c r="N146" s="36" t="str">
        <f t="shared" si="2"/>
        <v/>
      </c>
      <c r="O146" s="36" t="str">
        <f t="shared" si="3"/>
        <v/>
      </c>
      <c r="P146" s="15"/>
      <c r="Q146" s="37" t="str">
        <f t="shared" si="4"/>
        <v/>
      </c>
      <c r="R146" s="37" t="str">
        <f t="shared" si="5"/>
        <v/>
      </c>
      <c r="S146" s="32" t="str">
        <f t="shared" si="6"/>
        <v/>
      </c>
      <c r="T146" s="37" t="str">
        <f t="shared" si="7"/>
        <v/>
      </c>
      <c r="U146" s="37" t="str">
        <f t="array" ref="U146">IF($F146="","",IFERROR(INDEX(Config!$F:$F,MATCH($F146,Config!$D:$D,0)),0))</f>
        <v/>
      </c>
    </row>
    <row r="147" ht="15.0" customHeight="1">
      <c r="A147" s="34"/>
      <c r="B147" s="35"/>
      <c r="C147" s="15"/>
      <c r="D147" s="15"/>
      <c r="E147" s="15"/>
      <c r="F147" s="15"/>
      <c r="G147" s="36" t="str">
        <f t="array" ref="G147">IF($F147="","",IFERROR(INDEX(Config!$E:$E,MATCH($F147,Config!$D:$D,0)),0))</f>
        <v/>
      </c>
      <c r="H147" s="16"/>
      <c r="I147" s="36" t="str">
        <f t="shared" si="1"/>
        <v/>
      </c>
      <c r="J147" s="16"/>
      <c r="K147" s="15"/>
      <c r="L147" s="15"/>
      <c r="M147" s="36" t="str">
        <f t="array" ref="M147">IF($A147="","",IF($L147="Atendido",IFERROR($I147*INDEX(Config!$B:$B,MATCH($C147,Config!$A:$A,0)),0),0))</f>
        <v/>
      </c>
      <c r="N147" s="36" t="str">
        <f t="shared" si="2"/>
        <v/>
      </c>
      <c r="O147" s="36" t="str">
        <f t="shared" si="3"/>
        <v/>
      </c>
      <c r="P147" s="15"/>
      <c r="Q147" s="37" t="str">
        <f t="shared" si="4"/>
        <v/>
      </c>
      <c r="R147" s="37" t="str">
        <f t="shared" si="5"/>
        <v/>
      </c>
      <c r="S147" s="32" t="str">
        <f t="shared" si="6"/>
        <v/>
      </c>
      <c r="T147" s="37" t="str">
        <f t="shared" si="7"/>
        <v/>
      </c>
      <c r="U147" s="37" t="str">
        <f t="array" ref="U147">IF($F147="","",IFERROR(INDEX(Config!$F:$F,MATCH($F147,Config!$D:$D,0)),0))</f>
        <v/>
      </c>
    </row>
    <row r="148" ht="15.0" customHeight="1">
      <c r="A148" s="34"/>
      <c r="B148" s="35"/>
      <c r="C148" s="15"/>
      <c r="D148" s="15"/>
      <c r="E148" s="15"/>
      <c r="F148" s="15"/>
      <c r="G148" s="36" t="str">
        <f t="array" ref="G148">IF($F148="","",IFERROR(INDEX(Config!$E:$E,MATCH($F148,Config!$D:$D,0)),0))</f>
        <v/>
      </c>
      <c r="H148" s="16"/>
      <c r="I148" s="36" t="str">
        <f t="shared" si="1"/>
        <v/>
      </c>
      <c r="J148" s="16"/>
      <c r="K148" s="15"/>
      <c r="L148" s="15"/>
      <c r="M148" s="36" t="str">
        <f t="array" ref="M148">IF($A148="","",IF($L148="Atendido",IFERROR($I148*INDEX(Config!$B:$B,MATCH($C148,Config!$A:$A,0)),0),0))</f>
        <v/>
      </c>
      <c r="N148" s="36" t="str">
        <f t="shared" si="2"/>
        <v/>
      </c>
      <c r="O148" s="36" t="str">
        <f t="shared" si="3"/>
        <v/>
      </c>
      <c r="P148" s="15"/>
      <c r="Q148" s="37" t="str">
        <f t="shared" si="4"/>
        <v/>
      </c>
      <c r="R148" s="37" t="str">
        <f t="shared" si="5"/>
        <v/>
      </c>
      <c r="S148" s="32" t="str">
        <f t="shared" si="6"/>
        <v/>
      </c>
      <c r="T148" s="37" t="str">
        <f t="shared" si="7"/>
        <v/>
      </c>
      <c r="U148" s="37" t="str">
        <f t="array" ref="U148">IF($F148="","",IFERROR(INDEX(Config!$F:$F,MATCH($F148,Config!$D:$D,0)),0))</f>
        <v/>
      </c>
    </row>
    <row r="149" ht="15.0" customHeight="1">
      <c r="A149" s="34"/>
      <c r="B149" s="35"/>
      <c r="C149" s="15"/>
      <c r="D149" s="15"/>
      <c r="E149" s="15"/>
      <c r="F149" s="15"/>
      <c r="G149" s="36" t="str">
        <f t="array" ref="G149">IF($F149="","",IFERROR(INDEX(Config!$E:$E,MATCH($F149,Config!$D:$D,0)),0))</f>
        <v/>
      </c>
      <c r="H149" s="16"/>
      <c r="I149" s="36" t="str">
        <f t="shared" si="1"/>
        <v/>
      </c>
      <c r="J149" s="16"/>
      <c r="K149" s="15"/>
      <c r="L149" s="15"/>
      <c r="M149" s="36" t="str">
        <f t="array" ref="M149">IF($A149="","",IF($L149="Atendido",IFERROR($I149*INDEX(Config!$B:$B,MATCH($C149,Config!$A:$A,0)),0),0))</f>
        <v/>
      </c>
      <c r="N149" s="36" t="str">
        <f t="shared" si="2"/>
        <v/>
      </c>
      <c r="O149" s="36" t="str">
        <f t="shared" si="3"/>
        <v/>
      </c>
      <c r="P149" s="15"/>
      <c r="Q149" s="37" t="str">
        <f t="shared" si="4"/>
        <v/>
      </c>
      <c r="R149" s="37" t="str">
        <f t="shared" si="5"/>
        <v/>
      </c>
      <c r="S149" s="32" t="str">
        <f t="shared" si="6"/>
        <v/>
      </c>
      <c r="T149" s="37" t="str">
        <f t="shared" si="7"/>
        <v/>
      </c>
      <c r="U149" s="37" t="str">
        <f t="array" ref="U149">IF($F149="","",IFERROR(INDEX(Config!$F:$F,MATCH($F149,Config!$D:$D,0)),0))</f>
        <v/>
      </c>
    </row>
    <row r="150" ht="15.0" customHeight="1">
      <c r="A150" s="34"/>
      <c r="B150" s="35"/>
      <c r="C150" s="15"/>
      <c r="D150" s="15"/>
      <c r="E150" s="15"/>
      <c r="F150" s="15"/>
      <c r="G150" s="36" t="str">
        <f t="array" ref="G150">IF($F150="","",IFERROR(INDEX(Config!$E:$E,MATCH($F150,Config!$D:$D,0)),0))</f>
        <v/>
      </c>
      <c r="H150" s="16"/>
      <c r="I150" s="36" t="str">
        <f t="shared" si="1"/>
        <v/>
      </c>
      <c r="J150" s="16"/>
      <c r="K150" s="15"/>
      <c r="L150" s="15"/>
      <c r="M150" s="36" t="str">
        <f t="array" ref="M150">IF($A150="","",IF($L150="Atendido",IFERROR($I150*INDEX(Config!$B:$B,MATCH($C150,Config!$A:$A,0)),0),0))</f>
        <v/>
      </c>
      <c r="N150" s="36" t="str">
        <f t="shared" si="2"/>
        <v/>
      </c>
      <c r="O150" s="36" t="str">
        <f t="shared" si="3"/>
        <v/>
      </c>
      <c r="P150" s="15"/>
      <c r="Q150" s="37" t="str">
        <f t="shared" si="4"/>
        <v/>
      </c>
      <c r="R150" s="37" t="str">
        <f t="shared" si="5"/>
        <v/>
      </c>
      <c r="S150" s="32" t="str">
        <f t="shared" si="6"/>
        <v/>
      </c>
      <c r="T150" s="37" t="str">
        <f t="shared" si="7"/>
        <v/>
      </c>
      <c r="U150" s="37" t="str">
        <f t="array" ref="U150">IF($F150="","",IFERROR(INDEX(Config!$F:$F,MATCH($F150,Config!$D:$D,0)),0))</f>
        <v/>
      </c>
    </row>
    <row r="151" ht="15.0" customHeight="1">
      <c r="A151" s="34"/>
      <c r="B151" s="35"/>
      <c r="C151" s="15"/>
      <c r="D151" s="15"/>
      <c r="E151" s="15"/>
      <c r="F151" s="15"/>
      <c r="G151" s="36" t="str">
        <f t="array" ref="G151">IF($F151="","",IFERROR(INDEX(Config!$E:$E,MATCH($F151,Config!$D:$D,0)),0))</f>
        <v/>
      </c>
      <c r="H151" s="16"/>
      <c r="I151" s="36" t="str">
        <f t="shared" si="1"/>
        <v/>
      </c>
      <c r="J151" s="16"/>
      <c r="K151" s="15"/>
      <c r="L151" s="15"/>
      <c r="M151" s="36" t="str">
        <f t="array" ref="M151">IF($A151="","",IF($L151="Atendido",IFERROR($I151*INDEX(Config!$B:$B,MATCH($C151,Config!$A:$A,0)),0),0))</f>
        <v/>
      </c>
      <c r="N151" s="36" t="str">
        <f t="shared" si="2"/>
        <v/>
      </c>
      <c r="O151" s="36" t="str">
        <f t="shared" si="3"/>
        <v/>
      </c>
      <c r="P151" s="15"/>
      <c r="Q151" s="37" t="str">
        <f t="shared" si="4"/>
        <v/>
      </c>
      <c r="R151" s="37" t="str">
        <f t="shared" si="5"/>
        <v/>
      </c>
      <c r="S151" s="32" t="str">
        <f t="shared" si="6"/>
        <v/>
      </c>
      <c r="T151" s="37" t="str">
        <f t="shared" si="7"/>
        <v/>
      </c>
      <c r="U151" s="37" t="str">
        <f t="array" ref="U151">IF($F151="","",IFERROR(INDEX(Config!$F:$F,MATCH($F151,Config!$D:$D,0)),0))</f>
        <v/>
      </c>
    </row>
    <row r="152" ht="15.0" customHeight="1">
      <c r="A152" s="34"/>
      <c r="B152" s="35"/>
      <c r="C152" s="15"/>
      <c r="D152" s="15"/>
      <c r="E152" s="15"/>
      <c r="F152" s="15"/>
      <c r="G152" s="36" t="str">
        <f t="array" ref="G152">IF($F152="","",IFERROR(INDEX(Config!$E:$E,MATCH($F152,Config!$D:$D,0)),0))</f>
        <v/>
      </c>
      <c r="H152" s="16"/>
      <c r="I152" s="36" t="str">
        <f t="shared" si="1"/>
        <v/>
      </c>
      <c r="J152" s="16"/>
      <c r="K152" s="15"/>
      <c r="L152" s="15"/>
      <c r="M152" s="36" t="str">
        <f t="array" ref="M152">IF($A152="","",IF($L152="Atendido",IFERROR($I152*INDEX(Config!$B:$B,MATCH($C152,Config!$A:$A,0)),0),0))</f>
        <v/>
      </c>
      <c r="N152" s="36" t="str">
        <f t="shared" si="2"/>
        <v/>
      </c>
      <c r="O152" s="36" t="str">
        <f t="shared" si="3"/>
        <v/>
      </c>
      <c r="P152" s="15"/>
      <c r="Q152" s="37" t="str">
        <f t="shared" si="4"/>
        <v/>
      </c>
      <c r="R152" s="37" t="str">
        <f t="shared" si="5"/>
        <v/>
      </c>
      <c r="S152" s="32" t="str">
        <f t="shared" si="6"/>
        <v/>
      </c>
      <c r="T152" s="37" t="str">
        <f t="shared" si="7"/>
        <v/>
      </c>
      <c r="U152" s="37" t="str">
        <f t="array" ref="U152">IF($F152="","",IFERROR(INDEX(Config!$F:$F,MATCH($F152,Config!$D:$D,0)),0))</f>
        <v/>
      </c>
    </row>
    <row r="153" ht="15.0" customHeight="1">
      <c r="A153" s="34"/>
      <c r="B153" s="35"/>
      <c r="C153" s="15"/>
      <c r="D153" s="15"/>
      <c r="E153" s="15"/>
      <c r="F153" s="15"/>
      <c r="G153" s="36" t="str">
        <f t="array" ref="G153">IF($F153="","",IFERROR(INDEX(Config!$E:$E,MATCH($F153,Config!$D:$D,0)),0))</f>
        <v/>
      </c>
      <c r="H153" s="16"/>
      <c r="I153" s="36" t="str">
        <f t="shared" si="1"/>
        <v/>
      </c>
      <c r="J153" s="16"/>
      <c r="K153" s="15"/>
      <c r="L153" s="15"/>
      <c r="M153" s="36" t="str">
        <f t="array" ref="M153">IF($A153="","",IF($L153="Atendido",IFERROR($I153*INDEX(Config!$B:$B,MATCH($C153,Config!$A:$A,0)),0),0))</f>
        <v/>
      </c>
      <c r="N153" s="36" t="str">
        <f t="shared" si="2"/>
        <v/>
      </c>
      <c r="O153" s="36" t="str">
        <f t="shared" si="3"/>
        <v/>
      </c>
      <c r="P153" s="15"/>
      <c r="Q153" s="37" t="str">
        <f t="shared" si="4"/>
        <v/>
      </c>
      <c r="R153" s="37" t="str">
        <f t="shared" si="5"/>
        <v/>
      </c>
      <c r="S153" s="32" t="str">
        <f t="shared" si="6"/>
        <v/>
      </c>
      <c r="T153" s="37" t="str">
        <f t="shared" si="7"/>
        <v/>
      </c>
      <c r="U153" s="37" t="str">
        <f t="array" ref="U153">IF($F153="","",IFERROR(INDEX(Config!$F:$F,MATCH($F153,Config!$D:$D,0)),0))</f>
        <v/>
      </c>
    </row>
    <row r="154" ht="15.0" customHeight="1">
      <c r="A154" s="34"/>
      <c r="B154" s="35"/>
      <c r="C154" s="15"/>
      <c r="D154" s="15"/>
      <c r="E154" s="15"/>
      <c r="F154" s="15"/>
      <c r="G154" s="36" t="str">
        <f t="array" ref="G154">IF($F154="","",IFERROR(INDEX(Config!$E:$E,MATCH($F154,Config!$D:$D,0)),0))</f>
        <v/>
      </c>
      <c r="H154" s="16"/>
      <c r="I154" s="36" t="str">
        <f t="shared" si="1"/>
        <v/>
      </c>
      <c r="J154" s="16"/>
      <c r="K154" s="15"/>
      <c r="L154" s="15"/>
      <c r="M154" s="36" t="str">
        <f t="array" ref="M154">IF($A154="","",IF($L154="Atendido",IFERROR($I154*INDEX(Config!$B:$B,MATCH($C154,Config!$A:$A,0)),0),0))</f>
        <v/>
      </c>
      <c r="N154" s="36" t="str">
        <f t="shared" si="2"/>
        <v/>
      </c>
      <c r="O154" s="36" t="str">
        <f t="shared" si="3"/>
        <v/>
      </c>
      <c r="P154" s="15"/>
      <c r="Q154" s="37" t="str">
        <f t="shared" si="4"/>
        <v/>
      </c>
      <c r="R154" s="37" t="str">
        <f t="shared" si="5"/>
        <v/>
      </c>
      <c r="S154" s="32" t="str">
        <f t="shared" si="6"/>
        <v/>
      </c>
      <c r="T154" s="37" t="str">
        <f t="shared" si="7"/>
        <v/>
      </c>
      <c r="U154" s="37" t="str">
        <f t="array" ref="U154">IF($F154="","",IFERROR(INDEX(Config!$F:$F,MATCH($F154,Config!$D:$D,0)),0))</f>
        <v/>
      </c>
    </row>
    <row r="155" ht="15.0" customHeight="1">
      <c r="A155" s="34"/>
      <c r="B155" s="35"/>
      <c r="C155" s="15"/>
      <c r="D155" s="15"/>
      <c r="E155" s="15"/>
      <c r="F155" s="15"/>
      <c r="G155" s="36" t="str">
        <f t="array" ref="G155">IF($F155="","",IFERROR(INDEX(Config!$E:$E,MATCH($F155,Config!$D:$D,0)),0))</f>
        <v/>
      </c>
      <c r="H155" s="16"/>
      <c r="I155" s="36" t="str">
        <f t="shared" si="1"/>
        <v/>
      </c>
      <c r="J155" s="16"/>
      <c r="K155" s="15"/>
      <c r="L155" s="15"/>
      <c r="M155" s="36" t="str">
        <f t="array" ref="M155">IF($A155="","",IF($L155="Atendido",IFERROR($I155*INDEX(Config!$B:$B,MATCH($C155,Config!$A:$A,0)),0),0))</f>
        <v/>
      </c>
      <c r="N155" s="36" t="str">
        <f t="shared" si="2"/>
        <v/>
      </c>
      <c r="O155" s="36" t="str">
        <f t="shared" si="3"/>
        <v/>
      </c>
      <c r="P155" s="15"/>
      <c r="Q155" s="37" t="str">
        <f t="shared" si="4"/>
        <v/>
      </c>
      <c r="R155" s="37" t="str">
        <f t="shared" si="5"/>
        <v/>
      </c>
      <c r="S155" s="32" t="str">
        <f t="shared" si="6"/>
        <v/>
      </c>
      <c r="T155" s="37" t="str">
        <f t="shared" si="7"/>
        <v/>
      </c>
      <c r="U155" s="37" t="str">
        <f t="array" ref="U155">IF($F155="","",IFERROR(INDEX(Config!$F:$F,MATCH($F155,Config!$D:$D,0)),0))</f>
        <v/>
      </c>
    </row>
    <row r="156" ht="15.0" customHeight="1">
      <c r="A156" s="34"/>
      <c r="B156" s="35"/>
      <c r="C156" s="15"/>
      <c r="D156" s="15"/>
      <c r="E156" s="15"/>
      <c r="F156" s="15"/>
      <c r="G156" s="36" t="str">
        <f t="array" ref="G156">IF($F156="","",IFERROR(INDEX(Config!$E:$E,MATCH($F156,Config!$D:$D,0)),0))</f>
        <v/>
      </c>
      <c r="H156" s="16"/>
      <c r="I156" s="36" t="str">
        <f t="shared" si="1"/>
        <v/>
      </c>
      <c r="J156" s="16"/>
      <c r="K156" s="15"/>
      <c r="L156" s="15"/>
      <c r="M156" s="36" t="str">
        <f t="array" ref="M156">IF($A156="","",IF($L156="Atendido",IFERROR($I156*INDEX(Config!$B:$B,MATCH($C156,Config!$A:$A,0)),0),0))</f>
        <v/>
      </c>
      <c r="N156" s="36" t="str">
        <f t="shared" si="2"/>
        <v/>
      </c>
      <c r="O156" s="36" t="str">
        <f t="shared" si="3"/>
        <v/>
      </c>
      <c r="P156" s="15"/>
      <c r="Q156" s="37" t="str">
        <f t="shared" si="4"/>
        <v/>
      </c>
      <c r="R156" s="37" t="str">
        <f t="shared" si="5"/>
        <v/>
      </c>
      <c r="S156" s="32" t="str">
        <f t="shared" si="6"/>
        <v/>
      </c>
      <c r="T156" s="37" t="str">
        <f t="shared" si="7"/>
        <v/>
      </c>
      <c r="U156" s="37" t="str">
        <f t="array" ref="U156">IF($F156="","",IFERROR(INDEX(Config!$F:$F,MATCH($F156,Config!$D:$D,0)),0))</f>
        <v/>
      </c>
    </row>
    <row r="157" ht="15.0" customHeight="1">
      <c r="A157" s="34"/>
      <c r="B157" s="35"/>
      <c r="C157" s="15"/>
      <c r="D157" s="15"/>
      <c r="E157" s="15"/>
      <c r="F157" s="15"/>
      <c r="G157" s="36" t="str">
        <f t="array" ref="G157">IF($F157="","",IFERROR(INDEX(Config!$E:$E,MATCH($F157,Config!$D:$D,0)),0))</f>
        <v/>
      </c>
      <c r="H157" s="16"/>
      <c r="I157" s="36" t="str">
        <f t="shared" si="1"/>
        <v/>
      </c>
      <c r="J157" s="16"/>
      <c r="K157" s="15"/>
      <c r="L157" s="15"/>
      <c r="M157" s="36" t="str">
        <f t="array" ref="M157">IF($A157="","",IF($L157="Atendido",IFERROR($I157*INDEX(Config!$B:$B,MATCH($C157,Config!$A:$A,0)),0),0))</f>
        <v/>
      </c>
      <c r="N157" s="36" t="str">
        <f t="shared" si="2"/>
        <v/>
      </c>
      <c r="O157" s="36" t="str">
        <f t="shared" si="3"/>
        <v/>
      </c>
      <c r="P157" s="15"/>
      <c r="Q157" s="37" t="str">
        <f t="shared" si="4"/>
        <v/>
      </c>
      <c r="R157" s="37" t="str">
        <f t="shared" si="5"/>
        <v/>
      </c>
      <c r="S157" s="32" t="str">
        <f t="shared" si="6"/>
        <v/>
      </c>
      <c r="T157" s="37" t="str">
        <f t="shared" si="7"/>
        <v/>
      </c>
      <c r="U157" s="37" t="str">
        <f t="array" ref="U157">IF($F157="","",IFERROR(INDEX(Config!$F:$F,MATCH($F157,Config!$D:$D,0)),0))</f>
        <v/>
      </c>
    </row>
    <row r="158" ht="15.0" customHeight="1">
      <c r="A158" s="34"/>
      <c r="B158" s="35"/>
      <c r="C158" s="15"/>
      <c r="D158" s="15"/>
      <c r="E158" s="15"/>
      <c r="F158" s="15"/>
      <c r="G158" s="36" t="str">
        <f t="array" ref="G158">IF($F158="","",IFERROR(INDEX(Config!$E:$E,MATCH($F158,Config!$D:$D,0)),0))</f>
        <v/>
      </c>
      <c r="H158" s="16"/>
      <c r="I158" s="36" t="str">
        <f t="shared" si="1"/>
        <v/>
      </c>
      <c r="J158" s="16"/>
      <c r="K158" s="15"/>
      <c r="L158" s="15"/>
      <c r="M158" s="36" t="str">
        <f t="array" ref="M158">IF($A158="","",IF($L158="Atendido",IFERROR($I158*INDEX(Config!$B:$B,MATCH($C158,Config!$A:$A,0)),0),0))</f>
        <v/>
      </c>
      <c r="N158" s="36" t="str">
        <f t="shared" si="2"/>
        <v/>
      </c>
      <c r="O158" s="36" t="str">
        <f t="shared" si="3"/>
        <v/>
      </c>
      <c r="P158" s="15"/>
      <c r="Q158" s="37" t="str">
        <f t="shared" si="4"/>
        <v/>
      </c>
      <c r="R158" s="37" t="str">
        <f t="shared" si="5"/>
        <v/>
      </c>
      <c r="S158" s="32" t="str">
        <f t="shared" si="6"/>
        <v/>
      </c>
      <c r="T158" s="37" t="str">
        <f t="shared" si="7"/>
        <v/>
      </c>
      <c r="U158" s="37" t="str">
        <f t="array" ref="U158">IF($F158="","",IFERROR(INDEX(Config!$F:$F,MATCH($F158,Config!$D:$D,0)),0))</f>
        <v/>
      </c>
    </row>
    <row r="159" ht="15.0" customHeight="1">
      <c r="A159" s="34"/>
      <c r="B159" s="35"/>
      <c r="C159" s="15"/>
      <c r="D159" s="15"/>
      <c r="E159" s="15"/>
      <c r="F159" s="15"/>
      <c r="G159" s="36" t="str">
        <f t="array" ref="G159">IF($F159="","",IFERROR(INDEX(Config!$E:$E,MATCH($F159,Config!$D:$D,0)),0))</f>
        <v/>
      </c>
      <c r="H159" s="16"/>
      <c r="I159" s="36" t="str">
        <f t="shared" si="1"/>
        <v/>
      </c>
      <c r="J159" s="16"/>
      <c r="K159" s="15"/>
      <c r="L159" s="15"/>
      <c r="M159" s="36" t="str">
        <f t="array" ref="M159">IF($A159="","",IF($L159="Atendido",IFERROR($I159*INDEX(Config!$B:$B,MATCH($C159,Config!$A:$A,0)),0),0))</f>
        <v/>
      </c>
      <c r="N159" s="36" t="str">
        <f t="shared" si="2"/>
        <v/>
      </c>
      <c r="O159" s="36" t="str">
        <f t="shared" si="3"/>
        <v/>
      </c>
      <c r="P159" s="15"/>
      <c r="Q159" s="37" t="str">
        <f t="shared" si="4"/>
        <v/>
      </c>
      <c r="R159" s="37" t="str">
        <f t="shared" si="5"/>
        <v/>
      </c>
      <c r="S159" s="32" t="str">
        <f t="shared" si="6"/>
        <v/>
      </c>
      <c r="T159" s="37" t="str">
        <f t="shared" si="7"/>
        <v/>
      </c>
      <c r="U159" s="37" t="str">
        <f t="array" ref="U159">IF($F159="","",IFERROR(INDEX(Config!$F:$F,MATCH($F159,Config!$D:$D,0)),0))</f>
        <v/>
      </c>
    </row>
    <row r="160" ht="15.0" customHeight="1">
      <c r="A160" s="34"/>
      <c r="B160" s="35"/>
      <c r="C160" s="15"/>
      <c r="D160" s="15"/>
      <c r="E160" s="15"/>
      <c r="F160" s="15"/>
      <c r="G160" s="36" t="str">
        <f t="array" ref="G160">IF($F160="","",IFERROR(INDEX(Config!$E:$E,MATCH($F160,Config!$D:$D,0)),0))</f>
        <v/>
      </c>
      <c r="H160" s="16"/>
      <c r="I160" s="36" t="str">
        <f t="shared" si="1"/>
        <v/>
      </c>
      <c r="J160" s="16"/>
      <c r="K160" s="15"/>
      <c r="L160" s="15"/>
      <c r="M160" s="36" t="str">
        <f t="array" ref="M160">IF($A160="","",IF($L160="Atendido",IFERROR($I160*INDEX(Config!$B:$B,MATCH($C160,Config!$A:$A,0)),0),0))</f>
        <v/>
      </c>
      <c r="N160" s="36" t="str">
        <f t="shared" si="2"/>
        <v/>
      </c>
      <c r="O160" s="36" t="str">
        <f t="shared" si="3"/>
        <v/>
      </c>
      <c r="P160" s="15"/>
      <c r="Q160" s="37" t="str">
        <f t="shared" si="4"/>
        <v/>
      </c>
      <c r="R160" s="37" t="str">
        <f t="shared" si="5"/>
        <v/>
      </c>
      <c r="S160" s="32" t="str">
        <f t="shared" si="6"/>
        <v/>
      </c>
      <c r="T160" s="37" t="str">
        <f t="shared" si="7"/>
        <v/>
      </c>
      <c r="U160" s="37" t="str">
        <f t="array" ref="U160">IF($F160="","",IFERROR(INDEX(Config!$F:$F,MATCH($F160,Config!$D:$D,0)),0))</f>
        <v/>
      </c>
    </row>
    <row r="161" ht="15.0" customHeight="1">
      <c r="A161" s="34"/>
      <c r="B161" s="35"/>
      <c r="C161" s="15"/>
      <c r="D161" s="15"/>
      <c r="E161" s="15"/>
      <c r="F161" s="15"/>
      <c r="G161" s="36" t="str">
        <f t="array" ref="G161">IF($F161="","",IFERROR(INDEX(Config!$E:$E,MATCH($F161,Config!$D:$D,0)),0))</f>
        <v/>
      </c>
      <c r="H161" s="16"/>
      <c r="I161" s="36" t="str">
        <f t="shared" si="1"/>
        <v/>
      </c>
      <c r="J161" s="16"/>
      <c r="K161" s="15"/>
      <c r="L161" s="15"/>
      <c r="M161" s="36" t="str">
        <f t="array" ref="M161">IF($A161="","",IF($L161="Atendido",IFERROR($I161*INDEX(Config!$B:$B,MATCH($C161,Config!$A:$A,0)),0),0))</f>
        <v/>
      </c>
      <c r="N161" s="36" t="str">
        <f t="shared" si="2"/>
        <v/>
      </c>
      <c r="O161" s="36" t="str">
        <f t="shared" si="3"/>
        <v/>
      </c>
      <c r="P161" s="15"/>
      <c r="Q161" s="37" t="str">
        <f t="shared" si="4"/>
        <v/>
      </c>
      <c r="R161" s="37" t="str">
        <f t="shared" si="5"/>
        <v/>
      </c>
      <c r="S161" s="32" t="str">
        <f t="shared" si="6"/>
        <v/>
      </c>
      <c r="T161" s="37" t="str">
        <f t="shared" si="7"/>
        <v/>
      </c>
      <c r="U161" s="37" t="str">
        <f t="array" ref="U161">IF($F161="","",IFERROR(INDEX(Config!$F:$F,MATCH($F161,Config!$D:$D,0)),0))</f>
        <v/>
      </c>
    </row>
    <row r="162" ht="15.0" customHeight="1">
      <c r="A162" s="34"/>
      <c r="B162" s="35"/>
      <c r="C162" s="15"/>
      <c r="D162" s="15"/>
      <c r="E162" s="15"/>
      <c r="F162" s="15"/>
      <c r="G162" s="36" t="str">
        <f t="array" ref="G162">IF($F162="","",IFERROR(INDEX(Config!$E:$E,MATCH($F162,Config!$D:$D,0)),0))</f>
        <v/>
      </c>
      <c r="H162" s="16"/>
      <c r="I162" s="36" t="str">
        <f t="shared" si="1"/>
        <v/>
      </c>
      <c r="J162" s="16"/>
      <c r="K162" s="15"/>
      <c r="L162" s="15"/>
      <c r="M162" s="36" t="str">
        <f t="array" ref="M162">IF($A162="","",IF($L162="Atendido",IFERROR($I162*INDEX(Config!$B:$B,MATCH($C162,Config!$A:$A,0)),0),0))</f>
        <v/>
      </c>
      <c r="N162" s="36" t="str">
        <f t="shared" si="2"/>
        <v/>
      </c>
      <c r="O162" s="36" t="str">
        <f t="shared" si="3"/>
        <v/>
      </c>
      <c r="P162" s="15"/>
      <c r="Q162" s="37" t="str">
        <f t="shared" si="4"/>
        <v/>
      </c>
      <c r="R162" s="37" t="str">
        <f t="shared" si="5"/>
        <v/>
      </c>
      <c r="S162" s="32" t="str">
        <f t="shared" si="6"/>
        <v/>
      </c>
      <c r="T162" s="37" t="str">
        <f t="shared" si="7"/>
        <v/>
      </c>
      <c r="U162" s="37" t="str">
        <f t="array" ref="U162">IF($F162="","",IFERROR(INDEX(Config!$F:$F,MATCH($F162,Config!$D:$D,0)),0))</f>
        <v/>
      </c>
    </row>
    <row r="163" ht="15.0" customHeight="1">
      <c r="A163" s="34"/>
      <c r="B163" s="35"/>
      <c r="C163" s="15"/>
      <c r="D163" s="15"/>
      <c r="E163" s="15"/>
      <c r="F163" s="15"/>
      <c r="G163" s="36" t="str">
        <f t="array" ref="G163">IF($F163="","",IFERROR(INDEX(Config!$E:$E,MATCH($F163,Config!$D:$D,0)),0))</f>
        <v/>
      </c>
      <c r="H163" s="16"/>
      <c r="I163" s="36" t="str">
        <f t="shared" si="1"/>
        <v/>
      </c>
      <c r="J163" s="16"/>
      <c r="K163" s="15"/>
      <c r="L163" s="15"/>
      <c r="M163" s="36" t="str">
        <f t="array" ref="M163">IF($A163="","",IF($L163="Atendido",IFERROR($I163*INDEX(Config!$B:$B,MATCH($C163,Config!$A:$A,0)),0),0))</f>
        <v/>
      </c>
      <c r="N163" s="36" t="str">
        <f t="shared" si="2"/>
        <v/>
      </c>
      <c r="O163" s="36" t="str">
        <f t="shared" si="3"/>
        <v/>
      </c>
      <c r="P163" s="15"/>
      <c r="Q163" s="37" t="str">
        <f t="shared" si="4"/>
        <v/>
      </c>
      <c r="R163" s="37" t="str">
        <f t="shared" si="5"/>
        <v/>
      </c>
      <c r="S163" s="32" t="str">
        <f t="shared" si="6"/>
        <v/>
      </c>
      <c r="T163" s="37" t="str">
        <f t="shared" si="7"/>
        <v/>
      </c>
      <c r="U163" s="37" t="str">
        <f t="array" ref="U163">IF($F163="","",IFERROR(INDEX(Config!$F:$F,MATCH($F163,Config!$D:$D,0)),0))</f>
        <v/>
      </c>
    </row>
    <row r="164" ht="15.0" customHeight="1">
      <c r="A164" s="34"/>
      <c r="B164" s="35"/>
      <c r="C164" s="15"/>
      <c r="D164" s="15"/>
      <c r="E164" s="15"/>
      <c r="F164" s="15"/>
      <c r="G164" s="36" t="str">
        <f t="array" ref="G164">IF($F164="","",IFERROR(INDEX(Config!$E:$E,MATCH($F164,Config!$D:$D,0)),0))</f>
        <v/>
      </c>
      <c r="H164" s="16"/>
      <c r="I164" s="36" t="str">
        <f t="shared" si="1"/>
        <v/>
      </c>
      <c r="J164" s="16"/>
      <c r="K164" s="15"/>
      <c r="L164" s="15"/>
      <c r="M164" s="36" t="str">
        <f t="array" ref="M164">IF($A164="","",IF($L164="Atendido",IFERROR($I164*INDEX(Config!$B:$B,MATCH($C164,Config!$A:$A,0)),0),0))</f>
        <v/>
      </c>
      <c r="N164" s="36" t="str">
        <f t="shared" si="2"/>
        <v/>
      </c>
      <c r="O164" s="36" t="str">
        <f t="shared" si="3"/>
        <v/>
      </c>
      <c r="P164" s="15"/>
      <c r="Q164" s="37" t="str">
        <f t="shared" si="4"/>
        <v/>
      </c>
      <c r="R164" s="37" t="str">
        <f t="shared" si="5"/>
        <v/>
      </c>
      <c r="S164" s="32" t="str">
        <f t="shared" si="6"/>
        <v/>
      </c>
      <c r="T164" s="37" t="str">
        <f t="shared" si="7"/>
        <v/>
      </c>
      <c r="U164" s="37" t="str">
        <f t="array" ref="U164">IF($F164="","",IFERROR(INDEX(Config!$F:$F,MATCH($F164,Config!$D:$D,0)),0))</f>
        <v/>
      </c>
    </row>
    <row r="165" ht="15.0" customHeight="1">
      <c r="A165" s="34"/>
      <c r="B165" s="35"/>
      <c r="C165" s="15"/>
      <c r="D165" s="15"/>
      <c r="E165" s="15"/>
      <c r="F165" s="15"/>
      <c r="G165" s="36" t="str">
        <f t="array" ref="G165">IF($F165="","",IFERROR(INDEX(Config!$E:$E,MATCH($F165,Config!$D:$D,0)),0))</f>
        <v/>
      </c>
      <c r="H165" s="16"/>
      <c r="I165" s="36" t="str">
        <f t="shared" si="1"/>
        <v/>
      </c>
      <c r="J165" s="16"/>
      <c r="K165" s="15"/>
      <c r="L165" s="15"/>
      <c r="M165" s="36" t="str">
        <f t="array" ref="M165">IF($A165="","",IF($L165="Atendido",IFERROR($I165*INDEX(Config!$B:$B,MATCH($C165,Config!$A:$A,0)),0),0))</f>
        <v/>
      </c>
      <c r="N165" s="36" t="str">
        <f t="shared" si="2"/>
        <v/>
      </c>
      <c r="O165" s="36" t="str">
        <f t="shared" si="3"/>
        <v/>
      </c>
      <c r="P165" s="15"/>
      <c r="Q165" s="37" t="str">
        <f t="shared" si="4"/>
        <v/>
      </c>
      <c r="R165" s="37" t="str">
        <f t="shared" si="5"/>
        <v/>
      </c>
      <c r="S165" s="32" t="str">
        <f t="shared" si="6"/>
        <v/>
      </c>
      <c r="T165" s="37" t="str">
        <f t="shared" si="7"/>
        <v/>
      </c>
      <c r="U165" s="37" t="str">
        <f t="array" ref="U165">IF($F165="","",IFERROR(INDEX(Config!$F:$F,MATCH($F165,Config!$D:$D,0)),0))</f>
        <v/>
      </c>
    </row>
    <row r="166" ht="15.0" customHeight="1">
      <c r="A166" s="34"/>
      <c r="B166" s="35"/>
      <c r="C166" s="15"/>
      <c r="D166" s="15"/>
      <c r="E166" s="15"/>
      <c r="F166" s="15"/>
      <c r="G166" s="36" t="str">
        <f t="array" ref="G166">IF($F166="","",IFERROR(INDEX(Config!$E:$E,MATCH($F166,Config!$D:$D,0)),0))</f>
        <v/>
      </c>
      <c r="H166" s="16"/>
      <c r="I166" s="36" t="str">
        <f t="shared" si="1"/>
        <v/>
      </c>
      <c r="J166" s="16"/>
      <c r="K166" s="15"/>
      <c r="L166" s="15"/>
      <c r="M166" s="36" t="str">
        <f t="array" ref="M166">IF($A166="","",IF($L166="Atendido",IFERROR($I166*INDEX(Config!$B:$B,MATCH($C166,Config!$A:$A,0)),0),0))</f>
        <v/>
      </c>
      <c r="N166" s="36" t="str">
        <f t="shared" si="2"/>
        <v/>
      </c>
      <c r="O166" s="36" t="str">
        <f t="shared" si="3"/>
        <v/>
      </c>
      <c r="P166" s="15"/>
      <c r="Q166" s="37" t="str">
        <f t="shared" si="4"/>
        <v/>
      </c>
      <c r="R166" s="37" t="str">
        <f t="shared" si="5"/>
        <v/>
      </c>
      <c r="S166" s="32" t="str">
        <f t="shared" si="6"/>
        <v/>
      </c>
      <c r="T166" s="37" t="str">
        <f t="shared" si="7"/>
        <v/>
      </c>
      <c r="U166" s="37" t="str">
        <f t="array" ref="U166">IF($F166="","",IFERROR(INDEX(Config!$F:$F,MATCH($F166,Config!$D:$D,0)),0))</f>
        <v/>
      </c>
    </row>
    <row r="167" ht="15.0" customHeight="1">
      <c r="A167" s="34"/>
      <c r="B167" s="35"/>
      <c r="C167" s="15"/>
      <c r="D167" s="15"/>
      <c r="E167" s="15"/>
      <c r="F167" s="15"/>
      <c r="G167" s="36" t="str">
        <f t="array" ref="G167">IF($F167="","",IFERROR(INDEX(Config!$E:$E,MATCH($F167,Config!$D:$D,0)),0))</f>
        <v/>
      </c>
      <c r="H167" s="16"/>
      <c r="I167" s="36" t="str">
        <f t="shared" si="1"/>
        <v/>
      </c>
      <c r="J167" s="16"/>
      <c r="K167" s="15"/>
      <c r="L167" s="15"/>
      <c r="M167" s="36" t="str">
        <f t="array" ref="M167">IF($A167="","",IF($L167="Atendido",IFERROR($I167*INDEX(Config!$B:$B,MATCH($C167,Config!$A:$A,0)),0),0))</f>
        <v/>
      </c>
      <c r="N167" s="36" t="str">
        <f t="shared" si="2"/>
        <v/>
      </c>
      <c r="O167" s="36" t="str">
        <f t="shared" si="3"/>
        <v/>
      </c>
      <c r="P167" s="15"/>
      <c r="Q167" s="37" t="str">
        <f t="shared" si="4"/>
        <v/>
      </c>
      <c r="R167" s="37" t="str">
        <f t="shared" si="5"/>
        <v/>
      </c>
      <c r="S167" s="32" t="str">
        <f t="shared" si="6"/>
        <v/>
      </c>
      <c r="T167" s="37" t="str">
        <f t="shared" si="7"/>
        <v/>
      </c>
      <c r="U167" s="37" t="str">
        <f t="array" ref="U167">IF($F167="","",IFERROR(INDEX(Config!$F:$F,MATCH($F167,Config!$D:$D,0)),0))</f>
        <v/>
      </c>
    </row>
    <row r="168" ht="15.0" customHeight="1">
      <c r="A168" s="34"/>
      <c r="B168" s="35"/>
      <c r="C168" s="15"/>
      <c r="D168" s="15"/>
      <c r="E168" s="15"/>
      <c r="F168" s="15"/>
      <c r="G168" s="36" t="str">
        <f t="array" ref="G168">IF($F168="","",IFERROR(INDEX(Config!$E:$E,MATCH($F168,Config!$D:$D,0)),0))</f>
        <v/>
      </c>
      <c r="H168" s="16"/>
      <c r="I168" s="36" t="str">
        <f t="shared" si="1"/>
        <v/>
      </c>
      <c r="J168" s="16"/>
      <c r="K168" s="15"/>
      <c r="L168" s="15"/>
      <c r="M168" s="36" t="str">
        <f t="array" ref="M168">IF($A168="","",IF($L168="Atendido",IFERROR($I168*INDEX(Config!$B:$B,MATCH($C168,Config!$A:$A,0)),0),0))</f>
        <v/>
      </c>
      <c r="N168" s="36" t="str">
        <f t="shared" si="2"/>
        <v/>
      </c>
      <c r="O168" s="36" t="str">
        <f t="shared" si="3"/>
        <v/>
      </c>
      <c r="P168" s="15"/>
      <c r="Q168" s="37" t="str">
        <f t="shared" si="4"/>
        <v/>
      </c>
      <c r="R168" s="37" t="str">
        <f t="shared" si="5"/>
        <v/>
      </c>
      <c r="S168" s="32" t="str">
        <f t="shared" si="6"/>
        <v/>
      </c>
      <c r="T168" s="37" t="str">
        <f t="shared" si="7"/>
        <v/>
      </c>
      <c r="U168" s="37" t="str">
        <f t="array" ref="U168">IF($F168="","",IFERROR(INDEX(Config!$F:$F,MATCH($F168,Config!$D:$D,0)),0))</f>
        <v/>
      </c>
    </row>
    <row r="169" ht="15.0" customHeight="1">
      <c r="A169" s="34"/>
      <c r="B169" s="35"/>
      <c r="C169" s="15"/>
      <c r="D169" s="15"/>
      <c r="E169" s="15"/>
      <c r="F169" s="15"/>
      <c r="G169" s="36" t="str">
        <f t="array" ref="G169">IF($F169="","",IFERROR(INDEX(Config!$E:$E,MATCH($F169,Config!$D:$D,0)),0))</f>
        <v/>
      </c>
      <c r="H169" s="16"/>
      <c r="I169" s="36" t="str">
        <f t="shared" si="1"/>
        <v/>
      </c>
      <c r="J169" s="16"/>
      <c r="K169" s="15"/>
      <c r="L169" s="15"/>
      <c r="M169" s="36" t="str">
        <f t="array" ref="M169">IF($A169="","",IF($L169="Atendido",IFERROR($I169*INDEX(Config!$B:$B,MATCH($C169,Config!$A:$A,0)),0),0))</f>
        <v/>
      </c>
      <c r="N169" s="36" t="str">
        <f t="shared" si="2"/>
        <v/>
      </c>
      <c r="O169" s="36" t="str">
        <f t="shared" si="3"/>
        <v/>
      </c>
      <c r="P169" s="15"/>
      <c r="Q169" s="37" t="str">
        <f t="shared" si="4"/>
        <v/>
      </c>
      <c r="R169" s="37" t="str">
        <f t="shared" si="5"/>
        <v/>
      </c>
      <c r="S169" s="32" t="str">
        <f t="shared" si="6"/>
        <v/>
      </c>
      <c r="T169" s="37" t="str">
        <f t="shared" si="7"/>
        <v/>
      </c>
      <c r="U169" s="37" t="str">
        <f t="array" ref="U169">IF($F169="","",IFERROR(INDEX(Config!$F:$F,MATCH($F169,Config!$D:$D,0)),0))</f>
        <v/>
      </c>
    </row>
    <row r="170" ht="15.0" customHeight="1">
      <c r="A170" s="34"/>
      <c r="B170" s="35"/>
      <c r="C170" s="15"/>
      <c r="D170" s="15"/>
      <c r="E170" s="15"/>
      <c r="F170" s="15"/>
      <c r="G170" s="36" t="str">
        <f t="array" ref="G170">IF($F170="","",IFERROR(INDEX(Config!$E:$E,MATCH($F170,Config!$D:$D,0)),0))</f>
        <v/>
      </c>
      <c r="H170" s="16"/>
      <c r="I170" s="36" t="str">
        <f t="shared" si="1"/>
        <v/>
      </c>
      <c r="J170" s="16"/>
      <c r="K170" s="15"/>
      <c r="L170" s="15"/>
      <c r="M170" s="36" t="str">
        <f t="array" ref="M170">IF($A170="","",IF($L170="Atendido",IFERROR($I170*INDEX(Config!$B:$B,MATCH($C170,Config!$A:$A,0)),0),0))</f>
        <v/>
      </c>
      <c r="N170" s="36" t="str">
        <f t="shared" si="2"/>
        <v/>
      </c>
      <c r="O170" s="36" t="str">
        <f t="shared" si="3"/>
        <v/>
      </c>
      <c r="P170" s="15"/>
      <c r="Q170" s="37" t="str">
        <f t="shared" si="4"/>
        <v/>
      </c>
      <c r="R170" s="37" t="str">
        <f t="shared" si="5"/>
        <v/>
      </c>
      <c r="S170" s="32" t="str">
        <f t="shared" si="6"/>
        <v/>
      </c>
      <c r="T170" s="37" t="str">
        <f t="shared" si="7"/>
        <v/>
      </c>
      <c r="U170" s="37" t="str">
        <f t="array" ref="U170">IF($F170="","",IFERROR(INDEX(Config!$F:$F,MATCH($F170,Config!$D:$D,0)),0))</f>
        <v/>
      </c>
    </row>
    <row r="171" ht="15.0" customHeight="1">
      <c r="A171" s="34"/>
      <c r="B171" s="35"/>
      <c r="C171" s="15"/>
      <c r="D171" s="15"/>
      <c r="E171" s="15"/>
      <c r="F171" s="15"/>
      <c r="G171" s="36" t="str">
        <f t="array" ref="G171">IF($F171="","",IFERROR(INDEX(Config!$E:$E,MATCH($F171,Config!$D:$D,0)),0))</f>
        <v/>
      </c>
      <c r="H171" s="16"/>
      <c r="I171" s="36" t="str">
        <f t="shared" si="1"/>
        <v/>
      </c>
      <c r="J171" s="16"/>
      <c r="K171" s="15"/>
      <c r="L171" s="15"/>
      <c r="M171" s="36" t="str">
        <f t="array" ref="M171">IF($A171="","",IF($L171="Atendido",IFERROR($I171*INDEX(Config!$B:$B,MATCH($C171,Config!$A:$A,0)),0),0))</f>
        <v/>
      </c>
      <c r="N171" s="36" t="str">
        <f t="shared" si="2"/>
        <v/>
      </c>
      <c r="O171" s="36" t="str">
        <f t="shared" si="3"/>
        <v/>
      </c>
      <c r="P171" s="15"/>
      <c r="Q171" s="37" t="str">
        <f t="shared" si="4"/>
        <v/>
      </c>
      <c r="R171" s="37" t="str">
        <f t="shared" si="5"/>
        <v/>
      </c>
      <c r="S171" s="32" t="str">
        <f t="shared" si="6"/>
        <v/>
      </c>
      <c r="T171" s="37" t="str">
        <f t="shared" si="7"/>
        <v/>
      </c>
      <c r="U171" s="37" t="str">
        <f t="array" ref="U171">IF($F171="","",IFERROR(INDEX(Config!$F:$F,MATCH($F171,Config!$D:$D,0)),0))</f>
        <v/>
      </c>
    </row>
    <row r="172" ht="15.0" customHeight="1">
      <c r="A172" s="34"/>
      <c r="B172" s="35"/>
      <c r="C172" s="15"/>
      <c r="D172" s="15"/>
      <c r="E172" s="15"/>
      <c r="F172" s="15"/>
      <c r="G172" s="36" t="str">
        <f t="array" ref="G172">IF($F172="","",IFERROR(INDEX(Config!$E:$E,MATCH($F172,Config!$D:$D,0)),0))</f>
        <v/>
      </c>
      <c r="H172" s="16"/>
      <c r="I172" s="36" t="str">
        <f t="shared" si="1"/>
        <v/>
      </c>
      <c r="J172" s="16"/>
      <c r="K172" s="15"/>
      <c r="L172" s="15"/>
      <c r="M172" s="36" t="str">
        <f t="array" ref="M172">IF($A172="","",IF($L172="Atendido",IFERROR($I172*INDEX(Config!$B:$B,MATCH($C172,Config!$A:$A,0)),0),0))</f>
        <v/>
      </c>
      <c r="N172" s="36" t="str">
        <f t="shared" si="2"/>
        <v/>
      </c>
      <c r="O172" s="36" t="str">
        <f t="shared" si="3"/>
        <v/>
      </c>
      <c r="P172" s="15"/>
      <c r="Q172" s="37" t="str">
        <f t="shared" si="4"/>
        <v/>
      </c>
      <c r="R172" s="37" t="str">
        <f t="shared" si="5"/>
        <v/>
      </c>
      <c r="S172" s="32" t="str">
        <f t="shared" si="6"/>
        <v/>
      </c>
      <c r="T172" s="37" t="str">
        <f t="shared" si="7"/>
        <v/>
      </c>
      <c r="U172" s="37" t="str">
        <f t="array" ref="U172">IF($F172="","",IFERROR(INDEX(Config!$F:$F,MATCH($F172,Config!$D:$D,0)),0))</f>
        <v/>
      </c>
    </row>
    <row r="173" ht="15.0" customHeight="1">
      <c r="A173" s="34"/>
      <c r="B173" s="35"/>
      <c r="C173" s="15"/>
      <c r="D173" s="15"/>
      <c r="E173" s="15"/>
      <c r="F173" s="15"/>
      <c r="G173" s="36" t="str">
        <f t="array" ref="G173">IF($F173="","",IFERROR(INDEX(Config!$E:$E,MATCH($F173,Config!$D:$D,0)),0))</f>
        <v/>
      </c>
      <c r="H173" s="16"/>
      <c r="I173" s="36" t="str">
        <f t="shared" si="1"/>
        <v/>
      </c>
      <c r="J173" s="16"/>
      <c r="K173" s="15"/>
      <c r="L173" s="15"/>
      <c r="M173" s="36" t="str">
        <f t="array" ref="M173">IF($A173="","",IF($L173="Atendido",IFERROR($I173*INDEX(Config!$B:$B,MATCH($C173,Config!$A:$A,0)),0),0))</f>
        <v/>
      </c>
      <c r="N173" s="36" t="str">
        <f t="shared" si="2"/>
        <v/>
      </c>
      <c r="O173" s="36" t="str">
        <f t="shared" si="3"/>
        <v/>
      </c>
      <c r="P173" s="15"/>
      <c r="Q173" s="37" t="str">
        <f t="shared" si="4"/>
        <v/>
      </c>
      <c r="R173" s="37" t="str">
        <f t="shared" si="5"/>
        <v/>
      </c>
      <c r="S173" s="32" t="str">
        <f t="shared" si="6"/>
        <v/>
      </c>
      <c r="T173" s="37" t="str">
        <f t="shared" si="7"/>
        <v/>
      </c>
      <c r="U173" s="37" t="str">
        <f t="array" ref="U173">IF($F173="","",IFERROR(INDEX(Config!$F:$F,MATCH($F173,Config!$D:$D,0)),0))</f>
        <v/>
      </c>
    </row>
    <row r="174" ht="15.0" customHeight="1">
      <c r="A174" s="34"/>
      <c r="B174" s="35"/>
      <c r="C174" s="15"/>
      <c r="D174" s="15"/>
      <c r="E174" s="15"/>
      <c r="F174" s="15"/>
      <c r="G174" s="36" t="str">
        <f t="array" ref="G174">IF($F174="","",IFERROR(INDEX(Config!$E:$E,MATCH($F174,Config!$D:$D,0)),0))</f>
        <v/>
      </c>
      <c r="H174" s="16"/>
      <c r="I174" s="36" t="str">
        <f t="shared" si="1"/>
        <v/>
      </c>
      <c r="J174" s="16"/>
      <c r="K174" s="15"/>
      <c r="L174" s="15"/>
      <c r="M174" s="36" t="str">
        <f t="array" ref="M174">IF($A174="","",IF($L174="Atendido",IFERROR($I174*INDEX(Config!$B:$B,MATCH($C174,Config!$A:$A,0)),0),0))</f>
        <v/>
      </c>
      <c r="N174" s="36" t="str">
        <f t="shared" si="2"/>
        <v/>
      </c>
      <c r="O174" s="36" t="str">
        <f t="shared" si="3"/>
        <v/>
      </c>
      <c r="P174" s="15"/>
      <c r="Q174" s="37" t="str">
        <f t="shared" si="4"/>
        <v/>
      </c>
      <c r="R174" s="37" t="str">
        <f t="shared" si="5"/>
        <v/>
      </c>
      <c r="S174" s="32" t="str">
        <f t="shared" si="6"/>
        <v/>
      </c>
      <c r="T174" s="37" t="str">
        <f t="shared" si="7"/>
        <v/>
      </c>
      <c r="U174" s="37" t="str">
        <f t="array" ref="U174">IF($F174="","",IFERROR(INDEX(Config!$F:$F,MATCH($F174,Config!$D:$D,0)),0))</f>
        <v/>
      </c>
    </row>
    <row r="175" ht="15.0" customHeight="1">
      <c r="A175" s="34"/>
      <c r="B175" s="35"/>
      <c r="C175" s="15"/>
      <c r="D175" s="15"/>
      <c r="E175" s="15"/>
      <c r="F175" s="15"/>
      <c r="G175" s="36" t="str">
        <f t="array" ref="G175">IF($F175="","",IFERROR(INDEX(Config!$E:$E,MATCH($F175,Config!$D:$D,0)),0))</f>
        <v/>
      </c>
      <c r="H175" s="16"/>
      <c r="I175" s="36" t="str">
        <f t="shared" si="1"/>
        <v/>
      </c>
      <c r="J175" s="16"/>
      <c r="K175" s="15"/>
      <c r="L175" s="15"/>
      <c r="M175" s="36" t="str">
        <f t="array" ref="M175">IF($A175="","",IF($L175="Atendido",IFERROR($I175*INDEX(Config!$B:$B,MATCH($C175,Config!$A:$A,0)),0),0))</f>
        <v/>
      </c>
      <c r="N175" s="36" t="str">
        <f t="shared" si="2"/>
        <v/>
      </c>
      <c r="O175" s="36" t="str">
        <f t="shared" si="3"/>
        <v/>
      </c>
      <c r="P175" s="15"/>
      <c r="Q175" s="37" t="str">
        <f t="shared" si="4"/>
        <v/>
      </c>
      <c r="R175" s="37" t="str">
        <f t="shared" si="5"/>
        <v/>
      </c>
      <c r="S175" s="32" t="str">
        <f t="shared" si="6"/>
        <v/>
      </c>
      <c r="T175" s="37" t="str">
        <f t="shared" si="7"/>
        <v/>
      </c>
      <c r="U175" s="37" t="str">
        <f t="array" ref="U175">IF($F175="","",IFERROR(INDEX(Config!$F:$F,MATCH($F175,Config!$D:$D,0)),0))</f>
        <v/>
      </c>
    </row>
    <row r="176" ht="15.0" customHeight="1">
      <c r="A176" s="34"/>
      <c r="B176" s="35"/>
      <c r="C176" s="15"/>
      <c r="D176" s="15"/>
      <c r="E176" s="15"/>
      <c r="F176" s="15"/>
      <c r="G176" s="36" t="str">
        <f t="array" ref="G176">IF($F176="","",IFERROR(INDEX(Config!$E:$E,MATCH($F176,Config!$D:$D,0)),0))</f>
        <v/>
      </c>
      <c r="H176" s="16"/>
      <c r="I176" s="36" t="str">
        <f t="shared" si="1"/>
        <v/>
      </c>
      <c r="J176" s="16"/>
      <c r="K176" s="15"/>
      <c r="L176" s="15"/>
      <c r="M176" s="36" t="str">
        <f t="array" ref="M176">IF($A176="","",IF($L176="Atendido",IFERROR($I176*INDEX(Config!$B:$B,MATCH($C176,Config!$A:$A,0)),0),0))</f>
        <v/>
      </c>
      <c r="N176" s="36" t="str">
        <f t="shared" si="2"/>
        <v/>
      </c>
      <c r="O176" s="36" t="str">
        <f t="shared" si="3"/>
        <v/>
      </c>
      <c r="P176" s="15"/>
      <c r="Q176" s="37" t="str">
        <f t="shared" si="4"/>
        <v/>
      </c>
      <c r="R176" s="37" t="str">
        <f t="shared" si="5"/>
        <v/>
      </c>
      <c r="S176" s="32" t="str">
        <f t="shared" si="6"/>
        <v/>
      </c>
      <c r="T176" s="37" t="str">
        <f t="shared" si="7"/>
        <v/>
      </c>
      <c r="U176" s="37" t="str">
        <f t="array" ref="U176">IF($F176="","",IFERROR(INDEX(Config!$F:$F,MATCH($F176,Config!$D:$D,0)),0))</f>
        <v/>
      </c>
    </row>
    <row r="177" ht="15.0" customHeight="1">
      <c r="A177" s="34"/>
      <c r="B177" s="35"/>
      <c r="C177" s="15"/>
      <c r="D177" s="15"/>
      <c r="E177" s="15"/>
      <c r="F177" s="15"/>
      <c r="G177" s="36" t="str">
        <f t="array" ref="G177">IF($F177="","",IFERROR(INDEX(Config!$E:$E,MATCH($F177,Config!$D:$D,0)),0))</f>
        <v/>
      </c>
      <c r="H177" s="16"/>
      <c r="I177" s="36" t="str">
        <f t="shared" si="1"/>
        <v/>
      </c>
      <c r="J177" s="16"/>
      <c r="K177" s="15"/>
      <c r="L177" s="15"/>
      <c r="M177" s="36" t="str">
        <f t="array" ref="M177">IF($A177="","",IF($L177="Atendido",IFERROR($I177*INDEX(Config!$B:$B,MATCH($C177,Config!$A:$A,0)),0),0))</f>
        <v/>
      </c>
      <c r="N177" s="36" t="str">
        <f t="shared" si="2"/>
        <v/>
      </c>
      <c r="O177" s="36" t="str">
        <f t="shared" si="3"/>
        <v/>
      </c>
      <c r="P177" s="15"/>
      <c r="Q177" s="37" t="str">
        <f t="shared" si="4"/>
        <v/>
      </c>
      <c r="R177" s="37" t="str">
        <f t="shared" si="5"/>
        <v/>
      </c>
      <c r="S177" s="32" t="str">
        <f t="shared" si="6"/>
        <v/>
      </c>
      <c r="T177" s="37" t="str">
        <f t="shared" si="7"/>
        <v/>
      </c>
      <c r="U177" s="37" t="str">
        <f t="array" ref="U177">IF($F177="","",IFERROR(INDEX(Config!$F:$F,MATCH($F177,Config!$D:$D,0)),0))</f>
        <v/>
      </c>
    </row>
    <row r="178" ht="15.0" customHeight="1">
      <c r="A178" s="34"/>
      <c r="B178" s="35"/>
      <c r="C178" s="15"/>
      <c r="D178" s="15"/>
      <c r="E178" s="15"/>
      <c r="F178" s="15"/>
      <c r="G178" s="36" t="str">
        <f t="array" ref="G178">IF($F178="","",IFERROR(INDEX(Config!$E:$E,MATCH($F178,Config!$D:$D,0)),0))</f>
        <v/>
      </c>
      <c r="H178" s="16"/>
      <c r="I178" s="36" t="str">
        <f t="shared" si="1"/>
        <v/>
      </c>
      <c r="J178" s="16"/>
      <c r="K178" s="15"/>
      <c r="L178" s="15"/>
      <c r="M178" s="36" t="str">
        <f t="array" ref="M178">IF($A178="","",IF($L178="Atendido",IFERROR($I178*INDEX(Config!$B:$B,MATCH($C178,Config!$A:$A,0)),0),0))</f>
        <v/>
      </c>
      <c r="N178" s="36" t="str">
        <f t="shared" si="2"/>
        <v/>
      </c>
      <c r="O178" s="36" t="str">
        <f t="shared" si="3"/>
        <v/>
      </c>
      <c r="P178" s="15"/>
      <c r="Q178" s="37" t="str">
        <f t="shared" si="4"/>
        <v/>
      </c>
      <c r="R178" s="37" t="str">
        <f t="shared" si="5"/>
        <v/>
      </c>
      <c r="S178" s="32" t="str">
        <f t="shared" si="6"/>
        <v/>
      </c>
      <c r="T178" s="37" t="str">
        <f t="shared" si="7"/>
        <v/>
      </c>
      <c r="U178" s="37" t="str">
        <f t="array" ref="U178">IF($F178="","",IFERROR(INDEX(Config!$F:$F,MATCH($F178,Config!$D:$D,0)),0))</f>
        <v/>
      </c>
    </row>
    <row r="179" ht="15.0" customHeight="1">
      <c r="A179" s="34"/>
      <c r="B179" s="35"/>
      <c r="C179" s="15"/>
      <c r="D179" s="15"/>
      <c r="E179" s="15"/>
      <c r="F179" s="15"/>
      <c r="G179" s="36" t="str">
        <f t="array" ref="G179">IF($F179="","",IFERROR(INDEX(Config!$E:$E,MATCH($F179,Config!$D:$D,0)),0))</f>
        <v/>
      </c>
      <c r="H179" s="16"/>
      <c r="I179" s="36" t="str">
        <f t="shared" si="1"/>
        <v/>
      </c>
      <c r="J179" s="16"/>
      <c r="K179" s="15"/>
      <c r="L179" s="15"/>
      <c r="M179" s="36" t="str">
        <f t="array" ref="M179">IF($A179="","",IF($L179="Atendido",IFERROR($I179*INDEX(Config!$B:$B,MATCH($C179,Config!$A:$A,0)),0),0))</f>
        <v/>
      </c>
      <c r="N179" s="36" t="str">
        <f t="shared" si="2"/>
        <v/>
      </c>
      <c r="O179" s="36" t="str">
        <f t="shared" si="3"/>
        <v/>
      </c>
      <c r="P179" s="15"/>
      <c r="Q179" s="37" t="str">
        <f t="shared" si="4"/>
        <v/>
      </c>
      <c r="R179" s="37" t="str">
        <f t="shared" si="5"/>
        <v/>
      </c>
      <c r="S179" s="32" t="str">
        <f t="shared" si="6"/>
        <v/>
      </c>
      <c r="T179" s="37" t="str">
        <f t="shared" si="7"/>
        <v/>
      </c>
      <c r="U179" s="37" t="str">
        <f t="array" ref="U179">IF($F179="","",IFERROR(INDEX(Config!$F:$F,MATCH($F179,Config!$D:$D,0)),0))</f>
        <v/>
      </c>
    </row>
    <row r="180" ht="15.0" customHeight="1">
      <c r="A180" s="34"/>
      <c r="B180" s="35"/>
      <c r="C180" s="15"/>
      <c r="D180" s="15"/>
      <c r="E180" s="15"/>
      <c r="F180" s="15"/>
      <c r="G180" s="36" t="str">
        <f t="array" ref="G180">IF($F180="","",IFERROR(INDEX(Config!$E:$E,MATCH($F180,Config!$D:$D,0)),0))</f>
        <v/>
      </c>
      <c r="H180" s="16"/>
      <c r="I180" s="36" t="str">
        <f t="shared" si="1"/>
        <v/>
      </c>
      <c r="J180" s="16"/>
      <c r="K180" s="15"/>
      <c r="L180" s="15"/>
      <c r="M180" s="36" t="str">
        <f t="array" ref="M180">IF($A180="","",IF($L180="Atendido",IFERROR($I180*INDEX(Config!$B:$B,MATCH($C180,Config!$A:$A,0)),0),0))</f>
        <v/>
      </c>
      <c r="N180" s="36" t="str">
        <f t="shared" si="2"/>
        <v/>
      </c>
      <c r="O180" s="36" t="str">
        <f t="shared" si="3"/>
        <v/>
      </c>
      <c r="P180" s="15"/>
      <c r="Q180" s="37" t="str">
        <f t="shared" si="4"/>
        <v/>
      </c>
      <c r="R180" s="37" t="str">
        <f t="shared" si="5"/>
        <v/>
      </c>
      <c r="S180" s="32" t="str">
        <f t="shared" si="6"/>
        <v/>
      </c>
      <c r="T180" s="37" t="str">
        <f t="shared" si="7"/>
        <v/>
      </c>
      <c r="U180" s="37" t="str">
        <f t="array" ref="U180">IF($F180="","",IFERROR(INDEX(Config!$F:$F,MATCH($F180,Config!$D:$D,0)),0))</f>
        <v/>
      </c>
    </row>
    <row r="181" ht="15.0" customHeight="1">
      <c r="A181" s="34"/>
      <c r="B181" s="35"/>
      <c r="C181" s="15"/>
      <c r="D181" s="15"/>
      <c r="E181" s="15"/>
      <c r="F181" s="15"/>
      <c r="G181" s="36" t="str">
        <f t="array" ref="G181">IF($F181="","",IFERROR(INDEX(Config!$E:$E,MATCH($F181,Config!$D:$D,0)),0))</f>
        <v/>
      </c>
      <c r="H181" s="16"/>
      <c r="I181" s="36" t="str">
        <f t="shared" si="1"/>
        <v/>
      </c>
      <c r="J181" s="16"/>
      <c r="K181" s="15"/>
      <c r="L181" s="15"/>
      <c r="M181" s="36" t="str">
        <f t="array" ref="M181">IF($A181="","",IF($L181="Atendido",IFERROR($I181*INDEX(Config!$B:$B,MATCH($C181,Config!$A:$A,0)),0),0))</f>
        <v/>
      </c>
      <c r="N181" s="36" t="str">
        <f t="shared" si="2"/>
        <v/>
      </c>
      <c r="O181" s="36" t="str">
        <f t="shared" si="3"/>
        <v/>
      </c>
      <c r="P181" s="15"/>
      <c r="Q181" s="37" t="str">
        <f t="shared" si="4"/>
        <v/>
      </c>
      <c r="R181" s="37" t="str">
        <f t="shared" si="5"/>
        <v/>
      </c>
      <c r="S181" s="32" t="str">
        <f t="shared" si="6"/>
        <v/>
      </c>
      <c r="T181" s="37" t="str">
        <f t="shared" si="7"/>
        <v/>
      </c>
      <c r="U181" s="37" t="str">
        <f t="array" ref="U181">IF($F181="","",IFERROR(INDEX(Config!$F:$F,MATCH($F181,Config!$D:$D,0)),0))</f>
        <v/>
      </c>
    </row>
    <row r="182" ht="15.0" customHeight="1">
      <c r="A182" s="34"/>
      <c r="B182" s="35"/>
      <c r="C182" s="15"/>
      <c r="D182" s="15"/>
      <c r="E182" s="15"/>
      <c r="F182" s="15"/>
      <c r="G182" s="36" t="str">
        <f t="array" ref="G182">IF($F182="","",IFERROR(INDEX(Config!$E:$E,MATCH($F182,Config!$D:$D,0)),0))</f>
        <v/>
      </c>
      <c r="H182" s="16"/>
      <c r="I182" s="36" t="str">
        <f t="shared" si="1"/>
        <v/>
      </c>
      <c r="J182" s="16"/>
      <c r="K182" s="15"/>
      <c r="L182" s="15"/>
      <c r="M182" s="36" t="str">
        <f t="array" ref="M182">IF($A182="","",IF($L182="Atendido",IFERROR($I182*INDEX(Config!$B:$B,MATCH($C182,Config!$A:$A,0)),0),0))</f>
        <v/>
      </c>
      <c r="N182" s="36" t="str">
        <f t="shared" si="2"/>
        <v/>
      </c>
      <c r="O182" s="36" t="str">
        <f t="shared" si="3"/>
        <v/>
      </c>
      <c r="P182" s="15"/>
      <c r="Q182" s="37" t="str">
        <f t="shared" si="4"/>
        <v/>
      </c>
      <c r="R182" s="37" t="str">
        <f t="shared" si="5"/>
        <v/>
      </c>
      <c r="S182" s="32" t="str">
        <f t="shared" si="6"/>
        <v/>
      </c>
      <c r="T182" s="37" t="str">
        <f t="shared" si="7"/>
        <v/>
      </c>
      <c r="U182" s="37" t="str">
        <f t="array" ref="U182">IF($F182="","",IFERROR(INDEX(Config!$F:$F,MATCH($F182,Config!$D:$D,0)),0))</f>
        <v/>
      </c>
    </row>
    <row r="183" ht="15.0" customHeight="1">
      <c r="A183" s="34"/>
      <c r="B183" s="35"/>
      <c r="C183" s="15"/>
      <c r="D183" s="15"/>
      <c r="E183" s="15"/>
      <c r="F183" s="15"/>
      <c r="G183" s="36" t="str">
        <f t="array" ref="G183">IF($F183="","",IFERROR(INDEX(Config!$E:$E,MATCH($F183,Config!$D:$D,0)),0))</f>
        <v/>
      </c>
      <c r="H183" s="16"/>
      <c r="I183" s="36" t="str">
        <f t="shared" si="1"/>
        <v/>
      </c>
      <c r="J183" s="16"/>
      <c r="K183" s="15"/>
      <c r="L183" s="15"/>
      <c r="M183" s="36" t="str">
        <f t="array" ref="M183">IF($A183="","",IF($L183="Atendido",IFERROR($I183*INDEX(Config!$B:$B,MATCH($C183,Config!$A:$A,0)),0),0))</f>
        <v/>
      </c>
      <c r="N183" s="36" t="str">
        <f t="shared" si="2"/>
        <v/>
      </c>
      <c r="O183" s="36" t="str">
        <f t="shared" si="3"/>
        <v/>
      </c>
      <c r="P183" s="15"/>
      <c r="Q183" s="37" t="str">
        <f t="shared" si="4"/>
        <v/>
      </c>
      <c r="R183" s="37" t="str">
        <f t="shared" si="5"/>
        <v/>
      </c>
      <c r="S183" s="32" t="str">
        <f t="shared" si="6"/>
        <v/>
      </c>
      <c r="T183" s="37" t="str">
        <f t="shared" si="7"/>
        <v/>
      </c>
      <c r="U183" s="37" t="str">
        <f t="array" ref="U183">IF($F183="","",IFERROR(INDEX(Config!$F:$F,MATCH($F183,Config!$D:$D,0)),0))</f>
        <v/>
      </c>
    </row>
    <row r="184" ht="15.0" customHeight="1">
      <c r="A184" s="34"/>
      <c r="B184" s="35"/>
      <c r="C184" s="15"/>
      <c r="D184" s="15"/>
      <c r="E184" s="15"/>
      <c r="F184" s="15"/>
      <c r="G184" s="36" t="str">
        <f t="array" ref="G184">IF($F184="","",IFERROR(INDEX(Config!$E:$E,MATCH($F184,Config!$D:$D,0)),0))</f>
        <v/>
      </c>
      <c r="H184" s="16"/>
      <c r="I184" s="36" t="str">
        <f t="shared" si="1"/>
        <v/>
      </c>
      <c r="J184" s="16"/>
      <c r="K184" s="15"/>
      <c r="L184" s="15"/>
      <c r="M184" s="36" t="str">
        <f t="array" ref="M184">IF($A184="","",IF($L184="Atendido",IFERROR($I184*INDEX(Config!$B:$B,MATCH($C184,Config!$A:$A,0)),0),0))</f>
        <v/>
      </c>
      <c r="N184" s="36" t="str">
        <f t="shared" si="2"/>
        <v/>
      </c>
      <c r="O184" s="36" t="str">
        <f t="shared" si="3"/>
        <v/>
      </c>
      <c r="P184" s="15"/>
      <c r="Q184" s="37" t="str">
        <f t="shared" si="4"/>
        <v/>
      </c>
      <c r="R184" s="37" t="str">
        <f t="shared" si="5"/>
        <v/>
      </c>
      <c r="S184" s="32" t="str">
        <f t="shared" si="6"/>
        <v/>
      </c>
      <c r="T184" s="37" t="str">
        <f t="shared" si="7"/>
        <v/>
      </c>
      <c r="U184" s="37" t="str">
        <f t="array" ref="U184">IF($F184="","",IFERROR(INDEX(Config!$F:$F,MATCH($F184,Config!$D:$D,0)),0))</f>
        <v/>
      </c>
    </row>
    <row r="185" ht="15.0" customHeight="1">
      <c r="A185" s="34"/>
      <c r="B185" s="35"/>
      <c r="C185" s="15"/>
      <c r="D185" s="15"/>
      <c r="E185" s="15"/>
      <c r="F185" s="15"/>
      <c r="G185" s="36" t="str">
        <f t="array" ref="G185">IF($F185="","",IFERROR(INDEX(Config!$E:$E,MATCH($F185,Config!$D:$D,0)),0))</f>
        <v/>
      </c>
      <c r="H185" s="16"/>
      <c r="I185" s="36" t="str">
        <f t="shared" si="1"/>
        <v/>
      </c>
      <c r="J185" s="16"/>
      <c r="K185" s="15"/>
      <c r="L185" s="15"/>
      <c r="M185" s="36" t="str">
        <f t="array" ref="M185">IF($A185="","",IF($L185="Atendido",IFERROR($I185*INDEX(Config!$B:$B,MATCH($C185,Config!$A:$A,0)),0),0))</f>
        <v/>
      </c>
      <c r="N185" s="36" t="str">
        <f t="shared" si="2"/>
        <v/>
      </c>
      <c r="O185" s="36" t="str">
        <f t="shared" si="3"/>
        <v/>
      </c>
      <c r="P185" s="15"/>
      <c r="Q185" s="37" t="str">
        <f t="shared" si="4"/>
        <v/>
      </c>
      <c r="R185" s="37" t="str">
        <f t="shared" si="5"/>
        <v/>
      </c>
      <c r="S185" s="32" t="str">
        <f t="shared" si="6"/>
        <v/>
      </c>
      <c r="T185" s="37" t="str">
        <f t="shared" si="7"/>
        <v/>
      </c>
      <c r="U185" s="37" t="str">
        <f t="array" ref="U185">IF($F185="","",IFERROR(INDEX(Config!$F:$F,MATCH($F185,Config!$D:$D,0)),0))</f>
        <v/>
      </c>
    </row>
    <row r="186" ht="15.0" customHeight="1">
      <c r="A186" s="34"/>
      <c r="B186" s="35"/>
      <c r="C186" s="15"/>
      <c r="D186" s="15"/>
      <c r="E186" s="15"/>
      <c r="F186" s="15"/>
      <c r="G186" s="36" t="str">
        <f t="array" ref="G186">IF($F186="","",IFERROR(INDEX(Config!$E:$E,MATCH($F186,Config!$D:$D,0)),0))</f>
        <v/>
      </c>
      <c r="H186" s="16"/>
      <c r="I186" s="36" t="str">
        <f t="shared" si="1"/>
        <v/>
      </c>
      <c r="J186" s="16"/>
      <c r="K186" s="15"/>
      <c r="L186" s="15"/>
      <c r="M186" s="36" t="str">
        <f t="array" ref="M186">IF($A186="","",IF($L186="Atendido",IFERROR($I186*INDEX(Config!$B:$B,MATCH($C186,Config!$A:$A,0)),0),0))</f>
        <v/>
      </c>
      <c r="N186" s="36" t="str">
        <f t="shared" si="2"/>
        <v/>
      </c>
      <c r="O186" s="36" t="str">
        <f t="shared" si="3"/>
        <v/>
      </c>
      <c r="P186" s="15"/>
      <c r="Q186" s="37" t="str">
        <f t="shared" si="4"/>
        <v/>
      </c>
      <c r="R186" s="37" t="str">
        <f t="shared" si="5"/>
        <v/>
      </c>
      <c r="S186" s="32" t="str">
        <f t="shared" si="6"/>
        <v/>
      </c>
      <c r="T186" s="37" t="str">
        <f t="shared" si="7"/>
        <v/>
      </c>
      <c r="U186" s="37" t="str">
        <f t="array" ref="U186">IF($F186="","",IFERROR(INDEX(Config!$F:$F,MATCH($F186,Config!$D:$D,0)),0))</f>
        <v/>
      </c>
    </row>
    <row r="187" ht="15.0" customHeight="1">
      <c r="A187" s="34"/>
      <c r="B187" s="35"/>
      <c r="C187" s="15"/>
      <c r="D187" s="15"/>
      <c r="E187" s="15"/>
      <c r="F187" s="15"/>
      <c r="G187" s="36" t="str">
        <f t="array" ref="G187">IF($F187="","",IFERROR(INDEX(Config!$E:$E,MATCH($F187,Config!$D:$D,0)),0))</f>
        <v/>
      </c>
      <c r="H187" s="16"/>
      <c r="I187" s="36" t="str">
        <f t="shared" si="1"/>
        <v/>
      </c>
      <c r="J187" s="16"/>
      <c r="K187" s="15"/>
      <c r="L187" s="15"/>
      <c r="M187" s="36" t="str">
        <f t="array" ref="M187">IF($A187="","",IF($L187="Atendido",IFERROR($I187*INDEX(Config!$B:$B,MATCH($C187,Config!$A:$A,0)),0),0))</f>
        <v/>
      </c>
      <c r="N187" s="36" t="str">
        <f t="shared" si="2"/>
        <v/>
      </c>
      <c r="O187" s="36" t="str">
        <f t="shared" si="3"/>
        <v/>
      </c>
      <c r="P187" s="15"/>
      <c r="Q187" s="37" t="str">
        <f t="shared" si="4"/>
        <v/>
      </c>
      <c r="R187" s="37" t="str">
        <f t="shared" si="5"/>
        <v/>
      </c>
      <c r="S187" s="32" t="str">
        <f t="shared" si="6"/>
        <v/>
      </c>
      <c r="T187" s="37" t="str">
        <f t="shared" si="7"/>
        <v/>
      </c>
      <c r="U187" s="37" t="str">
        <f t="array" ref="U187">IF($F187="","",IFERROR(INDEX(Config!$F:$F,MATCH($F187,Config!$D:$D,0)),0))</f>
        <v/>
      </c>
    </row>
    <row r="188" ht="15.0" customHeight="1">
      <c r="A188" s="34"/>
      <c r="B188" s="35"/>
      <c r="C188" s="15"/>
      <c r="D188" s="15"/>
      <c r="E188" s="15"/>
      <c r="F188" s="15"/>
      <c r="G188" s="36" t="str">
        <f t="array" ref="G188">IF($F188="","",IFERROR(INDEX(Config!$E:$E,MATCH($F188,Config!$D:$D,0)),0))</f>
        <v/>
      </c>
      <c r="H188" s="16"/>
      <c r="I188" s="36" t="str">
        <f t="shared" si="1"/>
        <v/>
      </c>
      <c r="J188" s="16"/>
      <c r="K188" s="15"/>
      <c r="L188" s="15"/>
      <c r="M188" s="36" t="str">
        <f t="array" ref="M188">IF($A188="","",IF($L188="Atendido",IFERROR($I188*INDEX(Config!$B:$B,MATCH($C188,Config!$A:$A,0)),0),0))</f>
        <v/>
      </c>
      <c r="N188" s="36" t="str">
        <f t="shared" si="2"/>
        <v/>
      </c>
      <c r="O188" s="36" t="str">
        <f t="shared" si="3"/>
        <v/>
      </c>
      <c r="P188" s="15"/>
      <c r="Q188" s="37" t="str">
        <f t="shared" si="4"/>
        <v/>
      </c>
      <c r="R188" s="37" t="str">
        <f t="shared" si="5"/>
        <v/>
      </c>
      <c r="S188" s="32" t="str">
        <f t="shared" si="6"/>
        <v/>
      </c>
      <c r="T188" s="37" t="str">
        <f t="shared" si="7"/>
        <v/>
      </c>
      <c r="U188" s="37" t="str">
        <f t="array" ref="U188">IF($F188="","",IFERROR(INDEX(Config!$F:$F,MATCH($F188,Config!$D:$D,0)),0))</f>
        <v/>
      </c>
    </row>
    <row r="189" ht="15.0" customHeight="1">
      <c r="A189" s="34"/>
      <c r="B189" s="35"/>
      <c r="C189" s="15"/>
      <c r="D189" s="15"/>
      <c r="E189" s="15"/>
      <c r="F189" s="15"/>
      <c r="G189" s="36" t="str">
        <f t="array" ref="G189">IF($F189="","",IFERROR(INDEX(Config!$E:$E,MATCH($F189,Config!$D:$D,0)),0))</f>
        <v/>
      </c>
      <c r="H189" s="16"/>
      <c r="I189" s="36" t="str">
        <f t="shared" si="1"/>
        <v/>
      </c>
      <c r="J189" s="16"/>
      <c r="K189" s="15"/>
      <c r="L189" s="15"/>
      <c r="M189" s="36" t="str">
        <f t="array" ref="M189">IF($A189="","",IF($L189="Atendido",IFERROR($I189*INDEX(Config!$B:$B,MATCH($C189,Config!$A:$A,0)),0),0))</f>
        <v/>
      </c>
      <c r="N189" s="36" t="str">
        <f t="shared" si="2"/>
        <v/>
      </c>
      <c r="O189" s="36" t="str">
        <f t="shared" si="3"/>
        <v/>
      </c>
      <c r="P189" s="15"/>
      <c r="Q189" s="37" t="str">
        <f t="shared" si="4"/>
        <v/>
      </c>
      <c r="R189" s="37" t="str">
        <f t="shared" si="5"/>
        <v/>
      </c>
      <c r="S189" s="32" t="str">
        <f t="shared" si="6"/>
        <v/>
      </c>
      <c r="T189" s="37" t="str">
        <f t="shared" si="7"/>
        <v/>
      </c>
      <c r="U189" s="37" t="str">
        <f t="array" ref="U189">IF($F189="","",IFERROR(INDEX(Config!$F:$F,MATCH($F189,Config!$D:$D,0)),0))</f>
        <v/>
      </c>
    </row>
    <row r="190" ht="15.0" customHeight="1">
      <c r="A190" s="34"/>
      <c r="B190" s="35"/>
      <c r="C190" s="15"/>
      <c r="D190" s="15"/>
      <c r="E190" s="15"/>
      <c r="F190" s="15"/>
      <c r="G190" s="36" t="str">
        <f t="array" ref="G190">IF($F190="","",IFERROR(INDEX(Config!$E:$E,MATCH($F190,Config!$D:$D,0)),0))</f>
        <v/>
      </c>
      <c r="H190" s="16"/>
      <c r="I190" s="36" t="str">
        <f t="shared" si="1"/>
        <v/>
      </c>
      <c r="J190" s="16"/>
      <c r="K190" s="15"/>
      <c r="L190" s="15"/>
      <c r="M190" s="36" t="str">
        <f t="array" ref="M190">IF($A190="","",IF($L190="Atendido",IFERROR($I190*INDEX(Config!$B:$B,MATCH($C190,Config!$A:$A,0)),0),0))</f>
        <v/>
      </c>
      <c r="N190" s="36" t="str">
        <f t="shared" si="2"/>
        <v/>
      </c>
      <c r="O190" s="36" t="str">
        <f t="shared" si="3"/>
        <v/>
      </c>
      <c r="P190" s="15"/>
      <c r="Q190" s="37" t="str">
        <f t="shared" si="4"/>
        <v/>
      </c>
      <c r="R190" s="37" t="str">
        <f t="shared" si="5"/>
        <v/>
      </c>
      <c r="S190" s="32" t="str">
        <f t="shared" si="6"/>
        <v/>
      </c>
      <c r="T190" s="37" t="str">
        <f t="shared" si="7"/>
        <v/>
      </c>
      <c r="U190" s="37" t="str">
        <f t="array" ref="U190">IF($F190="","",IFERROR(INDEX(Config!$F:$F,MATCH($F190,Config!$D:$D,0)),0))</f>
        <v/>
      </c>
    </row>
    <row r="191" ht="15.0" customHeight="1">
      <c r="A191" s="34"/>
      <c r="B191" s="35"/>
      <c r="C191" s="15"/>
      <c r="D191" s="15"/>
      <c r="E191" s="15"/>
      <c r="F191" s="15"/>
      <c r="G191" s="36" t="str">
        <f t="array" ref="G191">IF($F191="","",IFERROR(INDEX(Config!$E:$E,MATCH($F191,Config!$D:$D,0)),0))</f>
        <v/>
      </c>
      <c r="H191" s="16"/>
      <c r="I191" s="36" t="str">
        <f t="shared" si="1"/>
        <v/>
      </c>
      <c r="J191" s="16"/>
      <c r="K191" s="15"/>
      <c r="L191" s="15"/>
      <c r="M191" s="36" t="str">
        <f t="array" ref="M191">IF($A191="","",IF($L191="Atendido",IFERROR($I191*INDEX(Config!$B:$B,MATCH($C191,Config!$A:$A,0)),0),0))</f>
        <v/>
      </c>
      <c r="N191" s="36" t="str">
        <f t="shared" si="2"/>
        <v/>
      </c>
      <c r="O191" s="36" t="str">
        <f t="shared" si="3"/>
        <v/>
      </c>
      <c r="P191" s="15"/>
      <c r="Q191" s="37" t="str">
        <f t="shared" si="4"/>
        <v/>
      </c>
      <c r="R191" s="37" t="str">
        <f t="shared" si="5"/>
        <v/>
      </c>
      <c r="S191" s="32" t="str">
        <f t="shared" si="6"/>
        <v/>
      </c>
      <c r="T191" s="37" t="str">
        <f t="shared" si="7"/>
        <v/>
      </c>
      <c r="U191" s="37" t="str">
        <f t="array" ref="U191">IF($F191="","",IFERROR(INDEX(Config!$F:$F,MATCH($F191,Config!$D:$D,0)),0))</f>
        <v/>
      </c>
    </row>
    <row r="192" ht="15.0" customHeight="1">
      <c r="A192" s="34"/>
      <c r="B192" s="35"/>
      <c r="C192" s="15"/>
      <c r="D192" s="15"/>
      <c r="E192" s="15"/>
      <c r="F192" s="15"/>
      <c r="G192" s="36" t="str">
        <f t="array" ref="G192">IF($F192="","",IFERROR(INDEX(Config!$E:$E,MATCH($F192,Config!$D:$D,0)),0))</f>
        <v/>
      </c>
      <c r="H192" s="16"/>
      <c r="I192" s="36" t="str">
        <f t="shared" si="1"/>
        <v/>
      </c>
      <c r="J192" s="16"/>
      <c r="K192" s="15"/>
      <c r="L192" s="15"/>
      <c r="M192" s="36" t="str">
        <f t="array" ref="M192">IF($A192="","",IF($L192="Atendido",IFERROR($I192*INDEX(Config!$B:$B,MATCH($C192,Config!$A:$A,0)),0),0))</f>
        <v/>
      </c>
      <c r="N192" s="36" t="str">
        <f t="shared" si="2"/>
        <v/>
      </c>
      <c r="O192" s="36" t="str">
        <f t="shared" si="3"/>
        <v/>
      </c>
      <c r="P192" s="15"/>
      <c r="Q192" s="37" t="str">
        <f t="shared" si="4"/>
        <v/>
      </c>
      <c r="R192" s="37" t="str">
        <f t="shared" si="5"/>
        <v/>
      </c>
      <c r="S192" s="32" t="str">
        <f t="shared" si="6"/>
        <v/>
      </c>
      <c r="T192" s="37" t="str">
        <f t="shared" si="7"/>
        <v/>
      </c>
      <c r="U192" s="37" t="str">
        <f t="array" ref="U192">IF($F192="","",IFERROR(INDEX(Config!$F:$F,MATCH($F192,Config!$D:$D,0)),0))</f>
        <v/>
      </c>
    </row>
    <row r="193" ht="15.0" customHeight="1">
      <c r="A193" s="34"/>
      <c r="B193" s="35"/>
      <c r="C193" s="15"/>
      <c r="D193" s="15"/>
      <c r="E193" s="15"/>
      <c r="F193" s="15"/>
      <c r="G193" s="36" t="str">
        <f t="array" ref="G193">IF($F193="","",IFERROR(INDEX(Config!$E:$E,MATCH($F193,Config!$D:$D,0)),0))</f>
        <v/>
      </c>
      <c r="H193" s="16"/>
      <c r="I193" s="36" t="str">
        <f t="shared" si="1"/>
        <v/>
      </c>
      <c r="J193" s="16"/>
      <c r="K193" s="15"/>
      <c r="L193" s="15"/>
      <c r="M193" s="36" t="str">
        <f t="array" ref="M193">IF($A193="","",IF($L193="Atendido",IFERROR($I193*INDEX(Config!$B:$B,MATCH($C193,Config!$A:$A,0)),0),0))</f>
        <v/>
      </c>
      <c r="N193" s="36" t="str">
        <f t="shared" si="2"/>
        <v/>
      </c>
      <c r="O193" s="36" t="str">
        <f t="shared" si="3"/>
        <v/>
      </c>
      <c r="P193" s="15"/>
      <c r="Q193" s="37" t="str">
        <f t="shared" si="4"/>
        <v/>
      </c>
      <c r="R193" s="37" t="str">
        <f t="shared" si="5"/>
        <v/>
      </c>
      <c r="S193" s="32" t="str">
        <f t="shared" si="6"/>
        <v/>
      </c>
      <c r="T193" s="37" t="str">
        <f t="shared" si="7"/>
        <v/>
      </c>
      <c r="U193" s="37" t="str">
        <f t="array" ref="U193">IF($F193="","",IFERROR(INDEX(Config!$F:$F,MATCH($F193,Config!$D:$D,0)),0))</f>
        <v/>
      </c>
    </row>
    <row r="194" ht="15.0" customHeight="1">
      <c r="A194" s="34"/>
      <c r="B194" s="35"/>
      <c r="C194" s="15"/>
      <c r="D194" s="15"/>
      <c r="E194" s="15"/>
      <c r="F194" s="15"/>
      <c r="G194" s="36" t="str">
        <f t="array" ref="G194">IF($F194="","",IFERROR(INDEX(Config!$E:$E,MATCH($F194,Config!$D:$D,0)),0))</f>
        <v/>
      </c>
      <c r="H194" s="16"/>
      <c r="I194" s="36" t="str">
        <f t="shared" si="1"/>
        <v/>
      </c>
      <c r="J194" s="16"/>
      <c r="K194" s="15"/>
      <c r="L194" s="15"/>
      <c r="M194" s="36" t="str">
        <f t="array" ref="M194">IF($A194="","",IF($L194="Atendido",IFERROR($I194*INDEX(Config!$B:$B,MATCH($C194,Config!$A:$A,0)),0),0))</f>
        <v/>
      </c>
      <c r="N194" s="36" t="str">
        <f t="shared" si="2"/>
        <v/>
      </c>
      <c r="O194" s="36" t="str">
        <f t="shared" si="3"/>
        <v/>
      </c>
      <c r="P194" s="15"/>
      <c r="Q194" s="37" t="str">
        <f t="shared" si="4"/>
        <v/>
      </c>
      <c r="R194" s="37" t="str">
        <f t="shared" si="5"/>
        <v/>
      </c>
      <c r="S194" s="32" t="str">
        <f t="shared" si="6"/>
        <v/>
      </c>
      <c r="T194" s="37" t="str">
        <f t="shared" si="7"/>
        <v/>
      </c>
      <c r="U194" s="37" t="str">
        <f t="array" ref="U194">IF($F194="","",IFERROR(INDEX(Config!$F:$F,MATCH($F194,Config!$D:$D,0)),0))</f>
        <v/>
      </c>
    </row>
    <row r="195" ht="15.0" customHeight="1">
      <c r="A195" s="34"/>
      <c r="B195" s="35"/>
      <c r="C195" s="15"/>
      <c r="D195" s="15"/>
      <c r="E195" s="15"/>
      <c r="F195" s="15"/>
      <c r="G195" s="36" t="str">
        <f t="array" ref="G195">IF($F195="","",IFERROR(INDEX(Config!$E:$E,MATCH($F195,Config!$D:$D,0)),0))</f>
        <v/>
      </c>
      <c r="H195" s="16"/>
      <c r="I195" s="36" t="str">
        <f t="shared" si="1"/>
        <v/>
      </c>
      <c r="J195" s="16"/>
      <c r="K195" s="15"/>
      <c r="L195" s="15"/>
      <c r="M195" s="36" t="str">
        <f t="array" ref="M195">IF($A195="","",IF($L195="Atendido",IFERROR($I195*INDEX(Config!$B:$B,MATCH($C195,Config!$A:$A,0)),0),0))</f>
        <v/>
      </c>
      <c r="N195" s="36" t="str">
        <f t="shared" si="2"/>
        <v/>
      </c>
      <c r="O195" s="36" t="str">
        <f t="shared" si="3"/>
        <v/>
      </c>
      <c r="P195" s="15"/>
      <c r="Q195" s="37" t="str">
        <f t="shared" si="4"/>
        <v/>
      </c>
      <c r="R195" s="37" t="str">
        <f t="shared" si="5"/>
        <v/>
      </c>
      <c r="S195" s="32" t="str">
        <f t="shared" si="6"/>
        <v/>
      </c>
      <c r="T195" s="37" t="str">
        <f t="shared" si="7"/>
        <v/>
      </c>
      <c r="U195" s="37" t="str">
        <f t="array" ref="U195">IF($F195="","",IFERROR(INDEX(Config!$F:$F,MATCH($F195,Config!$D:$D,0)),0))</f>
        <v/>
      </c>
    </row>
    <row r="196" ht="15.0" customHeight="1">
      <c r="A196" s="34"/>
      <c r="B196" s="35"/>
      <c r="C196" s="15"/>
      <c r="D196" s="15"/>
      <c r="E196" s="15"/>
      <c r="F196" s="15"/>
      <c r="G196" s="36" t="str">
        <f t="array" ref="G196">IF($F196="","",IFERROR(INDEX(Config!$E:$E,MATCH($F196,Config!$D:$D,0)),0))</f>
        <v/>
      </c>
      <c r="H196" s="16"/>
      <c r="I196" s="36" t="str">
        <f t="shared" si="1"/>
        <v/>
      </c>
      <c r="J196" s="16"/>
      <c r="K196" s="15"/>
      <c r="L196" s="15"/>
      <c r="M196" s="36" t="str">
        <f t="array" ref="M196">IF($A196="","",IF($L196="Atendido",IFERROR($I196*INDEX(Config!$B:$B,MATCH($C196,Config!$A:$A,0)),0),0))</f>
        <v/>
      </c>
      <c r="N196" s="36" t="str">
        <f t="shared" si="2"/>
        <v/>
      </c>
      <c r="O196" s="36" t="str">
        <f t="shared" si="3"/>
        <v/>
      </c>
      <c r="P196" s="15"/>
      <c r="Q196" s="37" t="str">
        <f t="shared" si="4"/>
        <v/>
      </c>
      <c r="R196" s="37" t="str">
        <f t="shared" si="5"/>
        <v/>
      </c>
      <c r="S196" s="32" t="str">
        <f t="shared" si="6"/>
        <v/>
      </c>
      <c r="T196" s="37" t="str">
        <f t="shared" si="7"/>
        <v/>
      </c>
      <c r="U196" s="37" t="str">
        <f t="array" ref="U196">IF($F196="","",IFERROR(INDEX(Config!$F:$F,MATCH($F196,Config!$D:$D,0)),0))</f>
        <v/>
      </c>
    </row>
    <row r="197" ht="15.0" customHeight="1">
      <c r="A197" s="34"/>
      <c r="B197" s="35"/>
      <c r="C197" s="15"/>
      <c r="D197" s="15"/>
      <c r="E197" s="15"/>
      <c r="F197" s="15"/>
      <c r="G197" s="36" t="str">
        <f t="array" ref="G197">IF($F197="","",IFERROR(INDEX(Config!$E:$E,MATCH($F197,Config!$D:$D,0)),0))</f>
        <v/>
      </c>
      <c r="H197" s="16"/>
      <c r="I197" s="36" t="str">
        <f t="shared" si="1"/>
        <v/>
      </c>
      <c r="J197" s="16"/>
      <c r="K197" s="15"/>
      <c r="L197" s="15"/>
      <c r="M197" s="36" t="str">
        <f t="array" ref="M197">IF($A197="","",IF($L197="Atendido",IFERROR($I197*INDEX(Config!$B:$B,MATCH($C197,Config!$A:$A,0)),0),0))</f>
        <v/>
      </c>
      <c r="N197" s="36" t="str">
        <f t="shared" si="2"/>
        <v/>
      </c>
      <c r="O197" s="36" t="str">
        <f t="shared" si="3"/>
        <v/>
      </c>
      <c r="P197" s="15"/>
      <c r="Q197" s="37" t="str">
        <f t="shared" si="4"/>
        <v/>
      </c>
      <c r="R197" s="37" t="str">
        <f t="shared" si="5"/>
        <v/>
      </c>
      <c r="S197" s="32" t="str">
        <f t="shared" si="6"/>
        <v/>
      </c>
      <c r="T197" s="37" t="str">
        <f t="shared" si="7"/>
        <v/>
      </c>
      <c r="U197" s="37" t="str">
        <f t="array" ref="U197">IF($F197="","",IFERROR(INDEX(Config!$F:$F,MATCH($F197,Config!$D:$D,0)),0))</f>
        <v/>
      </c>
    </row>
    <row r="198" ht="15.0" customHeight="1">
      <c r="A198" s="34"/>
      <c r="B198" s="35"/>
      <c r="C198" s="15"/>
      <c r="D198" s="15"/>
      <c r="E198" s="15"/>
      <c r="F198" s="15"/>
      <c r="G198" s="36" t="str">
        <f t="array" ref="G198">IF($F198="","",IFERROR(INDEX(Config!$E:$E,MATCH($F198,Config!$D:$D,0)),0))</f>
        <v/>
      </c>
      <c r="H198" s="16"/>
      <c r="I198" s="36" t="str">
        <f t="shared" si="1"/>
        <v/>
      </c>
      <c r="J198" s="16"/>
      <c r="K198" s="15"/>
      <c r="L198" s="15"/>
      <c r="M198" s="36" t="str">
        <f t="array" ref="M198">IF($A198="","",IF($L198="Atendido",IFERROR($I198*INDEX(Config!$B:$B,MATCH($C198,Config!$A:$A,0)),0),0))</f>
        <v/>
      </c>
      <c r="N198" s="36" t="str">
        <f t="shared" si="2"/>
        <v/>
      </c>
      <c r="O198" s="36" t="str">
        <f t="shared" si="3"/>
        <v/>
      </c>
      <c r="P198" s="15"/>
      <c r="Q198" s="37" t="str">
        <f t="shared" si="4"/>
        <v/>
      </c>
      <c r="R198" s="37" t="str">
        <f t="shared" si="5"/>
        <v/>
      </c>
      <c r="S198" s="32" t="str">
        <f t="shared" si="6"/>
        <v/>
      </c>
      <c r="T198" s="37" t="str">
        <f t="shared" si="7"/>
        <v/>
      </c>
      <c r="U198" s="37" t="str">
        <f t="array" ref="U198">IF($F198="","",IFERROR(INDEX(Config!$F:$F,MATCH($F198,Config!$D:$D,0)),0))</f>
        <v/>
      </c>
    </row>
    <row r="199" ht="15.0" customHeight="1">
      <c r="A199" s="34"/>
      <c r="B199" s="35"/>
      <c r="C199" s="15"/>
      <c r="D199" s="15"/>
      <c r="E199" s="15"/>
      <c r="F199" s="15"/>
      <c r="G199" s="36" t="str">
        <f t="array" ref="G199">IF($F199="","",IFERROR(INDEX(Config!$E:$E,MATCH($F199,Config!$D:$D,0)),0))</f>
        <v/>
      </c>
      <c r="H199" s="16"/>
      <c r="I199" s="36" t="str">
        <f t="shared" si="1"/>
        <v/>
      </c>
      <c r="J199" s="16"/>
      <c r="K199" s="15"/>
      <c r="L199" s="15"/>
      <c r="M199" s="36" t="str">
        <f t="array" ref="M199">IF($A199="","",IF($L199="Atendido",IFERROR($I199*INDEX(Config!$B:$B,MATCH($C199,Config!$A:$A,0)),0),0))</f>
        <v/>
      </c>
      <c r="N199" s="36" t="str">
        <f t="shared" si="2"/>
        <v/>
      </c>
      <c r="O199" s="36" t="str">
        <f t="shared" si="3"/>
        <v/>
      </c>
      <c r="P199" s="15"/>
      <c r="Q199" s="37" t="str">
        <f t="shared" si="4"/>
        <v/>
      </c>
      <c r="R199" s="37" t="str">
        <f t="shared" si="5"/>
        <v/>
      </c>
      <c r="S199" s="32" t="str">
        <f t="shared" si="6"/>
        <v/>
      </c>
      <c r="T199" s="37" t="str">
        <f t="shared" si="7"/>
        <v/>
      </c>
      <c r="U199" s="37" t="str">
        <f t="array" ref="U199">IF($F199="","",IFERROR(INDEX(Config!$F:$F,MATCH($F199,Config!$D:$D,0)),0))</f>
        <v/>
      </c>
    </row>
    <row r="200" ht="15.0" customHeight="1">
      <c r="A200" s="34"/>
      <c r="B200" s="35"/>
      <c r="C200" s="15"/>
      <c r="D200" s="15"/>
      <c r="E200" s="15"/>
      <c r="F200" s="15"/>
      <c r="G200" s="36" t="str">
        <f t="array" ref="G200">IF($F200="","",IFERROR(INDEX(Config!$E:$E,MATCH($F200,Config!$D:$D,0)),0))</f>
        <v/>
      </c>
      <c r="H200" s="16"/>
      <c r="I200" s="36" t="str">
        <f t="shared" si="1"/>
        <v/>
      </c>
      <c r="J200" s="16"/>
      <c r="K200" s="15"/>
      <c r="L200" s="15"/>
      <c r="M200" s="36" t="str">
        <f t="array" ref="M200">IF($A200="","",IF($L200="Atendido",IFERROR($I200*INDEX(Config!$B:$B,MATCH($C200,Config!$A:$A,0)),0),0))</f>
        <v/>
      </c>
      <c r="N200" s="36" t="str">
        <f t="shared" si="2"/>
        <v/>
      </c>
      <c r="O200" s="36" t="str">
        <f t="shared" si="3"/>
        <v/>
      </c>
      <c r="P200" s="15"/>
      <c r="Q200" s="37" t="str">
        <f t="shared" si="4"/>
        <v/>
      </c>
      <c r="R200" s="37" t="str">
        <f t="shared" si="5"/>
        <v/>
      </c>
      <c r="S200" s="32" t="str">
        <f t="shared" si="6"/>
        <v/>
      </c>
      <c r="T200" s="37" t="str">
        <f t="shared" si="7"/>
        <v/>
      </c>
      <c r="U200" s="37" t="str">
        <f t="array" ref="U200">IF($F200="","",IFERROR(INDEX(Config!$F:$F,MATCH($F200,Config!$D:$D,0)),0))</f>
        <v/>
      </c>
    </row>
    <row r="201" ht="15.0" customHeight="1">
      <c r="A201" s="34"/>
      <c r="B201" s="35"/>
      <c r="C201" s="15"/>
      <c r="D201" s="15"/>
      <c r="E201" s="15"/>
      <c r="F201" s="15"/>
      <c r="G201" s="36" t="str">
        <f t="array" ref="G201">IF($F201="","",IFERROR(INDEX(Config!$E:$E,MATCH($F201,Config!$D:$D,0)),0))</f>
        <v/>
      </c>
      <c r="H201" s="16"/>
      <c r="I201" s="36" t="str">
        <f t="shared" si="1"/>
        <v/>
      </c>
      <c r="J201" s="16"/>
      <c r="K201" s="15"/>
      <c r="L201" s="15"/>
      <c r="M201" s="36" t="str">
        <f t="array" ref="M201">IF($A201="","",IF($L201="Atendido",IFERROR($I201*INDEX(Config!$B:$B,MATCH($C201,Config!$A:$A,0)),0),0))</f>
        <v/>
      </c>
      <c r="N201" s="36" t="str">
        <f t="shared" si="2"/>
        <v/>
      </c>
      <c r="O201" s="36" t="str">
        <f t="shared" si="3"/>
        <v/>
      </c>
      <c r="P201" s="15"/>
      <c r="Q201" s="37" t="str">
        <f t="shared" si="4"/>
        <v/>
      </c>
      <c r="R201" s="37" t="str">
        <f t="shared" si="5"/>
        <v/>
      </c>
      <c r="S201" s="32" t="str">
        <f t="shared" si="6"/>
        <v/>
      </c>
      <c r="T201" s="37" t="str">
        <f t="shared" si="7"/>
        <v/>
      </c>
      <c r="U201" s="37" t="str">
        <f t="array" ref="U201">IF($F201="","",IFERROR(INDEX(Config!$F:$F,MATCH($F201,Config!$D:$D,0)),0))</f>
        <v/>
      </c>
    </row>
    <row r="202" ht="15.0" customHeight="1">
      <c r="A202" s="34"/>
      <c r="B202" s="35"/>
      <c r="C202" s="15"/>
      <c r="D202" s="15"/>
      <c r="E202" s="15"/>
      <c r="F202" s="15"/>
      <c r="G202" s="36" t="str">
        <f t="array" ref="G202">IF($F202="","",IFERROR(INDEX(Config!$E:$E,MATCH($F202,Config!$D:$D,0)),0))</f>
        <v/>
      </c>
      <c r="H202" s="16"/>
      <c r="I202" s="36" t="str">
        <f t="shared" si="1"/>
        <v/>
      </c>
      <c r="J202" s="16"/>
      <c r="K202" s="15"/>
      <c r="L202" s="15"/>
      <c r="M202" s="36" t="str">
        <f t="array" ref="M202">IF($A202="","",IF($L202="Atendido",IFERROR($I202*INDEX(Config!$B:$B,MATCH($C202,Config!$A:$A,0)),0),0))</f>
        <v/>
      </c>
      <c r="N202" s="36" t="str">
        <f t="shared" si="2"/>
        <v/>
      </c>
      <c r="O202" s="36" t="str">
        <f t="shared" si="3"/>
        <v/>
      </c>
      <c r="P202" s="15"/>
      <c r="Q202" s="37" t="str">
        <f t="shared" si="4"/>
        <v/>
      </c>
      <c r="R202" s="37" t="str">
        <f t="shared" si="5"/>
        <v/>
      </c>
      <c r="S202" s="32" t="str">
        <f t="shared" si="6"/>
        <v/>
      </c>
      <c r="T202" s="37" t="str">
        <f t="shared" si="7"/>
        <v/>
      </c>
      <c r="U202" s="37" t="str">
        <f t="array" ref="U202">IF($F202="","",IFERROR(INDEX(Config!$F:$F,MATCH($F202,Config!$D:$D,0)),0))</f>
        <v/>
      </c>
    </row>
    <row r="203" ht="15.0" customHeight="1">
      <c r="A203" s="34"/>
      <c r="B203" s="35"/>
      <c r="C203" s="15"/>
      <c r="D203" s="15"/>
      <c r="E203" s="15"/>
      <c r="F203" s="15"/>
      <c r="G203" s="36" t="str">
        <f t="array" ref="G203">IF($F203="","",IFERROR(INDEX(Config!$E:$E,MATCH($F203,Config!$D:$D,0)),0))</f>
        <v/>
      </c>
      <c r="H203" s="16"/>
      <c r="I203" s="36" t="str">
        <f t="shared" si="1"/>
        <v/>
      </c>
      <c r="J203" s="16"/>
      <c r="K203" s="15"/>
      <c r="L203" s="15"/>
      <c r="M203" s="36" t="str">
        <f t="array" ref="M203">IF($A203="","",IF($L203="Atendido",IFERROR($I203*INDEX(Config!$B:$B,MATCH($C203,Config!$A:$A,0)),0),0))</f>
        <v/>
      </c>
      <c r="N203" s="36" t="str">
        <f t="shared" si="2"/>
        <v/>
      </c>
      <c r="O203" s="36" t="str">
        <f t="shared" si="3"/>
        <v/>
      </c>
      <c r="P203" s="15"/>
      <c r="Q203" s="37" t="str">
        <f t="shared" si="4"/>
        <v/>
      </c>
      <c r="R203" s="37" t="str">
        <f t="shared" si="5"/>
        <v/>
      </c>
      <c r="S203" s="32" t="str">
        <f t="shared" si="6"/>
        <v/>
      </c>
      <c r="T203" s="37" t="str">
        <f t="shared" si="7"/>
        <v/>
      </c>
      <c r="U203" s="37" t="str">
        <f t="array" ref="U203">IF($F203="","",IFERROR(INDEX(Config!$F:$F,MATCH($F203,Config!$D:$D,0)),0))</f>
        <v/>
      </c>
    </row>
    <row r="204" ht="15.0" customHeight="1">
      <c r="A204" s="34"/>
      <c r="B204" s="35"/>
      <c r="C204" s="15"/>
      <c r="D204" s="15"/>
      <c r="E204" s="15"/>
      <c r="F204" s="15"/>
      <c r="G204" s="36" t="str">
        <f t="array" ref="G204">IF($F204="","",IFERROR(INDEX(Config!$E:$E,MATCH($F204,Config!$D:$D,0)),0))</f>
        <v/>
      </c>
      <c r="H204" s="16"/>
      <c r="I204" s="36" t="str">
        <f t="shared" si="1"/>
        <v/>
      </c>
      <c r="J204" s="16"/>
      <c r="K204" s="15"/>
      <c r="L204" s="15"/>
      <c r="M204" s="36" t="str">
        <f t="array" ref="M204">IF($A204="","",IF($L204="Atendido",IFERROR($I204*INDEX(Config!$B:$B,MATCH($C204,Config!$A:$A,0)),0),0))</f>
        <v/>
      </c>
      <c r="N204" s="36" t="str">
        <f t="shared" si="2"/>
        <v/>
      </c>
      <c r="O204" s="36" t="str">
        <f t="shared" si="3"/>
        <v/>
      </c>
      <c r="P204" s="15"/>
      <c r="Q204" s="37" t="str">
        <f t="shared" si="4"/>
        <v/>
      </c>
      <c r="R204" s="37" t="str">
        <f t="shared" si="5"/>
        <v/>
      </c>
      <c r="S204" s="32" t="str">
        <f t="shared" si="6"/>
        <v/>
      </c>
      <c r="T204" s="37" t="str">
        <f t="shared" si="7"/>
        <v/>
      </c>
      <c r="U204" s="37" t="str">
        <f t="array" ref="U204">IF($F204="","",IFERROR(INDEX(Config!$F:$F,MATCH($F204,Config!$D:$D,0)),0))</f>
        <v/>
      </c>
    </row>
    <row r="205" ht="15.0" customHeight="1">
      <c r="A205" s="34"/>
      <c r="B205" s="35"/>
      <c r="C205" s="15"/>
      <c r="D205" s="15"/>
      <c r="E205" s="15"/>
      <c r="F205" s="15"/>
      <c r="G205" s="36" t="str">
        <f t="array" ref="G205">IF($F205="","",IFERROR(INDEX(Config!$E:$E,MATCH($F205,Config!$D:$D,0)),0))</f>
        <v/>
      </c>
      <c r="H205" s="16"/>
      <c r="I205" s="36" t="str">
        <f t="shared" si="1"/>
        <v/>
      </c>
      <c r="J205" s="16"/>
      <c r="K205" s="15"/>
      <c r="L205" s="15"/>
      <c r="M205" s="36" t="str">
        <f t="array" ref="M205">IF($A205="","",IF($L205="Atendido",IFERROR($I205*INDEX(Config!$B:$B,MATCH($C205,Config!$A:$A,0)),0),0))</f>
        <v/>
      </c>
      <c r="N205" s="36" t="str">
        <f t="shared" si="2"/>
        <v/>
      </c>
      <c r="O205" s="36" t="str">
        <f t="shared" si="3"/>
        <v/>
      </c>
      <c r="P205" s="15"/>
      <c r="Q205" s="37" t="str">
        <f t="shared" si="4"/>
        <v/>
      </c>
      <c r="R205" s="37" t="str">
        <f t="shared" si="5"/>
        <v/>
      </c>
      <c r="S205" s="32" t="str">
        <f t="shared" si="6"/>
        <v/>
      </c>
      <c r="T205" s="37" t="str">
        <f t="shared" si="7"/>
        <v/>
      </c>
      <c r="U205" s="37" t="str">
        <f t="array" ref="U205">IF($F205="","",IFERROR(INDEX(Config!$F:$F,MATCH($F205,Config!$D:$D,0)),0))</f>
        <v/>
      </c>
    </row>
    <row r="206" ht="15.0" customHeight="1">
      <c r="A206" s="34"/>
      <c r="B206" s="35"/>
      <c r="C206" s="15"/>
      <c r="D206" s="15"/>
      <c r="E206" s="15"/>
      <c r="F206" s="15"/>
      <c r="G206" s="36" t="str">
        <f t="array" ref="G206">IF($F206="","",IFERROR(INDEX(Config!$E:$E,MATCH($F206,Config!$D:$D,0)),0))</f>
        <v/>
      </c>
      <c r="H206" s="16"/>
      <c r="I206" s="36" t="str">
        <f t="shared" si="1"/>
        <v/>
      </c>
      <c r="J206" s="16"/>
      <c r="K206" s="15"/>
      <c r="L206" s="15"/>
      <c r="M206" s="36" t="str">
        <f t="array" ref="M206">IF($A206="","",IF($L206="Atendido",IFERROR($I206*INDEX(Config!$B:$B,MATCH($C206,Config!$A:$A,0)),0),0))</f>
        <v/>
      </c>
      <c r="N206" s="36" t="str">
        <f t="shared" si="2"/>
        <v/>
      </c>
      <c r="O206" s="36" t="str">
        <f t="shared" si="3"/>
        <v/>
      </c>
      <c r="P206" s="15"/>
      <c r="Q206" s="37" t="str">
        <f t="shared" si="4"/>
        <v/>
      </c>
      <c r="R206" s="37" t="str">
        <f t="shared" si="5"/>
        <v/>
      </c>
      <c r="S206" s="32" t="str">
        <f t="shared" si="6"/>
        <v/>
      </c>
      <c r="T206" s="37" t="str">
        <f t="shared" si="7"/>
        <v/>
      </c>
      <c r="U206" s="37" t="str">
        <f t="array" ref="U206">IF($F206="","",IFERROR(INDEX(Config!$F:$F,MATCH($F206,Config!$D:$D,0)),0))</f>
        <v/>
      </c>
    </row>
    <row r="207" ht="15.0" customHeight="1">
      <c r="A207" s="34"/>
      <c r="B207" s="35"/>
      <c r="C207" s="15"/>
      <c r="D207" s="15"/>
      <c r="E207" s="15"/>
      <c r="F207" s="15"/>
      <c r="G207" s="36" t="str">
        <f t="array" ref="G207">IF($F207="","",IFERROR(INDEX(Config!$E:$E,MATCH($F207,Config!$D:$D,0)),0))</f>
        <v/>
      </c>
      <c r="H207" s="16"/>
      <c r="I207" s="36" t="str">
        <f t="shared" si="1"/>
        <v/>
      </c>
      <c r="J207" s="16"/>
      <c r="K207" s="15"/>
      <c r="L207" s="15"/>
      <c r="M207" s="36" t="str">
        <f t="array" ref="M207">IF($A207="","",IF($L207="Atendido",IFERROR($I207*INDEX(Config!$B:$B,MATCH($C207,Config!$A:$A,0)),0),0))</f>
        <v/>
      </c>
      <c r="N207" s="36" t="str">
        <f t="shared" si="2"/>
        <v/>
      </c>
      <c r="O207" s="36" t="str">
        <f t="shared" si="3"/>
        <v/>
      </c>
      <c r="P207" s="15"/>
      <c r="Q207" s="37" t="str">
        <f t="shared" si="4"/>
        <v/>
      </c>
      <c r="R207" s="37" t="str">
        <f t="shared" si="5"/>
        <v/>
      </c>
      <c r="S207" s="32" t="str">
        <f t="shared" si="6"/>
        <v/>
      </c>
      <c r="T207" s="37" t="str">
        <f t="shared" si="7"/>
        <v/>
      </c>
      <c r="U207" s="37" t="str">
        <f t="array" ref="U207">IF($F207="","",IFERROR(INDEX(Config!$F:$F,MATCH($F207,Config!$D:$D,0)),0))</f>
        <v/>
      </c>
    </row>
    <row r="208" ht="15.0" customHeight="1">
      <c r="A208" s="34"/>
      <c r="B208" s="35"/>
      <c r="C208" s="15"/>
      <c r="D208" s="15"/>
      <c r="E208" s="15"/>
      <c r="F208" s="15"/>
      <c r="G208" s="36" t="str">
        <f t="array" ref="G208">IF($F208="","",IFERROR(INDEX(Config!$E:$E,MATCH($F208,Config!$D:$D,0)),0))</f>
        <v/>
      </c>
      <c r="H208" s="16"/>
      <c r="I208" s="36" t="str">
        <f t="shared" si="1"/>
        <v/>
      </c>
      <c r="J208" s="16"/>
      <c r="K208" s="15"/>
      <c r="L208" s="15"/>
      <c r="M208" s="36" t="str">
        <f t="array" ref="M208">IF($A208="","",IF($L208="Atendido",IFERROR($I208*INDEX(Config!$B:$B,MATCH($C208,Config!$A:$A,0)),0),0))</f>
        <v/>
      </c>
      <c r="N208" s="36" t="str">
        <f t="shared" si="2"/>
        <v/>
      </c>
      <c r="O208" s="36" t="str">
        <f t="shared" si="3"/>
        <v/>
      </c>
      <c r="P208" s="15"/>
      <c r="Q208" s="37" t="str">
        <f t="shared" si="4"/>
        <v/>
      </c>
      <c r="R208" s="37" t="str">
        <f t="shared" si="5"/>
        <v/>
      </c>
      <c r="S208" s="32" t="str">
        <f t="shared" si="6"/>
        <v/>
      </c>
      <c r="T208" s="37" t="str">
        <f t="shared" si="7"/>
        <v/>
      </c>
      <c r="U208" s="37" t="str">
        <f t="array" ref="U208">IF($F208="","",IFERROR(INDEX(Config!$F:$F,MATCH($F208,Config!$D:$D,0)),0))</f>
        <v/>
      </c>
    </row>
    <row r="209" ht="15.0" customHeight="1">
      <c r="A209" s="34"/>
      <c r="B209" s="35"/>
      <c r="C209" s="15"/>
      <c r="D209" s="15"/>
      <c r="E209" s="15"/>
      <c r="F209" s="15"/>
      <c r="G209" s="36" t="str">
        <f t="array" ref="G209">IF($F209="","",IFERROR(INDEX(Config!$E:$E,MATCH($F209,Config!$D:$D,0)),0))</f>
        <v/>
      </c>
      <c r="H209" s="16"/>
      <c r="I209" s="36" t="str">
        <f t="shared" si="1"/>
        <v/>
      </c>
      <c r="J209" s="16"/>
      <c r="K209" s="15"/>
      <c r="L209" s="15"/>
      <c r="M209" s="36" t="str">
        <f t="array" ref="M209">IF($A209="","",IF($L209="Atendido",IFERROR($I209*INDEX(Config!$B:$B,MATCH($C209,Config!$A:$A,0)),0),0))</f>
        <v/>
      </c>
      <c r="N209" s="36" t="str">
        <f t="shared" si="2"/>
        <v/>
      </c>
      <c r="O209" s="36" t="str">
        <f t="shared" si="3"/>
        <v/>
      </c>
      <c r="P209" s="15"/>
      <c r="Q209" s="37" t="str">
        <f t="shared" si="4"/>
        <v/>
      </c>
      <c r="R209" s="37" t="str">
        <f t="shared" si="5"/>
        <v/>
      </c>
      <c r="S209" s="32" t="str">
        <f t="shared" si="6"/>
        <v/>
      </c>
      <c r="T209" s="37" t="str">
        <f t="shared" si="7"/>
        <v/>
      </c>
      <c r="U209" s="37" t="str">
        <f t="array" ref="U209">IF($F209="","",IFERROR(INDEX(Config!$F:$F,MATCH($F209,Config!$D:$D,0)),0))</f>
        <v/>
      </c>
    </row>
    <row r="210" ht="15.0" customHeight="1">
      <c r="A210" s="34"/>
      <c r="B210" s="35"/>
      <c r="C210" s="15"/>
      <c r="D210" s="15"/>
      <c r="E210" s="15"/>
      <c r="F210" s="15"/>
      <c r="G210" s="36" t="str">
        <f t="array" ref="G210">IF($F210="","",IFERROR(INDEX(Config!$E:$E,MATCH($F210,Config!$D:$D,0)),0))</f>
        <v/>
      </c>
      <c r="H210" s="16"/>
      <c r="I210" s="36" t="str">
        <f t="shared" si="1"/>
        <v/>
      </c>
      <c r="J210" s="16"/>
      <c r="K210" s="15"/>
      <c r="L210" s="15"/>
      <c r="M210" s="36" t="str">
        <f t="array" ref="M210">IF($A210="","",IF($L210="Atendido",IFERROR($I210*INDEX(Config!$B:$B,MATCH($C210,Config!$A:$A,0)),0),0))</f>
        <v/>
      </c>
      <c r="N210" s="36" t="str">
        <f t="shared" si="2"/>
        <v/>
      </c>
      <c r="O210" s="36" t="str">
        <f t="shared" si="3"/>
        <v/>
      </c>
      <c r="P210" s="15"/>
      <c r="Q210" s="37" t="str">
        <f t="shared" si="4"/>
        <v/>
      </c>
      <c r="R210" s="37" t="str">
        <f t="shared" si="5"/>
        <v/>
      </c>
      <c r="S210" s="32" t="str">
        <f t="shared" si="6"/>
        <v/>
      </c>
      <c r="T210" s="37" t="str">
        <f t="shared" si="7"/>
        <v/>
      </c>
      <c r="U210" s="37" t="str">
        <f t="array" ref="U210">IF($F210="","",IFERROR(INDEX(Config!$F:$F,MATCH($F210,Config!$D:$D,0)),0))</f>
        <v/>
      </c>
    </row>
    <row r="211" ht="15.0" customHeight="1">
      <c r="A211" s="34"/>
      <c r="B211" s="35"/>
      <c r="C211" s="15"/>
      <c r="D211" s="15"/>
      <c r="E211" s="15"/>
      <c r="F211" s="15"/>
      <c r="G211" s="36" t="str">
        <f t="array" ref="G211">IF($F211="","",IFERROR(INDEX(Config!$E:$E,MATCH($F211,Config!$D:$D,0)),0))</f>
        <v/>
      </c>
      <c r="H211" s="16"/>
      <c r="I211" s="36" t="str">
        <f t="shared" si="1"/>
        <v/>
      </c>
      <c r="J211" s="16"/>
      <c r="K211" s="15"/>
      <c r="L211" s="15"/>
      <c r="M211" s="36" t="str">
        <f t="array" ref="M211">IF($A211="","",IF($L211="Atendido",IFERROR($I211*INDEX(Config!$B:$B,MATCH($C211,Config!$A:$A,0)),0),0))</f>
        <v/>
      </c>
      <c r="N211" s="36" t="str">
        <f t="shared" si="2"/>
        <v/>
      </c>
      <c r="O211" s="36" t="str">
        <f t="shared" si="3"/>
        <v/>
      </c>
      <c r="P211" s="15"/>
      <c r="Q211" s="37" t="str">
        <f t="shared" si="4"/>
        <v/>
      </c>
      <c r="R211" s="37" t="str">
        <f t="shared" si="5"/>
        <v/>
      </c>
      <c r="S211" s="32" t="str">
        <f t="shared" si="6"/>
        <v/>
      </c>
      <c r="T211" s="37" t="str">
        <f t="shared" si="7"/>
        <v/>
      </c>
      <c r="U211" s="37" t="str">
        <f t="array" ref="U211">IF($F211="","",IFERROR(INDEX(Config!$F:$F,MATCH($F211,Config!$D:$D,0)),0))</f>
        <v/>
      </c>
    </row>
    <row r="212" ht="15.0" customHeight="1">
      <c r="A212" s="34"/>
      <c r="B212" s="35"/>
      <c r="C212" s="15"/>
      <c r="D212" s="15"/>
      <c r="E212" s="15"/>
      <c r="F212" s="15"/>
      <c r="G212" s="36" t="str">
        <f t="array" ref="G212">IF($F212="","",IFERROR(INDEX(Config!$E:$E,MATCH($F212,Config!$D:$D,0)),0))</f>
        <v/>
      </c>
      <c r="H212" s="16"/>
      <c r="I212" s="36" t="str">
        <f t="shared" si="1"/>
        <v/>
      </c>
      <c r="J212" s="16"/>
      <c r="K212" s="15"/>
      <c r="L212" s="15"/>
      <c r="M212" s="36" t="str">
        <f t="array" ref="M212">IF($A212="","",IF($L212="Atendido",IFERROR($I212*INDEX(Config!$B:$B,MATCH($C212,Config!$A:$A,0)),0),0))</f>
        <v/>
      </c>
      <c r="N212" s="36" t="str">
        <f t="shared" si="2"/>
        <v/>
      </c>
      <c r="O212" s="36" t="str">
        <f t="shared" si="3"/>
        <v/>
      </c>
      <c r="P212" s="15"/>
      <c r="Q212" s="37" t="str">
        <f t="shared" si="4"/>
        <v/>
      </c>
      <c r="R212" s="37" t="str">
        <f t="shared" si="5"/>
        <v/>
      </c>
      <c r="S212" s="32" t="str">
        <f t="shared" si="6"/>
        <v/>
      </c>
      <c r="T212" s="37" t="str">
        <f t="shared" si="7"/>
        <v/>
      </c>
      <c r="U212" s="37" t="str">
        <f t="array" ref="U212">IF($F212="","",IFERROR(INDEX(Config!$F:$F,MATCH($F212,Config!$D:$D,0)),0))</f>
        <v/>
      </c>
    </row>
    <row r="213" ht="15.0" customHeight="1">
      <c r="A213" s="34"/>
      <c r="B213" s="35"/>
      <c r="C213" s="15"/>
      <c r="D213" s="15"/>
      <c r="E213" s="15"/>
      <c r="F213" s="15"/>
      <c r="G213" s="36" t="str">
        <f t="array" ref="G213">IF($F213="","",IFERROR(INDEX(Config!$E:$E,MATCH($F213,Config!$D:$D,0)),0))</f>
        <v/>
      </c>
      <c r="H213" s="16"/>
      <c r="I213" s="36" t="str">
        <f t="shared" si="1"/>
        <v/>
      </c>
      <c r="J213" s="16"/>
      <c r="K213" s="15"/>
      <c r="L213" s="15"/>
      <c r="M213" s="36" t="str">
        <f t="array" ref="M213">IF($A213="","",IF($L213="Atendido",IFERROR($I213*INDEX(Config!$B:$B,MATCH($C213,Config!$A:$A,0)),0),0))</f>
        <v/>
      </c>
      <c r="N213" s="36" t="str">
        <f t="shared" si="2"/>
        <v/>
      </c>
      <c r="O213" s="36" t="str">
        <f t="shared" si="3"/>
        <v/>
      </c>
      <c r="P213" s="15"/>
      <c r="Q213" s="37" t="str">
        <f t="shared" si="4"/>
        <v/>
      </c>
      <c r="R213" s="37" t="str">
        <f t="shared" si="5"/>
        <v/>
      </c>
      <c r="S213" s="32" t="str">
        <f t="shared" si="6"/>
        <v/>
      </c>
      <c r="T213" s="37" t="str">
        <f t="shared" si="7"/>
        <v/>
      </c>
      <c r="U213" s="37" t="str">
        <f t="array" ref="U213">IF($F213="","",IFERROR(INDEX(Config!$F:$F,MATCH($F213,Config!$D:$D,0)),0))</f>
        <v/>
      </c>
    </row>
    <row r="214" ht="15.0" customHeight="1">
      <c r="A214" s="34"/>
      <c r="B214" s="35"/>
      <c r="C214" s="15"/>
      <c r="D214" s="15"/>
      <c r="E214" s="15"/>
      <c r="F214" s="15"/>
      <c r="G214" s="36" t="str">
        <f t="array" ref="G214">IF($F214="","",IFERROR(INDEX(Config!$E:$E,MATCH($F214,Config!$D:$D,0)),0))</f>
        <v/>
      </c>
      <c r="H214" s="16"/>
      <c r="I214" s="36" t="str">
        <f t="shared" si="1"/>
        <v/>
      </c>
      <c r="J214" s="16"/>
      <c r="K214" s="15"/>
      <c r="L214" s="15"/>
      <c r="M214" s="36" t="str">
        <f t="array" ref="M214">IF($A214="","",IF($L214="Atendido",IFERROR($I214*INDEX(Config!$B:$B,MATCH($C214,Config!$A:$A,0)),0),0))</f>
        <v/>
      </c>
      <c r="N214" s="36" t="str">
        <f t="shared" si="2"/>
        <v/>
      </c>
      <c r="O214" s="36" t="str">
        <f t="shared" si="3"/>
        <v/>
      </c>
      <c r="P214" s="15"/>
      <c r="Q214" s="37" t="str">
        <f t="shared" si="4"/>
        <v/>
      </c>
      <c r="R214" s="37" t="str">
        <f t="shared" si="5"/>
        <v/>
      </c>
      <c r="S214" s="32" t="str">
        <f t="shared" si="6"/>
        <v/>
      </c>
      <c r="T214" s="37" t="str">
        <f t="shared" si="7"/>
        <v/>
      </c>
      <c r="U214" s="37" t="str">
        <f t="array" ref="U214">IF($F214="","",IFERROR(INDEX(Config!$F:$F,MATCH($F214,Config!$D:$D,0)),0))</f>
        <v/>
      </c>
    </row>
    <row r="215" ht="15.0" customHeight="1">
      <c r="A215" s="34"/>
      <c r="B215" s="35"/>
      <c r="C215" s="15"/>
      <c r="D215" s="15"/>
      <c r="E215" s="15"/>
      <c r="F215" s="15"/>
      <c r="G215" s="36" t="str">
        <f t="array" ref="G215">IF($F215="","",IFERROR(INDEX(Config!$E:$E,MATCH($F215,Config!$D:$D,0)),0))</f>
        <v/>
      </c>
      <c r="H215" s="16"/>
      <c r="I215" s="36" t="str">
        <f t="shared" si="1"/>
        <v/>
      </c>
      <c r="J215" s="16"/>
      <c r="K215" s="15"/>
      <c r="L215" s="15"/>
      <c r="M215" s="36" t="str">
        <f t="array" ref="M215">IF($A215="","",IF($L215="Atendido",IFERROR($I215*INDEX(Config!$B:$B,MATCH($C215,Config!$A:$A,0)),0),0))</f>
        <v/>
      </c>
      <c r="N215" s="36" t="str">
        <f t="shared" si="2"/>
        <v/>
      </c>
      <c r="O215" s="36" t="str">
        <f t="shared" si="3"/>
        <v/>
      </c>
      <c r="P215" s="15"/>
      <c r="Q215" s="37" t="str">
        <f t="shared" si="4"/>
        <v/>
      </c>
      <c r="R215" s="37" t="str">
        <f t="shared" si="5"/>
        <v/>
      </c>
      <c r="S215" s="32" t="str">
        <f t="shared" si="6"/>
        <v/>
      </c>
      <c r="T215" s="37" t="str">
        <f t="shared" si="7"/>
        <v/>
      </c>
      <c r="U215" s="37" t="str">
        <f t="array" ref="U215">IF($F215="","",IFERROR(INDEX(Config!$F:$F,MATCH($F215,Config!$D:$D,0)),0))</f>
        <v/>
      </c>
    </row>
    <row r="216" ht="15.0" customHeight="1">
      <c r="A216" s="34"/>
      <c r="B216" s="35"/>
      <c r="C216" s="15"/>
      <c r="D216" s="15"/>
      <c r="E216" s="15"/>
      <c r="F216" s="15"/>
      <c r="G216" s="36" t="str">
        <f t="array" ref="G216">IF($F216="","",IFERROR(INDEX(Config!$E:$E,MATCH($F216,Config!$D:$D,0)),0))</f>
        <v/>
      </c>
      <c r="H216" s="16"/>
      <c r="I216" s="36" t="str">
        <f t="shared" si="1"/>
        <v/>
      </c>
      <c r="J216" s="16"/>
      <c r="K216" s="15"/>
      <c r="L216" s="15"/>
      <c r="M216" s="36" t="str">
        <f t="array" ref="M216">IF($A216="","",IF($L216="Atendido",IFERROR($I216*INDEX(Config!$B:$B,MATCH($C216,Config!$A:$A,0)),0),0))</f>
        <v/>
      </c>
      <c r="N216" s="36" t="str">
        <f t="shared" si="2"/>
        <v/>
      </c>
      <c r="O216" s="36" t="str">
        <f t="shared" si="3"/>
        <v/>
      </c>
      <c r="P216" s="15"/>
      <c r="Q216" s="37" t="str">
        <f t="shared" si="4"/>
        <v/>
      </c>
      <c r="R216" s="37" t="str">
        <f t="shared" si="5"/>
        <v/>
      </c>
      <c r="S216" s="32" t="str">
        <f t="shared" si="6"/>
        <v/>
      </c>
      <c r="T216" s="37" t="str">
        <f t="shared" si="7"/>
        <v/>
      </c>
      <c r="U216" s="37" t="str">
        <f t="array" ref="U216">IF($F216="","",IFERROR(INDEX(Config!$F:$F,MATCH($F216,Config!$D:$D,0)),0))</f>
        <v/>
      </c>
    </row>
    <row r="217" ht="15.0" customHeight="1">
      <c r="A217" s="34"/>
      <c r="B217" s="35"/>
      <c r="C217" s="15"/>
      <c r="D217" s="15"/>
      <c r="E217" s="15"/>
      <c r="F217" s="15"/>
      <c r="G217" s="36" t="str">
        <f t="array" ref="G217">IF($F217="","",IFERROR(INDEX(Config!$E:$E,MATCH($F217,Config!$D:$D,0)),0))</f>
        <v/>
      </c>
      <c r="H217" s="16"/>
      <c r="I217" s="36" t="str">
        <f t="shared" si="1"/>
        <v/>
      </c>
      <c r="J217" s="16"/>
      <c r="K217" s="15"/>
      <c r="L217" s="15"/>
      <c r="M217" s="36" t="str">
        <f t="array" ref="M217">IF($A217="","",IF($L217="Atendido",IFERROR($I217*INDEX(Config!$B:$B,MATCH($C217,Config!$A:$A,0)),0),0))</f>
        <v/>
      </c>
      <c r="N217" s="36" t="str">
        <f t="shared" si="2"/>
        <v/>
      </c>
      <c r="O217" s="36" t="str">
        <f t="shared" si="3"/>
        <v/>
      </c>
      <c r="P217" s="15"/>
      <c r="Q217" s="37" t="str">
        <f t="shared" si="4"/>
        <v/>
      </c>
      <c r="R217" s="37" t="str">
        <f t="shared" si="5"/>
        <v/>
      </c>
      <c r="S217" s="32" t="str">
        <f t="shared" si="6"/>
        <v/>
      </c>
      <c r="T217" s="37" t="str">
        <f t="shared" si="7"/>
        <v/>
      </c>
      <c r="U217" s="37" t="str">
        <f t="array" ref="U217">IF($F217="","",IFERROR(INDEX(Config!$F:$F,MATCH($F217,Config!$D:$D,0)),0))</f>
        <v/>
      </c>
    </row>
    <row r="218" ht="15.0" customHeight="1">
      <c r="A218" s="34"/>
      <c r="B218" s="35"/>
      <c r="C218" s="15"/>
      <c r="D218" s="15"/>
      <c r="E218" s="15"/>
      <c r="F218" s="15"/>
      <c r="G218" s="36" t="str">
        <f t="array" ref="G218">IF($F218="","",IFERROR(INDEX(Config!$E:$E,MATCH($F218,Config!$D:$D,0)),0))</f>
        <v/>
      </c>
      <c r="H218" s="16"/>
      <c r="I218" s="36" t="str">
        <f t="shared" si="1"/>
        <v/>
      </c>
      <c r="J218" s="16"/>
      <c r="K218" s="15"/>
      <c r="L218" s="15"/>
      <c r="M218" s="36" t="str">
        <f t="array" ref="M218">IF($A218="","",IF($L218="Atendido",IFERROR($I218*INDEX(Config!$B:$B,MATCH($C218,Config!$A:$A,0)),0),0))</f>
        <v/>
      </c>
      <c r="N218" s="36" t="str">
        <f t="shared" si="2"/>
        <v/>
      </c>
      <c r="O218" s="36" t="str">
        <f t="shared" si="3"/>
        <v/>
      </c>
      <c r="P218" s="15"/>
      <c r="Q218" s="37" t="str">
        <f t="shared" si="4"/>
        <v/>
      </c>
      <c r="R218" s="37" t="str">
        <f t="shared" si="5"/>
        <v/>
      </c>
      <c r="S218" s="32" t="str">
        <f t="shared" si="6"/>
        <v/>
      </c>
      <c r="T218" s="37" t="str">
        <f t="shared" si="7"/>
        <v/>
      </c>
      <c r="U218" s="37" t="str">
        <f t="array" ref="U218">IF($F218="","",IFERROR(INDEX(Config!$F:$F,MATCH($F218,Config!$D:$D,0)),0))</f>
        <v/>
      </c>
    </row>
    <row r="219" ht="15.0" customHeight="1">
      <c r="A219" s="34"/>
      <c r="B219" s="35"/>
      <c r="C219" s="15"/>
      <c r="D219" s="15"/>
      <c r="E219" s="15"/>
      <c r="F219" s="15"/>
      <c r="G219" s="36" t="str">
        <f t="array" ref="G219">IF($F219="","",IFERROR(INDEX(Config!$E:$E,MATCH($F219,Config!$D:$D,0)),0))</f>
        <v/>
      </c>
      <c r="H219" s="16"/>
      <c r="I219" s="36" t="str">
        <f t="shared" si="1"/>
        <v/>
      </c>
      <c r="J219" s="16"/>
      <c r="K219" s="15"/>
      <c r="L219" s="15"/>
      <c r="M219" s="36" t="str">
        <f t="array" ref="M219">IF($A219="","",IF($L219="Atendido",IFERROR($I219*INDEX(Config!$B:$B,MATCH($C219,Config!$A:$A,0)),0),0))</f>
        <v/>
      </c>
      <c r="N219" s="36" t="str">
        <f t="shared" si="2"/>
        <v/>
      </c>
      <c r="O219" s="36" t="str">
        <f t="shared" si="3"/>
        <v/>
      </c>
      <c r="P219" s="15"/>
      <c r="Q219" s="37" t="str">
        <f t="shared" si="4"/>
        <v/>
      </c>
      <c r="R219" s="37" t="str">
        <f t="shared" si="5"/>
        <v/>
      </c>
      <c r="S219" s="32" t="str">
        <f t="shared" si="6"/>
        <v/>
      </c>
      <c r="T219" s="37" t="str">
        <f t="shared" si="7"/>
        <v/>
      </c>
      <c r="U219" s="37" t="str">
        <f t="array" ref="U219">IF($F219="","",IFERROR(INDEX(Config!$F:$F,MATCH($F219,Config!$D:$D,0)),0))</f>
        <v/>
      </c>
    </row>
    <row r="220" ht="15.0" customHeight="1">
      <c r="A220" s="34"/>
      <c r="B220" s="35"/>
      <c r="C220" s="15"/>
      <c r="D220" s="15"/>
      <c r="E220" s="15"/>
      <c r="F220" s="15"/>
      <c r="G220" s="36" t="str">
        <f t="array" ref="G220">IF($F220="","",IFERROR(INDEX(Config!$E:$E,MATCH($F220,Config!$D:$D,0)),0))</f>
        <v/>
      </c>
      <c r="H220" s="16"/>
      <c r="I220" s="36" t="str">
        <f t="shared" si="1"/>
        <v/>
      </c>
      <c r="J220" s="16"/>
      <c r="K220" s="15"/>
      <c r="L220" s="15"/>
      <c r="M220" s="36" t="str">
        <f t="array" ref="M220">IF($A220="","",IF($L220="Atendido",IFERROR($I220*INDEX(Config!$B:$B,MATCH($C220,Config!$A:$A,0)),0),0))</f>
        <v/>
      </c>
      <c r="N220" s="36" t="str">
        <f t="shared" si="2"/>
        <v/>
      </c>
      <c r="O220" s="36" t="str">
        <f t="shared" si="3"/>
        <v/>
      </c>
      <c r="P220" s="15"/>
      <c r="Q220" s="37" t="str">
        <f t="shared" si="4"/>
        <v/>
      </c>
      <c r="R220" s="37" t="str">
        <f t="shared" si="5"/>
        <v/>
      </c>
      <c r="S220" s="32" t="str">
        <f t="shared" si="6"/>
        <v/>
      </c>
      <c r="T220" s="37" t="str">
        <f t="shared" si="7"/>
        <v/>
      </c>
      <c r="U220" s="37" t="str">
        <f t="array" ref="U220">IF($F220="","",IFERROR(INDEX(Config!$F:$F,MATCH($F220,Config!$D:$D,0)),0))</f>
        <v/>
      </c>
    </row>
    <row r="221" ht="15.0" customHeight="1">
      <c r="A221" s="34"/>
      <c r="B221" s="35"/>
      <c r="C221" s="15"/>
      <c r="D221" s="15"/>
      <c r="E221" s="15"/>
      <c r="F221" s="15"/>
      <c r="G221" s="36" t="str">
        <f t="array" ref="G221">IF($F221="","",IFERROR(INDEX(Config!$E:$E,MATCH($F221,Config!$D:$D,0)),0))</f>
        <v/>
      </c>
      <c r="H221" s="16"/>
      <c r="I221" s="36" t="str">
        <f t="shared" si="1"/>
        <v/>
      </c>
      <c r="J221" s="16"/>
      <c r="K221" s="15"/>
      <c r="L221" s="15"/>
      <c r="M221" s="36" t="str">
        <f t="array" ref="M221">IF($A221="","",IF($L221="Atendido",IFERROR($I221*INDEX(Config!$B:$B,MATCH($C221,Config!$A:$A,0)),0),0))</f>
        <v/>
      </c>
      <c r="N221" s="36" t="str">
        <f t="shared" si="2"/>
        <v/>
      </c>
      <c r="O221" s="36" t="str">
        <f t="shared" si="3"/>
        <v/>
      </c>
      <c r="P221" s="15"/>
      <c r="Q221" s="37" t="str">
        <f t="shared" si="4"/>
        <v/>
      </c>
      <c r="R221" s="37" t="str">
        <f t="shared" si="5"/>
        <v/>
      </c>
      <c r="S221" s="32" t="str">
        <f t="shared" si="6"/>
        <v/>
      </c>
      <c r="T221" s="37" t="str">
        <f t="shared" si="7"/>
        <v/>
      </c>
      <c r="U221" s="37" t="str">
        <f t="array" ref="U221">IF($F221="","",IFERROR(INDEX(Config!$F:$F,MATCH($F221,Config!$D:$D,0)),0))</f>
        <v/>
      </c>
    </row>
    <row r="222" ht="15.0" customHeight="1">
      <c r="A222" s="34"/>
      <c r="B222" s="35"/>
      <c r="C222" s="15"/>
      <c r="D222" s="15"/>
      <c r="E222" s="15"/>
      <c r="F222" s="15"/>
      <c r="G222" s="36" t="str">
        <f t="array" ref="G222">IF($F222="","",IFERROR(INDEX(Config!$E:$E,MATCH($F222,Config!$D:$D,0)),0))</f>
        <v/>
      </c>
      <c r="H222" s="16"/>
      <c r="I222" s="36" t="str">
        <f t="shared" si="1"/>
        <v/>
      </c>
      <c r="J222" s="16"/>
      <c r="K222" s="15"/>
      <c r="L222" s="15"/>
      <c r="M222" s="36" t="str">
        <f t="array" ref="M222">IF($A222="","",IF($L222="Atendido",IFERROR($I222*INDEX(Config!$B:$B,MATCH($C222,Config!$A:$A,0)),0),0))</f>
        <v/>
      </c>
      <c r="N222" s="36" t="str">
        <f t="shared" si="2"/>
        <v/>
      </c>
      <c r="O222" s="36" t="str">
        <f t="shared" si="3"/>
        <v/>
      </c>
      <c r="P222" s="15"/>
      <c r="Q222" s="37" t="str">
        <f t="shared" si="4"/>
        <v/>
      </c>
      <c r="R222" s="37" t="str">
        <f t="shared" si="5"/>
        <v/>
      </c>
      <c r="S222" s="32" t="str">
        <f t="shared" si="6"/>
        <v/>
      </c>
      <c r="T222" s="37" t="str">
        <f t="shared" si="7"/>
        <v/>
      </c>
      <c r="U222" s="37" t="str">
        <f t="array" ref="U222">IF($F222="","",IFERROR(INDEX(Config!$F:$F,MATCH($F222,Config!$D:$D,0)),0))</f>
        <v/>
      </c>
    </row>
    <row r="223" ht="15.0" customHeight="1">
      <c r="A223" s="34"/>
      <c r="B223" s="35"/>
      <c r="C223" s="15"/>
      <c r="D223" s="15"/>
      <c r="E223" s="15"/>
      <c r="F223" s="15"/>
      <c r="G223" s="36" t="str">
        <f t="array" ref="G223">IF($F223="","",IFERROR(INDEX(Config!$E:$E,MATCH($F223,Config!$D:$D,0)),0))</f>
        <v/>
      </c>
      <c r="H223" s="16"/>
      <c r="I223" s="36" t="str">
        <f t="shared" si="1"/>
        <v/>
      </c>
      <c r="J223" s="16"/>
      <c r="K223" s="15"/>
      <c r="L223" s="15"/>
      <c r="M223" s="36" t="str">
        <f t="array" ref="M223">IF($A223="","",IF($L223="Atendido",IFERROR($I223*INDEX(Config!$B:$B,MATCH($C223,Config!$A:$A,0)),0),0))</f>
        <v/>
      </c>
      <c r="N223" s="36" t="str">
        <f t="shared" si="2"/>
        <v/>
      </c>
      <c r="O223" s="36" t="str">
        <f t="shared" si="3"/>
        <v/>
      </c>
      <c r="P223" s="15"/>
      <c r="Q223" s="37" t="str">
        <f t="shared" si="4"/>
        <v/>
      </c>
      <c r="R223" s="37" t="str">
        <f t="shared" si="5"/>
        <v/>
      </c>
      <c r="S223" s="32" t="str">
        <f t="shared" si="6"/>
        <v/>
      </c>
      <c r="T223" s="37" t="str">
        <f t="shared" si="7"/>
        <v/>
      </c>
      <c r="U223" s="37" t="str">
        <f t="array" ref="U223">IF($F223="","",IFERROR(INDEX(Config!$F:$F,MATCH($F223,Config!$D:$D,0)),0))</f>
        <v/>
      </c>
    </row>
    <row r="224" ht="15.0" customHeight="1">
      <c r="A224" s="34"/>
      <c r="B224" s="35"/>
      <c r="C224" s="15"/>
      <c r="D224" s="15"/>
      <c r="E224" s="15"/>
      <c r="F224" s="15"/>
      <c r="G224" s="36" t="str">
        <f t="array" ref="G224">IF($F224="","",IFERROR(INDEX(Config!$E:$E,MATCH($F224,Config!$D:$D,0)),0))</f>
        <v/>
      </c>
      <c r="H224" s="16"/>
      <c r="I224" s="36" t="str">
        <f t="shared" si="1"/>
        <v/>
      </c>
      <c r="J224" s="16"/>
      <c r="K224" s="15"/>
      <c r="L224" s="15"/>
      <c r="M224" s="36" t="str">
        <f t="array" ref="M224">IF($A224="","",IF($L224="Atendido",IFERROR($I224*INDEX(Config!$B:$B,MATCH($C224,Config!$A:$A,0)),0),0))</f>
        <v/>
      </c>
      <c r="N224" s="36" t="str">
        <f t="shared" si="2"/>
        <v/>
      </c>
      <c r="O224" s="36" t="str">
        <f t="shared" si="3"/>
        <v/>
      </c>
      <c r="P224" s="15"/>
      <c r="Q224" s="37" t="str">
        <f t="shared" si="4"/>
        <v/>
      </c>
      <c r="R224" s="37" t="str">
        <f t="shared" si="5"/>
        <v/>
      </c>
      <c r="S224" s="32" t="str">
        <f t="shared" si="6"/>
        <v/>
      </c>
      <c r="T224" s="37" t="str">
        <f t="shared" si="7"/>
        <v/>
      </c>
      <c r="U224" s="37" t="str">
        <f t="array" ref="U224">IF($F224="","",IFERROR(INDEX(Config!$F:$F,MATCH($F224,Config!$D:$D,0)),0))</f>
        <v/>
      </c>
    </row>
    <row r="225" ht="15.0" customHeight="1">
      <c r="A225" s="34"/>
      <c r="B225" s="35"/>
      <c r="C225" s="15"/>
      <c r="D225" s="15"/>
      <c r="E225" s="15"/>
      <c r="F225" s="15"/>
      <c r="G225" s="36" t="str">
        <f t="array" ref="G225">IF($F225="","",IFERROR(INDEX(Config!$E:$E,MATCH($F225,Config!$D:$D,0)),0))</f>
        <v/>
      </c>
      <c r="H225" s="16"/>
      <c r="I225" s="36" t="str">
        <f t="shared" si="1"/>
        <v/>
      </c>
      <c r="J225" s="16"/>
      <c r="K225" s="15"/>
      <c r="L225" s="15"/>
      <c r="M225" s="36" t="str">
        <f t="array" ref="M225">IF($A225="","",IF($L225="Atendido",IFERROR($I225*INDEX(Config!$B:$B,MATCH($C225,Config!$A:$A,0)),0),0))</f>
        <v/>
      </c>
      <c r="N225" s="36" t="str">
        <f t="shared" si="2"/>
        <v/>
      </c>
      <c r="O225" s="36" t="str">
        <f t="shared" si="3"/>
        <v/>
      </c>
      <c r="P225" s="15"/>
      <c r="Q225" s="37" t="str">
        <f t="shared" si="4"/>
        <v/>
      </c>
      <c r="R225" s="37" t="str">
        <f t="shared" si="5"/>
        <v/>
      </c>
      <c r="S225" s="32" t="str">
        <f t="shared" si="6"/>
        <v/>
      </c>
      <c r="T225" s="37" t="str">
        <f t="shared" si="7"/>
        <v/>
      </c>
      <c r="U225" s="37" t="str">
        <f t="array" ref="U225">IF($F225="","",IFERROR(INDEX(Config!$F:$F,MATCH($F225,Config!$D:$D,0)),0))</f>
        <v/>
      </c>
    </row>
    <row r="226" ht="15.0" customHeight="1">
      <c r="A226" s="34"/>
      <c r="B226" s="35"/>
      <c r="C226" s="15"/>
      <c r="D226" s="15"/>
      <c r="E226" s="15"/>
      <c r="F226" s="15"/>
      <c r="G226" s="36" t="str">
        <f t="array" ref="G226">IF($F226="","",IFERROR(INDEX(Config!$E:$E,MATCH($F226,Config!$D:$D,0)),0))</f>
        <v/>
      </c>
      <c r="H226" s="16"/>
      <c r="I226" s="36" t="str">
        <f t="shared" si="1"/>
        <v/>
      </c>
      <c r="J226" s="16"/>
      <c r="K226" s="15"/>
      <c r="L226" s="15"/>
      <c r="M226" s="36" t="str">
        <f t="array" ref="M226">IF($A226="","",IF($L226="Atendido",IFERROR($I226*INDEX(Config!$B:$B,MATCH($C226,Config!$A:$A,0)),0),0))</f>
        <v/>
      </c>
      <c r="N226" s="36" t="str">
        <f t="shared" si="2"/>
        <v/>
      </c>
      <c r="O226" s="36" t="str">
        <f t="shared" si="3"/>
        <v/>
      </c>
      <c r="P226" s="15"/>
      <c r="Q226" s="37" t="str">
        <f t="shared" si="4"/>
        <v/>
      </c>
      <c r="R226" s="37" t="str">
        <f t="shared" si="5"/>
        <v/>
      </c>
      <c r="S226" s="32" t="str">
        <f t="shared" si="6"/>
        <v/>
      </c>
      <c r="T226" s="37" t="str">
        <f t="shared" si="7"/>
        <v/>
      </c>
      <c r="U226" s="37" t="str">
        <f t="array" ref="U226">IF($F226="","",IFERROR(INDEX(Config!$F:$F,MATCH($F226,Config!$D:$D,0)),0))</f>
        <v/>
      </c>
    </row>
    <row r="227" ht="15.0" customHeight="1">
      <c r="A227" s="34"/>
      <c r="B227" s="35"/>
      <c r="C227" s="15"/>
      <c r="D227" s="15"/>
      <c r="E227" s="15"/>
      <c r="F227" s="15"/>
      <c r="G227" s="36" t="str">
        <f t="array" ref="G227">IF($F227="","",IFERROR(INDEX(Config!$E:$E,MATCH($F227,Config!$D:$D,0)),0))</f>
        <v/>
      </c>
      <c r="H227" s="16"/>
      <c r="I227" s="36" t="str">
        <f t="shared" si="1"/>
        <v/>
      </c>
      <c r="J227" s="16"/>
      <c r="K227" s="15"/>
      <c r="L227" s="15"/>
      <c r="M227" s="36" t="str">
        <f t="array" ref="M227">IF($A227="","",IF($L227="Atendido",IFERROR($I227*INDEX(Config!$B:$B,MATCH($C227,Config!$A:$A,0)),0),0))</f>
        <v/>
      </c>
      <c r="N227" s="36" t="str">
        <f t="shared" si="2"/>
        <v/>
      </c>
      <c r="O227" s="36" t="str">
        <f t="shared" si="3"/>
        <v/>
      </c>
      <c r="P227" s="15"/>
      <c r="Q227" s="37" t="str">
        <f t="shared" si="4"/>
        <v/>
      </c>
      <c r="R227" s="37" t="str">
        <f t="shared" si="5"/>
        <v/>
      </c>
      <c r="S227" s="32" t="str">
        <f t="shared" si="6"/>
        <v/>
      </c>
      <c r="T227" s="37" t="str">
        <f t="shared" si="7"/>
        <v/>
      </c>
      <c r="U227" s="37" t="str">
        <f t="array" ref="U227">IF($F227="","",IFERROR(INDEX(Config!$F:$F,MATCH($F227,Config!$D:$D,0)),0))</f>
        <v/>
      </c>
    </row>
    <row r="228" ht="15.0" customHeight="1">
      <c r="A228" s="34"/>
      <c r="B228" s="35"/>
      <c r="C228" s="15"/>
      <c r="D228" s="15"/>
      <c r="E228" s="15"/>
      <c r="F228" s="15"/>
      <c r="G228" s="36" t="str">
        <f t="array" ref="G228">IF($F228="","",IFERROR(INDEX(Config!$E:$E,MATCH($F228,Config!$D:$D,0)),0))</f>
        <v/>
      </c>
      <c r="H228" s="16"/>
      <c r="I228" s="36" t="str">
        <f t="shared" si="1"/>
        <v/>
      </c>
      <c r="J228" s="16"/>
      <c r="K228" s="15"/>
      <c r="L228" s="15"/>
      <c r="M228" s="36" t="str">
        <f t="array" ref="M228">IF($A228="","",IF($L228="Atendido",IFERROR($I228*INDEX(Config!$B:$B,MATCH($C228,Config!$A:$A,0)),0),0))</f>
        <v/>
      </c>
      <c r="N228" s="36" t="str">
        <f t="shared" si="2"/>
        <v/>
      </c>
      <c r="O228" s="36" t="str">
        <f t="shared" si="3"/>
        <v/>
      </c>
      <c r="P228" s="15"/>
      <c r="Q228" s="37" t="str">
        <f t="shared" si="4"/>
        <v/>
      </c>
      <c r="R228" s="37" t="str">
        <f t="shared" si="5"/>
        <v/>
      </c>
      <c r="S228" s="32" t="str">
        <f t="shared" si="6"/>
        <v/>
      </c>
      <c r="T228" s="37" t="str">
        <f t="shared" si="7"/>
        <v/>
      </c>
      <c r="U228" s="37" t="str">
        <f t="array" ref="U228">IF($F228="","",IFERROR(INDEX(Config!$F:$F,MATCH($F228,Config!$D:$D,0)),0))</f>
        <v/>
      </c>
    </row>
    <row r="229" ht="15.0" customHeight="1">
      <c r="A229" s="34"/>
      <c r="B229" s="35"/>
      <c r="C229" s="15"/>
      <c r="D229" s="15"/>
      <c r="E229" s="15"/>
      <c r="F229" s="15"/>
      <c r="G229" s="36" t="str">
        <f t="array" ref="G229">IF($F229="","",IFERROR(INDEX(Config!$E:$E,MATCH($F229,Config!$D:$D,0)),0))</f>
        <v/>
      </c>
      <c r="H229" s="16"/>
      <c r="I229" s="36" t="str">
        <f t="shared" si="1"/>
        <v/>
      </c>
      <c r="J229" s="16"/>
      <c r="K229" s="15"/>
      <c r="L229" s="15"/>
      <c r="M229" s="36" t="str">
        <f t="array" ref="M229">IF($A229="","",IF($L229="Atendido",IFERROR($I229*INDEX(Config!$B:$B,MATCH($C229,Config!$A:$A,0)),0),0))</f>
        <v/>
      </c>
      <c r="N229" s="36" t="str">
        <f t="shared" si="2"/>
        <v/>
      </c>
      <c r="O229" s="36" t="str">
        <f t="shared" si="3"/>
        <v/>
      </c>
      <c r="P229" s="15"/>
      <c r="Q229" s="37" t="str">
        <f t="shared" si="4"/>
        <v/>
      </c>
      <c r="R229" s="37" t="str">
        <f t="shared" si="5"/>
        <v/>
      </c>
      <c r="S229" s="32" t="str">
        <f t="shared" si="6"/>
        <v/>
      </c>
      <c r="T229" s="37" t="str">
        <f t="shared" si="7"/>
        <v/>
      </c>
      <c r="U229" s="37" t="str">
        <f t="array" ref="U229">IF($F229="","",IFERROR(INDEX(Config!$F:$F,MATCH($F229,Config!$D:$D,0)),0))</f>
        <v/>
      </c>
    </row>
    <row r="230" ht="15.0" customHeight="1">
      <c r="A230" s="34"/>
      <c r="B230" s="35"/>
      <c r="C230" s="15"/>
      <c r="D230" s="15"/>
      <c r="E230" s="15"/>
      <c r="F230" s="15"/>
      <c r="G230" s="36" t="str">
        <f t="array" ref="G230">IF($F230="","",IFERROR(INDEX(Config!$E:$E,MATCH($F230,Config!$D:$D,0)),0))</f>
        <v/>
      </c>
      <c r="H230" s="16"/>
      <c r="I230" s="36" t="str">
        <f t="shared" si="1"/>
        <v/>
      </c>
      <c r="J230" s="16"/>
      <c r="K230" s="15"/>
      <c r="L230" s="15"/>
      <c r="M230" s="36" t="str">
        <f t="array" ref="M230">IF($A230="","",IF($L230="Atendido",IFERROR($I230*INDEX(Config!$B:$B,MATCH($C230,Config!$A:$A,0)),0),0))</f>
        <v/>
      </c>
      <c r="N230" s="36" t="str">
        <f t="shared" si="2"/>
        <v/>
      </c>
      <c r="O230" s="36" t="str">
        <f t="shared" si="3"/>
        <v/>
      </c>
      <c r="P230" s="15"/>
      <c r="Q230" s="37" t="str">
        <f t="shared" si="4"/>
        <v/>
      </c>
      <c r="R230" s="37" t="str">
        <f t="shared" si="5"/>
        <v/>
      </c>
      <c r="S230" s="32" t="str">
        <f t="shared" si="6"/>
        <v/>
      </c>
      <c r="T230" s="37" t="str">
        <f t="shared" si="7"/>
        <v/>
      </c>
      <c r="U230" s="37" t="str">
        <f t="array" ref="U230">IF($F230="","",IFERROR(INDEX(Config!$F:$F,MATCH($F230,Config!$D:$D,0)),0))</f>
        <v/>
      </c>
    </row>
    <row r="231" ht="15.0" customHeight="1">
      <c r="A231" s="34"/>
      <c r="B231" s="35"/>
      <c r="C231" s="15"/>
      <c r="D231" s="15"/>
      <c r="E231" s="15"/>
      <c r="F231" s="15"/>
      <c r="G231" s="36" t="str">
        <f t="array" ref="G231">IF($F231="","",IFERROR(INDEX(Config!$E:$E,MATCH($F231,Config!$D:$D,0)),0))</f>
        <v/>
      </c>
      <c r="H231" s="16"/>
      <c r="I231" s="36" t="str">
        <f t="shared" si="1"/>
        <v/>
      </c>
      <c r="J231" s="16"/>
      <c r="K231" s="15"/>
      <c r="L231" s="15"/>
      <c r="M231" s="36" t="str">
        <f t="array" ref="M231">IF($A231="","",IF($L231="Atendido",IFERROR($I231*INDEX(Config!$B:$B,MATCH($C231,Config!$A:$A,0)),0),0))</f>
        <v/>
      </c>
      <c r="N231" s="36" t="str">
        <f t="shared" si="2"/>
        <v/>
      </c>
      <c r="O231" s="36" t="str">
        <f t="shared" si="3"/>
        <v/>
      </c>
      <c r="P231" s="15"/>
      <c r="Q231" s="37" t="str">
        <f t="shared" si="4"/>
        <v/>
      </c>
      <c r="R231" s="37" t="str">
        <f t="shared" si="5"/>
        <v/>
      </c>
      <c r="S231" s="32" t="str">
        <f t="shared" si="6"/>
        <v/>
      </c>
      <c r="T231" s="37" t="str">
        <f t="shared" si="7"/>
        <v/>
      </c>
      <c r="U231" s="37" t="str">
        <f t="array" ref="U231">IF($F231="","",IFERROR(INDEX(Config!$F:$F,MATCH($F231,Config!$D:$D,0)),0))</f>
        <v/>
      </c>
    </row>
    <row r="232" ht="15.0" customHeight="1">
      <c r="A232" s="34"/>
      <c r="B232" s="35"/>
      <c r="C232" s="15"/>
      <c r="D232" s="15"/>
      <c r="E232" s="15"/>
      <c r="F232" s="15"/>
      <c r="G232" s="36" t="str">
        <f t="array" ref="G232">IF($F232="","",IFERROR(INDEX(Config!$E:$E,MATCH($F232,Config!$D:$D,0)),0))</f>
        <v/>
      </c>
      <c r="H232" s="16"/>
      <c r="I232" s="36" t="str">
        <f t="shared" si="1"/>
        <v/>
      </c>
      <c r="J232" s="16"/>
      <c r="K232" s="15"/>
      <c r="L232" s="15"/>
      <c r="M232" s="36" t="str">
        <f t="array" ref="M232">IF($A232="","",IF($L232="Atendido",IFERROR($I232*INDEX(Config!$B:$B,MATCH($C232,Config!$A:$A,0)),0),0))</f>
        <v/>
      </c>
      <c r="N232" s="36" t="str">
        <f t="shared" si="2"/>
        <v/>
      </c>
      <c r="O232" s="36" t="str">
        <f t="shared" si="3"/>
        <v/>
      </c>
      <c r="P232" s="15"/>
      <c r="Q232" s="37" t="str">
        <f t="shared" si="4"/>
        <v/>
      </c>
      <c r="R232" s="37" t="str">
        <f t="shared" si="5"/>
        <v/>
      </c>
      <c r="S232" s="32" t="str">
        <f t="shared" si="6"/>
        <v/>
      </c>
      <c r="T232" s="37" t="str">
        <f t="shared" si="7"/>
        <v/>
      </c>
      <c r="U232" s="37" t="str">
        <f t="array" ref="U232">IF($F232="","",IFERROR(INDEX(Config!$F:$F,MATCH($F232,Config!$D:$D,0)),0))</f>
        <v/>
      </c>
    </row>
    <row r="233" ht="15.0" customHeight="1">
      <c r="A233" s="34"/>
      <c r="B233" s="35"/>
      <c r="C233" s="15"/>
      <c r="D233" s="15"/>
      <c r="E233" s="15"/>
      <c r="F233" s="15"/>
      <c r="G233" s="36" t="str">
        <f t="array" ref="G233">IF($F233="","",IFERROR(INDEX(Config!$E:$E,MATCH($F233,Config!$D:$D,0)),0))</f>
        <v/>
      </c>
      <c r="H233" s="16"/>
      <c r="I233" s="36" t="str">
        <f t="shared" si="1"/>
        <v/>
      </c>
      <c r="J233" s="16"/>
      <c r="K233" s="15"/>
      <c r="L233" s="15"/>
      <c r="M233" s="36" t="str">
        <f t="array" ref="M233">IF($A233="","",IF($L233="Atendido",IFERROR($I233*INDEX(Config!$B:$B,MATCH($C233,Config!$A:$A,0)),0),0))</f>
        <v/>
      </c>
      <c r="N233" s="36" t="str">
        <f t="shared" si="2"/>
        <v/>
      </c>
      <c r="O233" s="36" t="str">
        <f t="shared" si="3"/>
        <v/>
      </c>
      <c r="P233" s="15"/>
      <c r="Q233" s="37" t="str">
        <f t="shared" si="4"/>
        <v/>
      </c>
      <c r="R233" s="37" t="str">
        <f t="shared" si="5"/>
        <v/>
      </c>
      <c r="S233" s="32" t="str">
        <f t="shared" si="6"/>
        <v/>
      </c>
      <c r="T233" s="37" t="str">
        <f t="shared" si="7"/>
        <v/>
      </c>
      <c r="U233" s="37" t="str">
        <f t="array" ref="U233">IF($F233="","",IFERROR(INDEX(Config!$F:$F,MATCH($F233,Config!$D:$D,0)),0))</f>
        <v/>
      </c>
    </row>
    <row r="234" ht="15.0" customHeight="1">
      <c r="A234" s="34"/>
      <c r="B234" s="35"/>
      <c r="C234" s="15"/>
      <c r="D234" s="15"/>
      <c r="E234" s="15"/>
      <c r="F234" s="15"/>
      <c r="G234" s="36" t="str">
        <f t="array" ref="G234">IF($F234="","",IFERROR(INDEX(Config!$E:$E,MATCH($F234,Config!$D:$D,0)),0))</f>
        <v/>
      </c>
      <c r="H234" s="16"/>
      <c r="I234" s="36" t="str">
        <f t="shared" si="1"/>
        <v/>
      </c>
      <c r="J234" s="16"/>
      <c r="K234" s="15"/>
      <c r="L234" s="15"/>
      <c r="M234" s="36" t="str">
        <f t="array" ref="M234">IF($A234="","",IF($L234="Atendido",IFERROR($I234*INDEX(Config!$B:$B,MATCH($C234,Config!$A:$A,0)),0),0))</f>
        <v/>
      </c>
      <c r="N234" s="36" t="str">
        <f t="shared" si="2"/>
        <v/>
      </c>
      <c r="O234" s="36" t="str">
        <f t="shared" si="3"/>
        <v/>
      </c>
      <c r="P234" s="15"/>
      <c r="Q234" s="37" t="str">
        <f t="shared" si="4"/>
        <v/>
      </c>
      <c r="R234" s="37" t="str">
        <f t="shared" si="5"/>
        <v/>
      </c>
      <c r="S234" s="32" t="str">
        <f t="shared" si="6"/>
        <v/>
      </c>
      <c r="T234" s="37" t="str">
        <f t="shared" si="7"/>
        <v/>
      </c>
      <c r="U234" s="37" t="str">
        <f t="array" ref="U234">IF($F234="","",IFERROR(INDEX(Config!$F:$F,MATCH($F234,Config!$D:$D,0)),0))</f>
        <v/>
      </c>
    </row>
    <row r="235" ht="15.0" customHeight="1">
      <c r="A235" s="34"/>
      <c r="B235" s="35"/>
      <c r="C235" s="15"/>
      <c r="D235" s="15"/>
      <c r="E235" s="15"/>
      <c r="F235" s="15"/>
      <c r="G235" s="36" t="str">
        <f t="array" ref="G235">IF($F235="","",IFERROR(INDEX(Config!$E:$E,MATCH($F235,Config!$D:$D,0)),0))</f>
        <v/>
      </c>
      <c r="H235" s="16"/>
      <c r="I235" s="36" t="str">
        <f t="shared" si="1"/>
        <v/>
      </c>
      <c r="J235" s="16"/>
      <c r="K235" s="15"/>
      <c r="L235" s="15"/>
      <c r="M235" s="36" t="str">
        <f t="array" ref="M235">IF($A235="","",IF($L235="Atendido",IFERROR($I235*INDEX(Config!$B:$B,MATCH($C235,Config!$A:$A,0)),0),0))</f>
        <v/>
      </c>
      <c r="N235" s="36" t="str">
        <f t="shared" si="2"/>
        <v/>
      </c>
      <c r="O235" s="36" t="str">
        <f t="shared" si="3"/>
        <v/>
      </c>
      <c r="P235" s="15"/>
      <c r="Q235" s="37" t="str">
        <f t="shared" si="4"/>
        <v/>
      </c>
      <c r="R235" s="37" t="str">
        <f t="shared" si="5"/>
        <v/>
      </c>
      <c r="S235" s="32" t="str">
        <f t="shared" si="6"/>
        <v/>
      </c>
      <c r="T235" s="37" t="str">
        <f t="shared" si="7"/>
        <v/>
      </c>
      <c r="U235" s="37" t="str">
        <f t="array" ref="U235">IF($F235="","",IFERROR(INDEX(Config!$F:$F,MATCH($F235,Config!$D:$D,0)),0))</f>
        <v/>
      </c>
    </row>
    <row r="236" ht="15.0" customHeight="1">
      <c r="A236" s="34"/>
      <c r="B236" s="35"/>
      <c r="C236" s="15"/>
      <c r="D236" s="15"/>
      <c r="E236" s="15"/>
      <c r="F236" s="15"/>
      <c r="G236" s="36" t="str">
        <f t="array" ref="G236">IF($F236="","",IFERROR(INDEX(Config!$E:$E,MATCH($F236,Config!$D:$D,0)),0))</f>
        <v/>
      </c>
      <c r="H236" s="16"/>
      <c r="I236" s="36" t="str">
        <f t="shared" si="1"/>
        <v/>
      </c>
      <c r="J236" s="16"/>
      <c r="K236" s="15"/>
      <c r="L236" s="15"/>
      <c r="M236" s="36" t="str">
        <f t="array" ref="M236">IF($A236="","",IF($L236="Atendido",IFERROR($I236*INDEX(Config!$B:$B,MATCH($C236,Config!$A:$A,0)),0),0))</f>
        <v/>
      </c>
      <c r="N236" s="36" t="str">
        <f t="shared" si="2"/>
        <v/>
      </c>
      <c r="O236" s="36" t="str">
        <f t="shared" si="3"/>
        <v/>
      </c>
      <c r="P236" s="15"/>
      <c r="Q236" s="37" t="str">
        <f t="shared" si="4"/>
        <v/>
      </c>
      <c r="R236" s="37" t="str">
        <f t="shared" si="5"/>
        <v/>
      </c>
      <c r="S236" s="32" t="str">
        <f t="shared" si="6"/>
        <v/>
      </c>
      <c r="T236" s="37" t="str">
        <f t="shared" si="7"/>
        <v/>
      </c>
      <c r="U236" s="37" t="str">
        <f t="array" ref="U236">IF($F236="","",IFERROR(INDEX(Config!$F:$F,MATCH($F236,Config!$D:$D,0)),0))</f>
        <v/>
      </c>
    </row>
    <row r="237" ht="15.0" customHeight="1">
      <c r="A237" s="34"/>
      <c r="B237" s="35"/>
      <c r="C237" s="15"/>
      <c r="D237" s="15"/>
      <c r="E237" s="15"/>
      <c r="F237" s="15"/>
      <c r="G237" s="36" t="str">
        <f t="array" ref="G237">IF($F237="","",IFERROR(INDEX(Config!$E:$E,MATCH($F237,Config!$D:$D,0)),0))</f>
        <v/>
      </c>
      <c r="H237" s="16"/>
      <c r="I237" s="36" t="str">
        <f t="shared" si="1"/>
        <v/>
      </c>
      <c r="J237" s="16"/>
      <c r="K237" s="15"/>
      <c r="L237" s="15"/>
      <c r="M237" s="36" t="str">
        <f t="array" ref="M237">IF($A237="","",IF($L237="Atendido",IFERROR($I237*INDEX(Config!$B:$B,MATCH($C237,Config!$A:$A,0)),0),0))</f>
        <v/>
      </c>
      <c r="N237" s="36" t="str">
        <f t="shared" si="2"/>
        <v/>
      </c>
      <c r="O237" s="36" t="str">
        <f t="shared" si="3"/>
        <v/>
      </c>
      <c r="P237" s="15"/>
      <c r="Q237" s="37" t="str">
        <f t="shared" si="4"/>
        <v/>
      </c>
      <c r="R237" s="37" t="str">
        <f t="shared" si="5"/>
        <v/>
      </c>
      <c r="S237" s="32" t="str">
        <f t="shared" si="6"/>
        <v/>
      </c>
      <c r="T237" s="37" t="str">
        <f t="shared" si="7"/>
        <v/>
      </c>
      <c r="U237" s="37" t="str">
        <f t="array" ref="U237">IF($F237="","",IFERROR(INDEX(Config!$F:$F,MATCH($F237,Config!$D:$D,0)),0))</f>
        <v/>
      </c>
    </row>
    <row r="238" ht="15.0" customHeight="1">
      <c r="A238" s="34"/>
      <c r="B238" s="35"/>
      <c r="C238" s="15"/>
      <c r="D238" s="15"/>
      <c r="E238" s="15"/>
      <c r="F238" s="15"/>
      <c r="G238" s="36" t="str">
        <f t="array" ref="G238">IF($F238="","",IFERROR(INDEX(Config!$E:$E,MATCH($F238,Config!$D:$D,0)),0))</f>
        <v/>
      </c>
      <c r="H238" s="16"/>
      <c r="I238" s="36" t="str">
        <f t="shared" si="1"/>
        <v/>
      </c>
      <c r="J238" s="16"/>
      <c r="K238" s="15"/>
      <c r="L238" s="15"/>
      <c r="M238" s="36" t="str">
        <f t="array" ref="M238">IF($A238="","",IF($L238="Atendido",IFERROR($I238*INDEX(Config!$B:$B,MATCH($C238,Config!$A:$A,0)),0),0))</f>
        <v/>
      </c>
      <c r="N238" s="36" t="str">
        <f t="shared" si="2"/>
        <v/>
      </c>
      <c r="O238" s="36" t="str">
        <f t="shared" si="3"/>
        <v/>
      </c>
      <c r="P238" s="15"/>
      <c r="Q238" s="37" t="str">
        <f t="shared" si="4"/>
        <v/>
      </c>
      <c r="R238" s="37" t="str">
        <f t="shared" si="5"/>
        <v/>
      </c>
      <c r="S238" s="32" t="str">
        <f t="shared" si="6"/>
        <v/>
      </c>
      <c r="T238" s="37" t="str">
        <f t="shared" si="7"/>
        <v/>
      </c>
      <c r="U238" s="37" t="str">
        <f t="array" ref="U238">IF($F238="","",IFERROR(INDEX(Config!$F:$F,MATCH($F238,Config!$D:$D,0)),0))</f>
        <v/>
      </c>
    </row>
    <row r="239" ht="15.0" customHeight="1">
      <c r="A239" s="34"/>
      <c r="B239" s="35"/>
      <c r="C239" s="15"/>
      <c r="D239" s="15"/>
      <c r="E239" s="15"/>
      <c r="F239" s="15"/>
      <c r="G239" s="36" t="str">
        <f t="array" ref="G239">IF($F239="","",IFERROR(INDEX(Config!$E:$E,MATCH($F239,Config!$D:$D,0)),0))</f>
        <v/>
      </c>
      <c r="H239" s="16"/>
      <c r="I239" s="36" t="str">
        <f t="shared" si="1"/>
        <v/>
      </c>
      <c r="J239" s="16"/>
      <c r="K239" s="15"/>
      <c r="L239" s="15"/>
      <c r="M239" s="36" t="str">
        <f t="array" ref="M239">IF($A239="","",IF($L239="Atendido",IFERROR($I239*INDEX(Config!$B:$B,MATCH($C239,Config!$A:$A,0)),0),0))</f>
        <v/>
      </c>
      <c r="N239" s="36" t="str">
        <f t="shared" si="2"/>
        <v/>
      </c>
      <c r="O239" s="36" t="str">
        <f t="shared" si="3"/>
        <v/>
      </c>
      <c r="P239" s="15"/>
      <c r="Q239" s="37" t="str">
        <f t="shared" si="4"/>
        <v/>
      </c>
      <c r="R239" s="37" t="str">
        <f t="shared" si="5"/>
        <v/>
      </c>
      <c r="S239" s="32" t="str">
        <f t="shared" si="6"/>
        <v/>
      </c>
      <c r="T239" s="37" t="str">
        <f t="shared" si="7"/>
        <v/>
      </c>
      <c r="U239" s="37" t="str">
        <f t="array" ref="U239">IF($F239="","",IFERROR(INDEX(Config!$F:$F,MATCH($F239,Config!$D:$D,0)),0))</f>
        <v/>
      </c>
    </row>
    <row r="240" ht="15.0" customHeight="1">
      <c r="A240" s="34"/>
      <c r="B240" s="35"/>
      <c r="C240" s="15"/>
      <c r="D240" s="15"/>
      <c r="E240" s="15"/>
      <c r="F240" s="15"/>
      <c r="G240" s="36" t="str">
        <f t="array" ref="G240">IF($F240="","",IFERROR(INDEX(Config!$E:$E,MATCH($F240,Config!$D:$D,0)),0))</f>
        <v/>
      </c>
      <c r="H240" s="16"/>
      <c r="I240" s="36" t="str">
        <f t="shared" si="1"/>
        <v/>
      </c>
      <c r="J240" s="16"/>
      <c r="K240" s="15"/>
      <c r="L240" s="15"/>
      <c r="M240" s="36" t="str">
        <f t="array" ref="M240">IF($A240="","",IF($L240="Atendido",IFERROR($I240*INDEX(Config!$B:$B,MATCH($C240,Config!$A:$A,0)),0),0))</f>
        <v/>
      </c>
      <c r="N240" s="36" t="str">
        <f t="shared" si="2"/>
        <v/>
      </c>
      <c r="O240" s="36" t="str">
        <f t="shared" si="3"/>
        <v/>
      </c>
      <c r="P240" s="15"/>
      <c r="Q240" s="37" t="str">
        <f t="shared" si="4"/>
        <v/>
      </c>
      <c r="R240" s="37" t="str">
        <f t="shared" si="5"/>
        <v/>
      </c>
      <c r="S240" s="32" t="str">
        <f t="shared" si="6"/>
        <v/>
      </c>
      <c r="T240" s="37" t="str">
        <f t="shared" si="7"/>
        <v/>
      </c>
      <c r="U240" s="37" t="str">
        <f t="array" ref="U240">IF($F240="","",IFERROR(INDEX(Config!$F:$F,MATCH($F240,Config!$D:$D,0)),0))</f>
        <v/>
      </c>
    </row>
    <row r="241" ht="15.0" customHeight="1">
      <c r="A241" s="34"/>
      <c r="B241" s="35"/>
      <c r="C241" s="15"/>
      <c r="D241" s="15"/>
      <c r="E241" s="15"/>
      <c r="F241" s="15"/>
      <c r="G241" s="36" t="str">
        <f t="array" ref="G241">IF($F241="","",IFERROR(INDEX(Config!$E:$E,MATCH($F241,Config!$D:$D,0)),0))</f>
        <v/>
      </c>
      <c r="H241" s="16"/>
      <c r="I241" s="36" t="str">
        <f t="shared" si="1"/>
        <v/>
      </c>
      <c r="J241" s="16"/>
      <c r="K241" s="15"/>
      <c r="L241" s="15"/>
      <c r="M241" s="36" t="str">
        <f t="array" ref="M241">IF($A241="","",IF($L241="Atendido",IFERROR($I241*INDEX(Config!$B:$B,MATCH($C241,Config!$A:$A,0)),0),0))</f>
        <v/>
      </c>
      <c r="N241" s="36" t="str">
        <f t="shared" si="2"/>
        <v/>
      </c>
      <c r="O241" s="36" t="str">
        <f t="shared" si="3"/>
        <v/>
      </c>
      <c r="P241" s="15"/>
      <c r="Q241" s="37" t="str">
        <f t="shared" si="4"/>
        <v/>
      </c>
      <c r="R241" s="37" t="str">
        <f t="shared" si="5"/>
        <v/>
      </c>
      <c r="S241" s="32" t="str">
        <f t="shared" si="6"/>
        <v/>
      </c>
      <c r="T241" s="37" t="str">
        <f t="shared" si="7"/>
        <v/>
      </c>
      <c r="U241" s="37" t="str">
        <f t="array" ref="U241">IF($F241="","",IFERROR(INDEX(Config!$F:$F,MATCH($F241,Config!$D:$D,0)),0))</f>
        <v/>
      </c>
    </row>
    <row r="242" ht="15.0" customHeight="1">
      <c r="A242" s="34"/>
      <c r="B242" s="35"/>
      <c r="C242" s="15"/>
      <c r="D242" s="15"/>
      <c r="E242" s="15"/>
      <c r="F242" s="15"/>
      <c r="G242" s="36" t="str">
        <f t="array" ref="G242">IF($F242="","",IFERROR(INDEX(Config!$E:$E,MATCH($F242,Config!$D:$D,0)),0))</f>
        <v/>
      </c>
      <c r="H242" s="16"/>
      <c r="I242" s="36" t="str">
        <f t="shared" si="1"/>
        <v/>
      </c>
      <c r="J242" s="16"/>
      <c r="K242" s="15"/>
      <c r="L242" s="15"/>
      <c r="M242" s="36" t="str">
        <f t="array" ref="M242">IF($A242="","",IF($L242="Atendido",IFERROR($I242*INDEX(Config!$B:$B,MATCH($C242,Config!$A:$A,0)),0),0))</f>
        <v/>
      </c>
      <c r="N242" s="36" t="str">
        <f t="shared" si="2"/>
        <v/>
      </c>
      <c r="O242" s="36" t="str">
        <f t="shared" si="3"/>
        <v/>
      </c>
      <c r="P242" s="15"/>
      <c r="Q242" s="37" t="str">
        <f t="shared" si="4"/>
        <v/>
      </c>
      <c r="R242" s="37" t="str">
        <f t="shared" si="5"/>
        <v/>
      </c>
      <c r="S242" s="32" t="str">
        <f t="shared" si="6"/>
        <v/>
      </c>
      <c r="T242" s="37" t="str">
        <f t="shared" si="7"/>
        <v/>
      </c>
      <c r="U242" s="37" t="str">
        <f t="array" ref="U242">IF($F242="","",IFERROR(INDEX(Config!$F:$F,MATCH($F242,Config!$D:$D,0)),0))</f>
        <v/>
      </c>
    </row>
    <row r="243" ht="15.0" customHeight="1">
      <c r="A243" s="34"/>
      <c r="B243" s="35"/>
      <c r="C243" s="15"/>
      <c r="D243" s="15"/>
      <c r="E243" s="15"/>
      <c r="F243" s="15"/>
      <c r="G243" s="36" t="str">
        <f t="array" ref="G243">IF($F243="","",IFERROR(INDEX(Config!$E:$E,MATCH($F243,Config!$D:$D,0)),0))</f>
        <v/>
      </c>
      <c r="H243" s="16"/>
      <c r="I243" s="36" t="str">
        <f t="shared" si="1"/>
        <v/>
      </c>
      <c r="J243" s="16"/>
      <c r="K243" s="15"/>
      <c r="L243" s="15"/>
      <c r="M243" s="36" t="str">
        <f t="array" ref="M243">IF($A243="","",IF($L243="Atendido",IFERROR($I243*INDEX(Config!$B:$B,MATCH($C243,Config!$A:$A,0)),0),0))</f>
        <v/>
      </c>
      <c r="N243" s="36" t="str">
        <f t="shared" si="2"/>
        <v/>
      </c>
      <c r="O243" s="36" t="str">
        <f t="shared" si="3"/>
        <v/>
      </c>
      <c r="P243" s="15"/>
      <c r="Q243" s="37" t="str">
        <f t="shared" si="4"/>
        <v/>
      </c>
      <c r="R243" s="37" t="str">
        <f t="shared" si="5"/>
        <v/>
      </c>
      <c r="S243" s="32" t="str">
        <f t="shared" si="6"/>
        <v/>
      </c>
      <c r="T243" s="37" t="str">
        <f t="shared" si="7"/>
        <v/>
      </c>
      <c r="U243" s="37" t="str">
        <f t="array" ref="U243">IF($F243="","",IFERROR(INDEX(Config!$F:$F,MATCH($F243,Config!$D:$D,0)),0))</f>
        <v/>
      </c>
    </row>
    <row r="244" ht="15.0" customHeight="1">
      <c r="A244" s="34"/>
      <c r="B244" s="35"/>
      <c r="C244" s="15"/>
      <c r="D244" s="15"/>
      <c r="E244" s="15"/>
      <c r="F244" s="15"/>
      <c r="G244" s="36" t="str">
        <f t="array" ref="G244">IF($F244="","",IFERROR(INDEX(Config!$E:$E,MATCH($F244,Config!$D:$D,0)),0))</f>
        <v/>
      </c>
      <c r="H244" s="16"/>
      <c r="I244" s="36" t="str">
        <f t="shared" si="1"/>
        <v/>
      </c>
      <c r="J244" s="16"/>
      <c r="K244" s="15"/>
      <c r="L244" s="15"/>
      <c r="M244" s="36" t="str">
        <f t="array" ref="M244">IF($A244="","",IF($L244="Atendido",IFERROR($I244*INDEX(Config!$B:$B,MATCH($C244,Config!$A:$A,0)),0),0))</f>
        <v/>
      </c>
      <c r="N244" s="36" t="str">
        <f t="shared" si="2"/>
        <v/>
      </c>
      <c r="O244" s="36" t="str">
        <f t="shared" si="3"/>
        <v/>
      </c>
      <c r="P244" s="15"/>
      <c r="Q244" s="37" t="str">
        <f t="shared" si="4"/>
        <v/>
      </c>
      <c r="R244" s="37" t="str">
        <f t="shared" si="5"/>
        <v/>
      </c>
      <c r="S244" s="32" t="str">
        <f t="shared" si="6"/>
        <v/>
      </c>
      <c r="T244" s="37" t="str">
        <f t="shared" si="7"/>
        <v/>
      </c>
      <c r="U244" s="37" t="str">
        <f t="array" ref="U244">IF($F244="","",IFERROR(INDEX(Config!$F:$F,MATCH($F244,Config!$D:$D,0)),0))</f>
        <v/>
      </c>
    </row>
    <row r="245" ht="15.0" customHeight="1">
      <c r="A245" s="34"/>
      <c r="B245" s="35"/>
      <c r="C245" s="15"/>
      <c r="D245" s="15"/>
      <c r="E245" s="15"/>
      <c r="F245" s="15"/>
      <c r="G245" s="36" t="str">
        <f t="array" ref="G245">IF($F245="","",IFERROR(INDEX(Config!$E:$E,MATCH($F245,Config!$D:$D,0)),0))</f>
        <v/>
      </c>
      <c r="H245" s="16"/>
      <c r="I245" s="36" t="str">
        <f t="shared" si="1"/>
        <v/>
      </c>
      <c r="J245" s="16"/>
      <c r="K245" s="15"/>
      <c r="L245" s="15"/>
      <c r="M245" s="36" t="str">
        <f t="array" ref="M245">IF($A245="","",IF($L245="Atendido",IFERROR($I245*INDEX(Config!$B:$B,MATCH($C245,Config!$A:$A,0)),0),0))</f>
        <v/>
      </c>
      <c r="N245" s="36" t="str">
        <f t="shared" si="2"/>
        <v/>
      </c>
      <c r="O245" s="36" t="str">
        <f t="shared" si="3"/>
        <v/>
      </c>
      <c r="P245" s="15"/>
      <c r="Q245" s="37" t="str">
        <f t="shared" si="4"/>
        <v/>
      </c>
      <c r="R245" s="37" t="str">
        <f t="shared" si="5"/>
        <v/>
      </c>
      <c r="S245" s="32" t="str">
        <f t="shared" si="6"/>
        <v/>
      </c>
      <c r="T245" s="37" t="str">
        <f t="shared" si="7"/>
        <v/>
      </c>
      <c r="U245" s="37" t="str">
        <f t="array" ref="U245">IF($F245="","",IFERROR(INDEX(Config!$F:$F,MATCH($F245,Config!$D:$D,0)),0))</f>
        <v/>
      </c>
    </row>
    <row r="246" ht="15.0" customHeight="1">
      <c r="A246" s="34"/>
      <c r="B246" s="35"/>
      <c r="C246" s="15"/>
      <c r="D246" s="15"/>
      <c r="E246" s="15"/>
      <c r="F246" s="15"/>
      <c r="G246" s="36" t="str">
        <f t="array" ref="G246">IF($F246="","",IFERROR(INDEX(Config!$E:$E,MATCH($F246,Config!$D:$D,0)),0))</f>
        <v/>
      </c>
      <c r="H246" s="16"/>
      <c r="I246" s="36" t="str">
        <f t="shared" si="1"/>
        <v/>
      </c>
      <c r="J246" s="16"/>
      <c r="K246" s="15"/>
      <c r="L246" s="15"/>
      <c r="M246" s="36" t="str">
        <f t="array" ref="M246">IF($A246="","",IF($L246="Atendido",IFERROR($I246*INDEX(Config!$B:$B,MATCH($C246,Config!$A:$A,0)),0),0))</f>
        <v/>
      </c>
      <c r="N246" s="36" t="str">
        <f t="shared" si="2"/>
        <v/>
      </c>
      <c r="O246" s="36" t="str">
        <f t="shared" si="3"/>
        <v/>
      </c>
      <c r="P246" s="15"/>
      <c r="Q246" s="37" t="str">
        <f t="shared" si="4"/>
        <v/>
      </c>
      <c r="R246" s="37" t="str">
        <f t="shared" si="5"/>
        <v/>
      </c>
      <c r="S246" s="32" t="str">
        <f t="shared" si="6"/>
        <v/>
      </c>
      <c r="T246" s="37" t="str">
        <f t="shared" si="7"/>
        <v/>
      </c>
      <c r="U246" s="37" t="str">
        <f t="array" ref="U246">IF($F246="","",IFERROR(INDEX(Config!$F:$F,MATCH($F246,Config!$D:$D,0)),0))</f>
        <v/>
      </c>
    </row>
    <row r="247" ht="15.0" customHeight="1">
      <c r="A247" s="34"/>
      <c r="B247" s="35"/>
      <c r="C247" s="15"/>
      <c r="D247" s="15"/>
      <c r="E247" s="15"/>
      <c r="F247" s="15"/>
      <c r="G247" s="36" t="str">
        <f t="array" ref="G247">IF($F247="","",IFERROR(INDEX(Config!$E:$E,MATCH($F247,Config!$D:$D,0)),0))</f>
        <v/>
      </c>
      <c r="H247" s="16"/>
      <c r="I247" s="36" t="str">
        <f t="shared" si="1"/>
        <v/>
      </c>
      <c r="J247" s="16"/>
      <c r="K247" s="15"/>
      <c r="L247" s="15"/>
      <c r="M247" s="36" t="str">
        <f t="array" ref="M247">IF($A247="","",IF($L247="Atendido",IFERROR($I247*INDEX(Config!$B:$B,MATCH($C247,Config!$A:$A,0)),0),0))</f>
        <v/>
      </c>
      <c r="N247" s="36" t="str">
        <f t="shared" si="2"/>
        <v/>
      </c>
      <c r="O247" s="36" t="str">
        <f t="shared" si="3"/>
        <v/>
      </c>
      <c r="P247" s="15"/>
      <c r="Q247" s="37" t="str">
        <f t="shared" si="4"/>
        <v/>
      </c>
      <c r="R247" s="37" t="str">
        <f t="shared" si="5"/>
        <v/>
      </c>
      <c r="S247" s="32" t="str">
        <f t="shared" si="6"/>
        <v/>
      </c>
      <c r="T247" s="37" t="str">
        <f t="shared" si="7"/>
        <v/>
      </c>
      <c r="U247" s="37" t="str">
        <f t="array" ref="U247">IF($F247="","",IFERROR(INDEX(Config!$F:$F,MATCH($F247,Config!$D:$D,0)),0))</f>
        <v/>
      </c>
    </row>
    <row r="248" ht="15.0" customHeight="1">
      <c r="A248" s="34"/>
      <c r="B248" s="35"/>
      <c r="C248" s="15"/>
      <c r="D248" s="15"/>
      <c r="E248" s="15"/>
      <c r="F248" s="15"/>
      <c r="G248" s="36" t="str">
        <f t="array" ref="G248">IF($F248="","",IFERROR(INDEX(Config!$E:$E,MATCH($F248,Config!$D:$D,0)),0))</f>
        <v/>
      </c>
      <c r="H248" s="16"/>
      <c r="I248" s="36" t="str">
        <f t="shared" si="1"/>
        <v/>
      </c>
      <c r="J248" s="16"/>
      <c r="K248" s="15"/>
      <c r="L248" s="15"/>
      <c r="M248" s="36" t="str">
        <f t="array" ref="M248">IF($A248="","",IF($L248="Atendido",IFERROR($I248*INDEX(Config!$B:$B,MATCH($C248,Config!$A:$A,0)),0),0))</f>
        <v/>
      </c>
      <c r="N248" s="36" t="str">
        <f t="shared" si="2"/>
        <v/>
      </c>
      <c r="O248" s="36" t="str">
        <f t="shared" si="3"/>
        <v/>
      </c>
      <c r="P248" s="15"/>
      <c r="Q248" s="37" t="str">
        <f t="shared" si="4"/>
        <v/>
      </c>
      <c r="R248" s="37" t="str">
        <f t="shared" si="5"/>
        <v/>
      </c>
      <c r="S248" s="32" t="str">
        <f t="shared" si="6"/>
        <v/>
      </c>
      <c r="T248" s="37" t="str">
        <f t="shared" si="7"/>
        <v/>
      </c>
      <c r="U248" s="37" t="str">
        <f t="array" ref="U248">IF($F248="","",IFERROR(INDEX(Config!$F:$F,MATCH($F248,Config!$D:$D,0)),0))</f>
        <v/>
      </c>
    </row>
    <row r="249" ht="15.0" customHeight="1">
      <c r="A249" s="34"/>
      <c r="B249" s="35"/>
      <c r="C249" s="15"/>
      <c r="D249" s="15"/>
      <c r="E249" s="15"/>
      <c r="F249" s="15"/>
      <c r="G249" s="36" t="str">
        <f t="array" ref="G249">IF($F249="","",IFERROR(INDEX(Config!$E:$E,MATCH($F249,Config!$D:$D,0)),0))</f>
        <v/>
      </c>
      <c r="H249" s="16"/>
      <c r="I249" s="36" t="str">
        <f t="shared" si="1"/>
        <v/>
      </c>
      <c r="J249" s="16"/>
      <c r="K249" s="15"/>
      <c r="L249" s="15"/>
      <c r="M249" s="36" t="str">
        <f t="array" ref="M249">IF($A249="","",IF($L249="Atendido",IFERROR($I249*INDEX(Config!$B:$B,MATCH($C249,Config!$A:$A,0)),0),0))</f>
        <v/>
      </c>
      <c r="N249" s="36" t="str">
        <f t="shared" si="2"/>
        <v/>
      </c>
      <c r="O249" s="36" t="str">
        <f t="shared" si="3"/>
        <v/>
      </c>
      <c r="P249" s="15"/>
      <c r="Q249" s="37" t="str">
        <f t="shared" si="4"/>
        <v/>
      </c>
      <c r="R249" s="37" t="str">
        <f t="shared" si="5"/>
        <v/>
      </c>
      <c r="S249" s="32" t="str">
        <f t="shared" si="6"/>
        <v/>
      </c>
      <c r="T249" s="37" t="str">
        <f t="shared" si="7"/>
        <v/>
      </c>
      <c r="U249" s="37" t="str">
        <f t="array" ref="U249">IF($F249="","",IFERROR(INDEX(Config!$F:$F,MATCH($F249,Config!$D:$D,0)),0))</f>
        <v/>
      </c>
    </row>
    <row r="250" ht="15.0" customHeight="1">
      <c r="A250" s="34"/>
      <c r="B250" s="35"/>
      <c r="C250" s="15"/>
      <c r="D250" s="15"/>
      <c r="E250" s="15"/>
      <c r="F250" s="15"/>
      <c r="G250" s="36" t="str">
        <f t="array" ref="G250">IF($F250="","",IFERROR(INDEX(Config!$E:$E,MATCH($F250,Config!$D:$D,0)),0))</f>
        <v/>
      </c>
      <c r="H250" s="16"/>
      <c r="I250" s="36" t="str">
        <f t="shared" si="1"/>
        <v/>
      </c>
      <c r="J250" s="16"/>
      <c r="K250" s="15"/>
      <c r="L250" s="15"/>
      <c r="M250" s="36" t="str">
        <f t="array" ref="M250">IF($A250="","",IF($L250="Atendido",IFERROR($I250*INDEX(Config!$B:$B,MATCH($C250,Config!$A:$A,0)),0),0))</f>
        <v/>
      </c>
      <c r="N250" s="36" t="str">
        <f t="shared" si="2"/>
        <v/>
      </c>
      <c r="O250" s="36" t="str">
        <f t="shared" si="3"/>
        <v/>
      </c>
      <c r="P250" s="15"/>
      <c r="Q250" s="37" t="str">
        <f t="shared" si="4"/>
        <v/>
      </c>
      <c r="R250" s="37" t="str">
        <f t="shared" si="5"/>
        <v/>
      </c>
      <c r="S250" s="32" t="str">
        <f t="shared" si="6"/>
        <v/>
      </c>
      <c r="T250" s="37" t="str">
        <f t="shared" si="7"/>
        <v/>
      </c>
      <c r="U250" s="37" t="str">
        <f t="array" ref="U250">IF($F250="","",IFERROR(INDEX(Config!$F:$F,MATCH($F250,Config!$D:$D,0)),0))</f>
        <v/>
      </c>
    </row>
    <row r="251" ht="15.0" customHeight="1">
      <c r="A251" s="34"/>
      <c r="B251" s="35"/>
      <c r="C251" s="15"/>
      <c r="D251" s="15"/>
      <c r="E251" s="15"/>
      <c r="F251" s="15"/>
      <c r="G251" s="36" t="str">
        <f t="array" ref="G251">IF($F251="","",IFERROR(INDEX(Config!$E:$E,MATCH($F251,Config!$D:$D,0)),0))</f>
        <v/>
      </c>
      <c r="H251" s="16"/>
      <c r="I251" s="36" t="str">
        <f t="shared" si="1"/>
        <v/>
      </c>
      <c r="J251" s="16"/>
      <c r="K251" s="15"/>
      <c r="L251" s="15"/>
      <c r="M251" s="36" t="str">
        <f t="array" ref="M251">IF($A251="","",IF($L251="Atendido",IFERROR($I251*INDEX(Config!$B:$B,MATCH($C251,Config!$A:$A,0)),0),0))</f>
        <v/>
      </c>
      <c r="N251" s="36" t="str">
        <f t="shared" si="2"/>
        <v/>
      </c>
      <c r="O251" s="36" t="str">
        <f t="shared" si="3"/>
        <v/>
      </c>
      <c r="P251" s="15"/>
      <c r="Q251" s="37" t="str">
        <f t="shared" si="4"/>
        <v/>
      </c>
      <c r="R251" s="37" t="str">
        <f t="shared" si="5"/>
        <v/>
      </c>
      <c r="S251" s="32" t="str">
        <f t="shared" si="6"/>
        <v/>
      </c>
      <c r="T251" s="37" t="str">
        <f t="shared" si="7"/>
        <v/>
      </c>
      <c r="U251" s="37" t="str">
        <f t="array" ref="U251">IF($F251="","",IFERROR(INDEX(Config!$F:$F,MATCH($F251,Config!$D:$D,0)),0))</f>
        <v/>
      </c>
    </row>
    <row r="252" ht="15.0" customHeight="1">
      <c r="A252" s="34"/>
      <c r="B252" s="35"/>
      <c r="C252" s="15"/>
      <c r="D252" s="15"/>
      <c r="E252" s="15"/>
      <c r="F252" s="15"/>
      <c r="G252" s="36" t="str">
        <f t="array" ref="G252">IF($F252="","",IFERROR(INDEX(Config!$E:$E,MATCH($F252,Config!$D:$D,0)),0))</f>
        <v/>
      </c>
      <c r="H252" s="16"/>
      <c r="I252" s="36" t="str">
        <f t="shared" si="1"/>
        <v/>
      </c>
      <c r="J252" s="16"/>
      <c r="K252" s="15"/>
      <c r="L252" s="15"/>
      <c r="M252" s="36" t="str">
        <f t="array" ref="M252">IF($A252="","",IF($L252="Atendido",IFERROR($I252*INDEX(Config!$B:$B,MATCH($C252,Config!$A:$A,0)),0),0))</f>
        <v/>
      </c>
      <c r="N252" s="36" t="str">
        <f t="shared" si="2"/>
        <v/>
      </c>
      <c r="O252" s="36" t="str">
        <f t="shared" si="3"/>
        <v/>
      </c>
      <c r="P252" s="15"/>
      <c r="Q252" s="37" t="str">
        <f t="shared" si="4"/>
        <v/>
      </c>
      <c r="R252" s="37" t="str">
        <f t="shared" si="5"/>
        <v/>
      </c>
      <c r="S252" s="32" t="str">
        <f t="shared" si="6"/>
        <v/>
      </c>
      <c r="T252" s="37" t="str">
        <f t="shared" si="7"/>
        <v/>
      </c>
      <c r="U252" s="37" t="str">
        <f t="array" ref="U252">IF($F252="","",IFERROR(INDEX(Config!$F:$F,MATCH($F252,Config!$D:$D,0)),0))</f>
        <v/>
      </c>
    </row>
    <row r="253" ht="15.0" customHeight="1">
      <c r="A253" s="34"/>
      <c r="B253" s="35"/>
      <c r="C253" s="15"/>
      <c r="D253" s="15"/>
      <c r="E253" s="15"/>
      <c r="F253" s="15"/>
      <c r="G253" s="36" t="str">
        <f t="array" ref="G253">IF($F253="","",IFERROR(INDEX(Config!$E:$E,MATCH($F253,Config!$D:$D,0)),0))</f>
        <v/>
      </c>
      <c r="H253" s="16"/>
      <c r="I253" s="36" t="str">
        <f t="shared" si="1"/>
        <v/>
      </c>
      <c r="J253" s="16"/>
      <c r="K253" s="15"/>
      <c r="L253" s="15"/>
      <c r="M253" s="36" t="str">
        <f t="array" ref="M253">IF($A253="","",IF($L253="Atendido",IFERROR($I253*INDEX(Config!$B:$B,MATCH($C253,Config!$A:$A,0)),0),0))</f>
        <v/>
      </c>
      <c r="N253" s="36" t="str">
        <f t="shared" si="2"/>
        <v/>
      </c>
      <c r="O253" s="36" t="str">
        <f t="shared" si="3"/>
        <v/>
      </c>
      <c r="P253" s="15"/>
      <c r="Q253" s="37" t="str">
        <f t="shared" si="4"/>
        <v/>
      </c>
      <c r="R253" s="37" t="str">
        <f t="shared" si="5"/>
        <v/>
      </c>
      <c r="S253" s="32" t="str">
        <f t="shared" si="6"/>
        <v/>
      </c>
      <c r="T253" s="37" t="str">
        <f t="shared" si="7"/>
        <v/>
      </c>
      <c r="U253" s="37" t="str">
        <f t="array" ref="U253">IF($F253="","",IFERROR(INDEX(Config!$F:$F,MATCH($F253,Config!$D:$D,0)),0))</f>
        <v/>
      </c>
    </row>
    <row r="254" ht="15.0" customHeight="1">
      <c r="A254" s="34"/>
      <c r="B254" s="35"/>
      <c r="C254" s="15"/>
      <c r="D254" s="15"/>
      <c r="E254" s="15"/>
      <c r="F254" s="15"/>
      <c r="G254" s="36" t="str">
        <f t="array" ref="G254">IF($F254="","",IFERROR(INDEX(Config!$E:$E,MATCH($F254,Config!$D:$D,0)),0))</f>
        <v/>
      </c>
      <c r="H254" s="16"/>
      <c r="I254" s="36" t="str">
        <f t="shared" si="1"/>
        <v/>
      </c>
      <c r="J254" s="16"/>
      <c r="K254" s="15"/>
      <c r="L254" s="15"/>
      <c r="M254" s="36" t="str">
        <f t="array" ref="M254">IF($A254="","",IF($L254="Atendido",IFERROR($I254*INDEX(Config!$B:$B,MATCH($C254,Config!$A:$A,0)),0),0))</f>
        <v/>
      </c>
      <c r="N254" s="36" t="str">
        <f t="shared" si="2"/>
        <v/>
      </c>
      <c r="O254" s="36" t="str">
        <f t="shared" si="3"/>
        <v/>
      </c>
      <c r="P254" s="15"/>
      <c r="Q254" s="37" t="str">
        <f t="shared" si="4"/>
        <v/>
      </c>
      <c r="R254" s="37" t="str">
        <f t="shared" si="5"/>
        <v/>
      </c>
      <c r="S254" s="32" t="str">
        <f t="shared" si="6"/>
        <v/>
      </c>
      <c r="T254" s="37" t="str">
        <f t="shared" si="7"/>
        <v/>
      </c>
      <c r="U254" s="37" t="str">
        <f t="array" ref="U254">IF($F254="","",IFERROR(INDEX(Config!$F:$F,MATCH($F254,Config!$D:$D,0)),0))</f>
        <v/>
      </c>
    </row>
    <row r="255" ht="15.0" customHeight="1">
      <c r="A255" s="34"/>
      <c r="B255" s="35"/>
      <c r="C255" s="15"/>
      <c r="D255" s="15"/>
      <c r="E255" s="15"/>
      <c r="F255" s="15"/>
      <c r="G255" s="36" t="str">
        <f t="array" ref="G255">IF($F255="","",IFERROR(INDEX(Config!$E:$E,MATCH($F255,Config!$D:$D,0)),0))</f>
        <v/>
      </c>
      <c r="H255" s="16"/>
      <c r="I255" s="36" t="str">
        <f t="shared" si="1"/>
        <v/>
      </c>
      <c r="J255" s="16"/>
      <c r="K255" s="15"/>
      <c r="L255" s="15"/>
      <c r="M255" s="36" t="str">
        <f t="array" ref="M255">IF($A255="","",IF($L255="Atendido",IFERROR($I255*INDEX(Config!$B:$B,MATCH($C255,Config!$A:$A,0)),0),0))</f>
        <v/>
      </c>
      <c r="N255" s="36" t="str">
        <f t="shared" si="2"/>
        <v/>
      </c>
      <c r="O255" s="36" t="str">
        <f t="shared" si="3"/>
        <v/>
      </c>
      <c r="P255" s="15"/>
      <c r="Q255" s="37" t="str">
        <f t="shared" si="4"/>
        <v/>
      </c>
      <c r="R255" s="37" t="str">
        <f t="shared" si="5"/>
        <v/>
      </c>
      <c r="S255" s="32" t="str">
        <f t="shared" si="6"/>
        <v/>
      </c>
      <c r="T255" s="37" t="str">
        <f t="shared" si="7"/>
        <v/>
      </c>
      <c r="U255" s="37" t="str">
        <f t="array" ref="U255">IF($F255="","",IFERROR(INDEX(Config!$F:$F,MATCH($F255,Config!$D:$D,0)),0))</f>
        <v/>
      </c>
    </row>
    <row r="256" ht="15.0" customHeight="1">
      <c r="A256" s="34"/>
      <c r="B256" s="35"/>
      <c r="C256" s="15"/>
      <c r="D256" s="15"/>
      <c r="E256" s="15"/>
      <c r="F256" s="15"/>
      <c r="G256" s="36" t="str">
        <f t="array" ref="G256">IF($F256="","",IFERROR(INDEX(Config!$E:$E,MATCH($F256,Config!$D:$D,0)),0))</f>
        <v/>
      </c>
      <c r="H256" s="16"/>
      <c r="I256" s="36" t="str">
        <f t="shared" si="1"/>
        <v/>
      </c>
      <c r="J256" s="16"/>
      <c r="K256" s="15"/>
      <c r="L256" s="15"/>
      <c r="M256" s="36" t="str">
        <f t="array" ref="M256">IF($A256="","",IF($L256="Atendido",IFERROR($I256*INDEX(Config!$B:$B,MATCH($C256,Config!$A:$A,0)),0),0))</f>
        <v/>
      </c>
      <c r="N256" s="36" t="str">
        <f t="shared" si="2"/>
        <v/>
      </c>
      <c r="O256" s="36" t="str">
        <f t="shared" si="3"/>
        <v/>
      </c>
      <c r="P256" s="15"/>
      <c r="Q256" s="37" t="str">
        <f t="shared" si="4"/>
        <v/>
      </c>
      <c r="R256" s="37" t="str">
        <f t="shared" si="5"/>
        <v/>
      </c>
      <c r="S256" s="32" t="str">
        <f t="shared" si="6"/>
        <v/>
      </c>
      <c r="T256" s="37" t="str">
        <f t="shared" si="7"/>
        <v/>
      </c>
      <c r="U256" s="37" t="str">
        <f t="array" ref="U256">IF($F256="","",IFERROR(INDEX(Config!$F:$F,MATCH($F256,Config!$D:$D,0)),0))</f>
        <v/>
      </c>
    </row>
    <row r="257" ht="15.0" customHeight="1">
      <c r="A257" s="34"/>
      <c r="B257" s="35"/>
      <c r="C257" s="15"/>
      <c r="D257" s="15"/>
      <c r="E257" s="15"/>
      <c r="F257" s="15"/>
      <c r="G257" s="36" t="str">
        <f t="array" ref="G257">IF($F257="","",IFERROR(INDEX(Config!$E:$E,MATCH($F257,Config!$D:$D,0)),0))</f>
        <v/>
      </c>
      <c r="H257" s="16"/>
      <c r="I257" s="36" t="str">
        <f t="shared" si="1"/>
        <v/>
      </c>
      <c r="J257" s="16"/>
      <c r="K257" s="15"/>
      <c r="L257" s="15"/>
      <c r="M257" s="36" t="str">
        <f t="array" ref="M257">IF($A257="","",IF($L257="Atendido",IFERROR($I257*INDEX(Config!$B:$B,MATCH($C257,Config!$A:$A,0)),0),0))</f>
        <v/>
      </c>
      <c r="N257" s="36" t="str">
        <f t="shared" si="2"/>
        <v/>
      </c>
      <c r="O257" s="36" t="str">
        <f t="shared" si="3"/>
        <v/>
      </c>
      <c r="P257" s="15"/>
      <c r="Q257" s="37" t="str">
        <f t="shared" si="4"/>
        <v/>
      </c>
      <c r="R257" s="37" t="str">
        <f t="shared" si="5"/>
        <v/>
      </c>
      <c r="S257" s="32" t="str">
        <f t="shared" si="6"/>
        <v/>
      </c>
      <c r="T257" s="37" t="str">
        <f t="shared" si="7"/>
        <v/>
      </c>
      <c r="U257" s="37" t="str">
        <f t="array" ref="U257">IF($F257="","",IFERROR(INDEX(Config!$F:$F,MATCH($F257,Config!$D:$D,0)),0))</f>
        <v/>
      </c>
    </row>
    <row r="258" ht="15.0" customHeight="1">
      <c r="A258" s="34"/>
      <c r="B258" s="35"/>
      <c r="C258" s="15"/>
      <c r="D258" s="15"/>
      <c r="E258" s="15"/>
      <c r="F258" s="15"/>
      <c r="G258" s="36" t="str">
        <f t="array" ref="G258">IF($F258="","",IFERROR(INDEX(Config!$E:$E,MATCH($F258,Config!$D:$D,0)),0))</f>
        <v/>
      </c>
      <c r="H258" s="16"/>
      <c r="I258" s="36" t="str">
        <f t="shared" si="1"/>
        <v/>
      </c>
      <c r="J258" s="16"/>
      <c r="K258" s="15"/>
      <c r="L258" s="15"/>
      <c r="M258" s="36" t="str">
        <f t="array" ref="M258">IF($A258="","",IF($L258="Atendido",IFERROR($I258*INDEX(Config!$B:$B,MATCH($C258,Config!$A:$A,0)),0),0))</f>
        <v/>
      </c>
      <c r="N258" s="36" t="str">
        <f t="shared" si="2"/>
        <v/>
      </c>
      <c r="O258" s="36" t="str">
        <f t="shared" si="3"/>
        <v/>
      </c>
      <c r="P258" s="15"/>
      <c r="Q258" s="37" t="str">
        <f t="shared" si="4"/>
        <v/>
      </c>
      <c r="R258" s="37" t="str">
        <f t="shared" si="5"/>
        <v/>
      </c>
      <c r="S258" s="32" t="str">
        <f t="shared" si="6"/>
        <v/>
      </c>
      <c r="T258" s="37" t="str">
        <f t="shared" si="7"/>
        <v/>
      </c>
      <c r="U258" s="37" t="str">
        <f t="array" ref="U258">IF($F258="","",IFERROR(INDEX(Config!$F:$F,MATCH($F258,Config!$D:$D,0)),0))</f>
        <v/>
      </c>
    </row>
    <row r="259" ht="15.0" customHeight="1">
      <c r="A259" s="34"/>
      <c r="B259" s="35"/>
      <c r="C259" s="15"/>
      <c r="D259" s="15"/>
      <c r="E259" s="15"/>
      <c r="F259" s="15"/>
      <c r="G259" s="36" t="str">
        <f t="array" ref="G259">IF($F259="","",IFERROR(INDEX(Config!$E:$E,MATCH($F259,Config!$D:$D,0)),0))</f>
        <v/>
      </c>
      <c r="H259" s="16"/>
      <c r="I259" s="36" t="str">
        <f t="shared" si="1"/>
        <v/>
      </c>
      <c r="J259" s="16"/>
      <c r="K259" s="15"/>
      <c r="L259" s="15"/>
      <c r="M259" s="36" t="str">
        <f t="array" ref="M259">IF($A259="","",IF($L259="Atendido",IFERROR($I259*INDEX(Config!$B:$B,MATCH($C259,Config!$A:$A,0)),0),0))</f>
        <v/>
      </c>
      <c r="N259" s="36" t="str">
        <f t="shared" si="2"/>
        <v/>
      </c>
      <c r="O259" s="36" t="str">
        <f t="shared" si="3"/>
        <v/>
      </c>
      <c r="P259" s="15"/>
      <c r="Q259" s="37" t="str">
        <f t="shared" si="4"/>
        <v/>
      </c>
      <c r="R259" s="37" t="str">
        <f t="shared" si="5"/>
        <v/>
      </c>
      <c r="S259" s="32" t="str">
        <f t="shared" si="6"/>
        <v/>
      </c>
      <c r="T259" s="37" t="str">
        <f t="shared" si="7"/>
        <v/>
      </c>
      <c r="U259" s="37" t="str">
        <f t="array" ref="U259">IF($F259="","",IFERROR(INDEX(Config!$F:$F,MATCH($F259,Config!$D:$D,0)),0))</f>
        <v/>
      </c>
    </row>
    <row r="260" ht="15.0" customHeight="1">
      <c r="A260" s="34"/>
      <c r="B260" s="35"/>
      <c r="C260" s="15"/>
      <c r="D260" s="15"/>
      <c r="E260" s="15"/>
      <c r="F260" s="15"/>
      <c r="G260" s="36" t="str">
        <f t="array" ref="G260">IF($F260="","",IFERROR(INDEX(Config!$E:$E,MATCH($F260,Config!$D:$D,0)),0))</f>
        <v/>
      </c>
      <c r="H260" s="16"/>
      <c r="I260" s="36" t="str">
        <f t="shared" si="1"/>
        <v/>
      </c>
      <c r="J260" s="16"/>
      <c r="K260" s="15"/>
      <c r="L260" s="15"/>
      <c r="M260" s="36" t="str">
        <f t="array" ref="M260">IF($A260="","",IF($L260="Atendido",IFERROR($I260*INDEX(Config!$B:$B,MATCH($C260,Config!$A:$A,0)),0),0))</f>
        <v/>
      </c>
      <c r="N260" s="36" t="str">
        <f t="shared" si="2"/>
        <v/>
      </c>
      <c r="O260" s="36" t="str">
        <f t="shared" si="3"/>
        <v/>
      </c>
      <c r="P260" s="15"/>
      <c r="Q260" s="37" t="str">
        <f t="shared" si="4"/>
        <v/>
      </c>
      <c r="R260" s="37" t="str">
        <f t="shared" si="5"/>
        <v/>
      </c>
      <c r="S260" s="32" t="str">
        <f t="shared" si="6"/>
        <v/>
      </c>
      <c r="T260" s="37" t="str">
        <f t="shared" si="7"/>
        <v/>
      </c>
      <c r="U260" s="37" t="str">
        <f t="array" ref="U260">IF($F260="","",IFERROR(INDEX(Config!$F:$F,MATCH($F260,Config!$D:$D,0)),0))</f>
        <v/>
      </c>
    </row>
    <row r="261" ht="15.0" customHeight="1">
      <c r="A261" s="34"/>
      <c r="B261" s="35"/>
      <c r="C261" s="15"/>
      <c r="D261" s="15"/>
      <c r="E261" s="15"/>
      <c r="F261" s="15"/>
      <c r="G261" s="36" t="str">
        <f t="array" ref="G261">IF($F261="","",IFERROR(INDEX(Config!$E:$E,MATCH($F261,Config!$D:$D,0)),0))</f>
        <v/>
      </c>
      <c r="H261" s="16"/>
      <c r="I261" s="36" t="str">
        <f t="shared" si="1"/>
        <v/>
      </c>
      <c r="J261" s="16"/>
      <c r="K261" s="15"/>
      <c r="L261" s="15"/>
      <c r="M261" s="36" t="str">
        <f t="array" ref="M261">IF($A261="","",IF($L261="Atendido",IFERROR($I261*INDEX(Config!$B:$B,MATCH($C261,Config!$A:$A,0)),0),0))</f>
        <v/>
      </c>
      <c r="N261" s="36" t="str">
        <f t="shared" si="2"/>
        <v/>
      </c>
      <c r="O261" s="36" t="str">
        <f t="shared" si="3"/>
        <v/>
      </c>
      <c r="P261" s="15"/>
      <c r="Q261" s="37" t="str">
        <f t="shared" si="4"/>
        <v/>
      </c>
      <c r="R261" s="37" t="str">
        <f t="shared" si="5"/>
        <v/>
      </c>
      <c r="S261" s="32" t="str">
        <f t="shared" si="6"/>
        <v/>
      </c>
      <c r="T261" s="37" t="str">
        <f t="shared" si="7"/>
        <v/>
      </c>
      <c r="U261" s="37" t="str">
        <f t="array" ref="U261">IF($F261="","",IFERROR(INDEX(Config!$F:$F,MATCH($F261,Config!$D:$D,0)),0))</f>
        <v/>
      </c>
    </row>
    <row r="262" ht="15.0" customHeight="1">
      <c r="A262" s="34"/>
      <c r="B262" s="35"/>
      <c r="C262" s="15"/>
      <c r="D262" s="15"/>
      <c r="E262" s="15"/>
      <c r="F262" s="15"/>
      <c r="G262" s="36" t="str">
        <f t="array" ref="G262">IF($F262="","",IFERROR(INDEX(Config!$E:$E,MATCH($F262,Config!$D:$D,0)),0))</f>
        <v/>
      </c>
      <c r="H262" s="16"/>
      <c r="I262" s="36" t="str">
        <f t="shared" si="1"/>
        <v/>
      </c>
      <c r="J262" s="16"/>
      <c r="K262" s="15"/>
      <c r="L262" s="15"/>
      <c r="M262" s="36" t="str">
        <f t="array" ref="M262">IF($A262="","",IF($L262="Atendido",IFERROR($I262*INDEX(Config!$B:$B,MATCH($C262,Config!$A:$A,0)),0),0))</f>
        <v/>
      </c>
      <c r="N262" s="36" t="str">
        <f t="shared" si="2"/>
        <v/>
      </c>
      <c r="O262" s="36" t="str">
        <f t="shared" si="3"/>
        <v/>
      </c>
      <c r="P262" s="15"/>
      <c r="Q262" s="37" t="str">
        <f t="shared" si="4"/>
        <v/>
      </c>
      <c r="R262" s="37" t="str">
        <f t="shared" si="5"/>
        <v/>
      </c>
      <c r="S262" s="32" t="str">
        <f t="shared" si="6"/>
        <v/>
      </c>
      <c r="T262" s="37" t="str">
        <f t="shared" si="7"/>
        <v/>
      </c>
      <c r="U262" s="37" t="str">
        <f t="array" ref="U262">IF($F262="","",IFERROR(INDEX(Config!$F:$F,MATCH($F262,Config!$D:$D,0)),0))</f>
        <v/>
      </c>
    </row>
    <row r="263" ht="15.0" customHeight="1">
      <c r="A263" s="34"/>
      <c r="B263" s="35"/>
      <c r="C263" s="15"/>
      <c r="D263" s="15"/>
      <c r="E263" s="15"/>
      <c r="F263" s="15"/>
      <c r="G263" s="36" t="str">
        <f t="array" ref="G263">IF($F263="","",IFERROR(INDEX(Config!$E:$E,MATCH($F263,Config!$D:$D,0)),0))</f>
        <v/>
      </c>
      <c r="H263" s="16"/>
      <c r="I263" s="36" t="str">
        <f t="shared" si="1"/>
        <v/>
      </c>
      <c r="J263" s="16"/>
      <c r="K263" s="15"/>
      <c r="L263" s="15"/>
      <c r="M263" s="36" t="str">
        <f t="array" ref="M263">IF($A263="","",IF($L263="Atendido",IFERROR($I263*INDEX(Config!$B:$B,MATCH($C263,Config!$A:$A,0)),0),0))</f>
        <v/>
      </c>
      <c r="N263" s="36" t="str">
        <f t="shared" si="2"/>
        <v/>
      </c>
      <c r="O263" s="36" t="str">
        <f t="shared" si="3"/>
        <v/>
      </c>
      <c r="P263" s="15"/>
      <c r="Q263" s="37" t="str">
        <f t="shared" si="4"/>
        <v/>
      </c>
      <c r="R263" s="37" t="str">
        <f t="shared" si="5"/>
        <v/>
      </c>
      <c r="S263" s="32" t="str">
        <f t="shared" si="6"/>
        <v/>
      </c>
      <c r="T263" s="37" t="str">
        <f t="shared" si="7"/>
        <v/>
      </c>
      <c r="U263" s="37" t="str">
        <f t="array" ref="U263">IF($F263="","",IFERROR(INDEX(Config!$F:$F,MATCH($F263,Config!$D:$D,0)),0))</f>
        <v/>
      </c>
    </row>
    <row r="264" ht="15.0" customHeight="1">
      <c r="A264" s="34"/>
      <c r="B264" s="35"/>
      <c r="C264" s="15"/>
      <c r="D264" s="15"/>
      <c r="E264" s="15"/>
      <c r="F264" s="15"/>
      <c r="G264" s="36" t="str">
        <f t="array" ref="G264">IF($F264="","",IFERROR(INDEX(Config!$E:$E,MATCH($F264,Config!$D:$D,0)),0))</f>
        <v/>
      </c>
      <c r="H264" s="16"/>
      <c r="I264" s="36" t="str">
        <f t="shared" si="1"/>
        <v/>
      </c>
      <c r="J264" s="16"/>
      <c r="K264" s="15"/>
      <c r="L264" s="15"/>
      <c r="M264" s="36" t="str">
        <f t="array" ref="M264">IF($A264="","",IF($L264="Atendido",IFERROR($I264*INDEX(Config!$B:$B,MATCH($C264,Config!$A:$A,0)),0),0))</f>
        <v/>
      </c>
      <c r="N264" s="36" t="str">
        <f t="shared" si="2"/>
        <v/>
      </c>
      <c r="O264" s="36" t="str">
        <f t="shared" si="3"/>
        <v/>
      </c>
      <c r="P264" s="15"/>
      <c r="Q264" s="37" t="str">
        <f t="shared" si="4"/>
        <v/>
      </c>
      <c r="R264" s="37" t="str">
        <f t="shared" si="5"/>
        <v/>
      </c>
      <c r="S264" s="32" t="str">
        <f t="shared" si="6"/>
        <v/>
      </c>
      <c r="T264" s="37" t="str">
        <f t="shared" si="7"/>
        <v/>
      </c>
      <c r="U264" s="37" t="str">
        <f t="array" ref="U264">IF($F264="","",IFERROR(INDEX(Config!$F:$F,MATCH($F264,Config!$D:$D,0)),0))</f>
        <v/>
      </c>
    </row>
    <row r="265" ht="15.0" customHeight="1">
      <c r="A265" s="34"/>
      <c r="B265" s="35"/>
      <c r="C265" s="15"/>
      <c r="D265" s="15"/>
      <c r="E265" s="15"/>
      <c r="F265" s="15"/>
      <c r="G265" s="36" t="str">
        <f t="array" ref="G265">IF($F265="","",IFERROR(INDEX(Config!$E:$E,MATCH($F265,Config!$D:$D,0)),0))</f>
        <v/>
      </c>
      <c r="H265" s="16"/>
      <c r="I265" s="36" t="str">
        <f t="shared" si="1"/>
        <v/>
      </c>
      <c r="J265" s="16"/>
      <c r="K265" s="15"/>
      <c r="L265" s="15"/>
      <c r="M265" s="36" t="str">
        <f t="array" ref="M265">IF($A265="","",IF($L265="Atendido",IFERROR($I265*INDEX(Config!$B:$B,MATCH($C265,Config!$A:$A,0)),0),0))</f>
        <v/>
      </c>
      <c r="N265" s="36" t="str">
        <f t="shared" si="2"/>
        <v/>
      </c>
      <c r="O265" s="36" t="str">
        <f t="shared" si="3"/>
        <v/>
      </c>
      <c r="P265" s="15"/>
      <c r="Q265" s="37" t="str">
        <f t="shared" si="4"/>
        <v/>
      </c>
      <c r="R265" s="37" t="str">
        <f t="shared" si="5"/>
        <v/>
      </c>
      <c r="S265" s="32" t="str">
        <f t="shared" si="6"/>
        <v/>
      </c>
      <c r="T265" s="37" t="str">
        <f t="shared" si="7"/>
        <v/>
      </c>
      <c r="U265" s="37" t="str">
        <f t="array" ref="U265">IF($F265="","",IFERROR(INDEX(Config!$F:$F,MATCH($F265,Config!$D:$D,0)),0))</f>
        <v/>
      </c>
    </row>
    <row r="266" ht="15.0" customHeight="1">
      <c r="A266" s="34"/>
      <c r="B266" s="35"/>
      <c r="C266" s="15"/>
      <c r="D266" s="15"/>
      <c r="E266" s="15"/>
      <c r="F266" s="15"/>
      <c r="G266" s="36" t="str">
        <f t="array" ref="G266">IF($F266="","",IFERROR(INDEX(Config!$E:$E,MATCH($F266,Config!$D:$D,0)),0))</f>
        <v/>
      </c>
      <c r="H266" s="16"/>
      <c r="I266" s="36" t="str">
        <f t="shared" si="1"/>
        <v/>
      </c>
      <c r="J266" s="16"/>
      <c r="K266" s="15"/>
      <c r="L266" s="15"/>
      <c r="M266" s="36" t="str">
        <f t="array" ref="M266">IF($A266="","",IF($L266="Atendido",IFERROR($I266*INDEX(Config!$B:$B,MATCH($C266,Config!$A:$A,0)),0),0))</f>
        <v/>
      </c>
      <c r="N266" s="36" t="str">
        <f t="shared" si="2"/>
        <v/>
      </c>
      <c r="O266" s="36" t="str">
        <f t="shared" si="3"/>
        <v/>
      </c>
      <c r="P266" s="15"/>
      <c r="Q266" s="37" t="str">
        <f t="shared" si="4"/>
        <v/>
      </c>
      <c r="R266" s="37" t="str">
        <f t="shared" si="5"/>
        <v/>
      </c>
      <c r="S266" s="32" t="str">
        <f t="shared" si="6"/>
        <v/>
      </c>
      <c r="T266" s="37" t="str">
        <f t="shared" si="7"/>
        <v/>
      </c>
      <c r="U266" s="37" t="str">
        <f t="array" ref="U266">IF($F266="","",IFERROR(INDEX(Config!$F:$F,MATCH($F266,Config!$D:$D,0)),0))</f>
        <v/>
      </c>
    </row>
    <row r="267" ht="15.0" customHeight="1">
      <c r="A267" s="34"/>
      <c r="B267" s="35"/>
      <c r="C267" s="15"/>
      <c r="D267" s="15"/>
      <c r="E267" s="15"/>
      <c r="F267" s="15"/>
      <c r="G267" s="36" t="str">
        <f t="array" ref="G267">IF($F267="","",IFERROR(INDEX(Config!$E:$E,MATCH($F267,Config!$D:$D,0)),0))</f>
        <v/>
      </c>
      <c r="H267" s="16"/>
      <c r="I267" s="36" t="str">
        <f t="shared" si="1"/>
        <v/>
      </c>
      <c r="J267" s="16"/>
      <c r="K267" s="15"/>
      <c r="L267" s="15"/>
      <c r="M267" s="36" t="str">
        <f t="array" ref="M267">IF($A267="","",IF($L267="Atendido",IFERROR($I267*INDEX(Config!$B:$B,MATCH($C267,Config!$A:$A,0)),0),0))</f>
        <v/>
      </c>
      <c r="N267" s="36" t="str">
        <f t="shared" si="2"/>
        <v/>
      </c>
      <c r="O267" s="36" t="str">
        <f t="shared" si="3"/>
        <v/>
      </c>
      <c r="P267" s="15"/>
      <c r="Q267" s="37" t="str">
        <f t="shared" si="4"/>
        <v/>
      </c>
      <c r="R267" s="37" t="str">
        <f t="shared" si="5"/>
        <v/>
      </c>
      <c r="S267" s="32" t="str">
        <f t="shared" si="6"/>
        <v/>
      </c>
      <c r="T267" s="37" t="str">
        <f t="shared" si="7"/>
        <v/>
      </c>
      <c r="U267" s="37" t="str">
        <f t="array" ref="U267">IF($F267="","",IFERROR(INDEX(Config!$F:$F,MATCH($F267,Config!$D:$D,0)),0))</f>
        <v/>
      </c>
    </row>
    <row r="268" ht="15.0" customHeight="1">
      <c r="A268" s="34"/>
      <c r="B268" s="35"/>
      <c r="C268" s="15"/>
      <c r="D268" s="15"/>
      <c r="E268" s="15"/>
      <c r="F268" s="15"/>
      <c r="G268" s="36" t="str">
        <f t="array" ref="G268">IF($F268="","",IFERROR(INDEX(Config!$E:$E,MATCH($F268,Config!$D:$D,0)),0))</f>
        <v/>
      </c>
      <c r="H268" s="16"/>
      <c r="I268" s="36" t="str">
        <f t="shared" si="1"/>
        <v/>
      </c>
      <c r="J268" s="16"/>
      <c r="K268" s="15"/>
      <c r="L268" s="15"/>
      <c r="M268" s="36" t="str">
        <f t="array" ref="M268">IF($A268="","",IF($L268="Atendido",IFERROR($I268*INDEX(Config!$B:$B,MATCH($C268,Config!$A:$A,0)),0),0))</f>
        <v/>
      </c>
      <c r="N268" s="36" t="str">
        <f t="shared" si="2"/>
        <v/>
      </c>
      <c r="O268" s="36" t="str">
        <f t="shared" si="3"/>
        <v/>
      </c>
      <c r="P268" s="15"/>
      <c r="Q268" s="37" t="str">
        <f t="shared" si="4"/>
        <v/>
      </c>
      <c r="R268" s="37" t="str">
        <f t="shared" si="5"/>
        <v/>
      </c>
      <c r="S268" s="32" t="str">
        <f t="shared" si="6"/>
        <v/>
      </c>
      <c r="T268" s="37" t="str">
        <f t="shared" si="7"/>
        <v/>
      </c>
      <c r="U268" s="37" t="str">
        <f t="array" ref="U268">IF($F268="","",IFERROR(INDEX(Config!$F:$F,MATCH($F268,Config!$D:$D,0)),0))</f>
        <v/>
      </c>
    </row>
    <row r="269" ht="15.0" customHeight="1">
      <c r="A269" s="34"/>
      <c r="B269" s="35"/>
      <c r="C269" s="15"/>
      <c r="D269" s="15"/>
      <c r="E269" s="15"/>
      <c r="F269" s="15"/>
      <c r="G269" s="36" t="str">
        <f t="array" ref="G269">IF($F269="","",IFERROR(INDEX(Config!$E:$E,MATCH($F269,Config!$D:$D,0)),0))</f>
        <v/>
      </c>
      <c r="H269" s="16"/>
      <c r="I269" s="36" t="str">
        <f t="shared" si="1"/>
        <v/>
      </c>
      <c r="J269" s="16"/>
      <c r="K269" s="15"/>
      <c r="L269" s="15"/>
      <c r="M269" s="36" t="str">
        <f t="array" ref="M269">IF($A269="","",IF($L269="Atendido",IFERROR($I269*INDEX(Config!$B:$B,MATCH($C269,Config!$A:$A,0)),0),0))</f>
        <v/>
      </c>
      <c r="N269" s="36" t="str">
        <f t="shared" si="2"/>
        <v/>
      </c>
      <c r="O269" s="36" t="str">
        <f t="shared" si="3"/>
        <v/>
      </c>
      <c r="P269" s="15"/>
      <c r="Q269" s="37" t="str">
        <f t="shared" si="4"/>
        <v/>
      </c>
      <c r="R269" s="37" t="str">
        <f t="shared" si="5"/>
        <v/>
      </c>
      <c r="S269" s="32" t="str">
        <f t="shared" si="6"/>
        <v/>
      </c>
      <c r="T269" s="37" t="str">
        <f t="shared" si="7"/>
        <v/>
      </c>
      <c r="U269" s="37" t="str">
        <f t="array" ref="U269">IF($F269="","",IFERROR(INDEX(Config!$F:$F,MATCH($F269,Config!$D:$D,0)),0))</f>
        <v/>
      </c>
    </row>
    <row r="270" ht="15.0" customHeight="1">
      <c r="A270" s="34"/>
      <c r="B270" s="35"/>
      <c r="C270" s="15"/>
      <c r="D270" s="15"/>
      <c r="E270" s="15"/>
      <c r="F270" s="15"/>
      <c r="G270" s="36" t="str">
        <f t="array" ref="G270">IF($F270="","",IFERROR(INDEX(Config!$E:$E,MATCH($F270,Config!$D:$D,0)),0))</f>
        <v/>
      </c>
      <c r="H270" s="16"/>
      <c r="I270" s="36" t="str">
        <f t="shared" si="1"/>
        <v/>
      </c>
      <c r="J270" s="16"/>
      <c r="K270" s="15"/>
      <c r="L270" s="15"/>
      <c r="M270" s="36" t="str">
        <f t="array" ref="M270">IF($A270="","",IF($L270="Atendido",IFERROR($I270*INDEX(Config!$B:$B,MATCH($C270,Config!$A:$A,0)),0),0))</f>
        <v/>
      </c>
      <c r="N270" s="36" t="str">
        <f t="shared" si="2"/>
        <v/>
      </c>
      <c r="O270" s="36" t="str">
        <f t="shared" si="3"/>
        <v/>
      </c>
      <c r="P270" s="15"/>
      <c r="Q270" s="37" t="str">
        <f t="shared" si="4"/>
        <v/>
      </c>
      <c r="R270" s="37" t="str">
        <f t="shared" si="5"/>
        <v/>
      </c>
      <c r="S270" s="32" t="str">
        <f t="shared" si="6"/>
        <v/>
      </c>
      <c r="T270" s="37" t="str">
        <f t="shared" si="7"/>
        <v/>
      </c>
      <c r="U270" s="37" t="str">
        <f t="array" ref="U270">IF($F270="","",IFERROR(INDEX(Config!$F:$F,MATCH($F270,Config!$D:$D,0)),0))</f>
        <v/>
      </c>
    </row>
    <row r="271" ht="15.0" customHeight="1">
      <c r="A271" s="34"/>
      <c r="B271" s="35"/>
      <c r="C271" s="15"/>
      <c r="D271" s="15"/>
      <c r="E271" s="15"/>
      <c r="F271" s="15"/>
      <c r="G271" s="36" t="str">
        <f t="array" ref="G271">IF($F271="","",IFERROR(INDEX(Config!$E:$E,MATCH($F271,Config!$D:$D,0)),0))</f>
        <v/>
      </c>
      <c r="H271" s="16"/>
      <c r="I271" s="36" t="str">
        <f t="shared" si="1"/>
        <v/>
      </c>
      <c r="J271" s="16"/>
      <c r="K271" s="15"/>
      <c r="L271" s="15"/>
      <c r="M271" s="36" t="str">
        <f t="array" ref="M271">IF($A271="","",IF($L271="Atendido",IFERROR($I271*INDEX(Config!$B:$B,MATCH($C271,Config!$A:$A,0)),0),0))</f>
        <v/>
      </c>
      <c r="N271" s="36" t="str">
        <f t="shared" si="2"/>
        <v/>
      </c>
      <c r="O271" s="36" t="str">
        <f t="shared" si="3"/>
        <v/>
      </c>
      <c r="P271" s="15"/>
      <c r="Q271" s="37" t="str">
        <f t="shared" si="4"/>
        <v/>
      </c>
      <c r="R271" s="37" t="str">
        <f t="shared" si="5"/>
        <v/>
      </c>
      <c r="S271" s="32" t="str">
        <f t="shared" si="6"/>
        <v/>
      </c>
      <c r="T271" s="37" t="str">
        <f t="shared" si="7"/>
        <v/>
      </c>
      <c r="U271" s="37" t="str">
        <f t="array" ref="U271">IF($F271="","",IFERROR(INDEX(Config!$F:$F,MATCH($F271,Config!$D:$D,0)),0))</f>
        <v/>
      </c>
    </row>
    <row r="272" ht="15.0" customHeight="1">
      <c r="A272" s="34"/>
      <c r="B272" s="35"/>
      <c r="C272" s="15"/>
      <c r="D272" s="15"/>
      <c r="E272" s="15"/>
      <c r="F272" s="15"/>
      <c r="G272" s="36" t="str">
        <f t="array" ref="G272">IF($F272="","",IFERROR(INDEX(Config!$E:$E,MATCH($F272,Config!$D:$D,0)),0))</f>
        <v/>
      </c>
      <c r="H272" s="16"/>
      <c r="I272" s="36" t="str">
        <f t="shared" si="1"/>
        <v/>
      </c>
      <c r="J272" s="16"/>
      <c r="K272" s="15"/>
      <c r="L272" s="15"/>
      <c r="M272" s="36" t="str">
        <f t="array" ref="M272">IF($A272="","",IF($L272="Atendido",IFERROR($I272*INDEX(Config!$B:$B,MATCH($C272,Config!$A:$A,0)),0),0))</f>
        <v/>
      </c>
      <c r="N272" s="36" t="str">
        <f t="shared" si="2"/>
        <v/>
      </c>
      <c r="O272" s="36" t="str">
        <f t="shared" si="3"/>
        <v/>
      </c>
      <c r="P272" s="15"/>
      <c r="Q272" s="37" t="str">
        <f t="shared" si="4"/>
        <v/>
      </c>
      <c r="R272" s="37" t="str">
        <f t="shared" si="5"/>
        <v/>
      </c>
      <c r="S272" s="32" t="str">
        <f t="shared" si="6"/>
        <v/>
      </c>
      <c r="T272" s="37" t="str">
        <f t="shared" si="7"/>
        <v/>
      </c>
      <c r="U272" s="37" t="str">
        <f t="array" ref="U272">IF($F272="","",IFERROR(INDEX(Config!$F:$F,MATCH($F272,Config!$D:$D,0)),0))</f>
        <v/>
      </c>
    </row>
    <row r="273" ht="15.0" customHeight="1">
      <c r="A273" s="34"/>
      <c r="B273" s="35"/>
      <c r="C273" s="15"/>
      <c r="D273" s="15"/>
      <c r="E273" s="15"/>
      <c r="F273" s="15"/>
      <c r="G273" s="36" t="str">
        <f t="array" ref="G273">IF($F273="","",IFERROR(INDEX(Config!$E:$E,MATCH($F273,Config!$D:$D,0)),0))</f>
        <v/>
      </c>
      <c r="H273" s="16"/>
      <c r="I273" s="36" t="str">
        <f t="shared" si="1"/>
        <v/>
      </c>
      <c r="J273" s="16"/>
      <c r="K273" s="15"/>
      <c r="L273" s="15"/>
      <c r="M273" s="36" t="str">
        <f t="array" ref="M273">IF($A273="","",IF($L273="Atendido",IFERROR($I273*INDEX(Config!$B:$B,MATCH($C273,Config!$A:$A,0)),0),0))</f>
        <v/>
      </c>
      <c r="N273" s="36" t="str">
        <f t="shared" si="2"/>
        <v/>
      </c>
      <c r="O273" s="36" t="str">
        <f t="shared" si="3"/>
        <v/>
      </c>
      <c r="P273" s="15"/>
      <c r="Q273" s="37" t="str">
        <f t="shared" si="4"/>
        <v/>
      </c>
      <c r="R273" s="37" t="str">
        <f t="shared" si="5"/>
        <v/>
      </c>
      <c r="S273" s="32" t="str">
        <f t="shared" si="6"/>
        <v/>
      </c>
      <c r="T273" s="37" t="str">
        <f t="shared" si="7"/>
        <v/>
      </c>
      <c r="U273" s="37" t="str">
        <f t="array" ref="U273">IF($F273="","",IFERROR(INDEX(Config!$F:$F,MATCH($F273,Config!$D:$D,0)),0))</f>
        <v/>
      </c>
    </row>
    <row r="274" ht="15.0" customHeight="1">
      <c r="A274" s="34"/>
      <c r="B274" s="35"/>
      <c r="C274" s="15"/>
      <c r="D274" s="15"/>
      <c r="E274" s="15"/>
      <c r="F274" s="15"/>
      <c r="G274" s="36" t="str">
        <f t="array" ref="G274">IF($F274="","",IFERROR(INDEX(Config!$E:$E,MATCH($F274,Config!$D:$D,0)),0))</f>
        <v/>
      </c>
      <c r="H274" s="16"/>
      <c r="I274" s="36" t="str">
        <f t="shared" si="1"/>
        <v/>
      </c>
      <c r="J274" s="16"/>
      <c r="K274" s="15"/>
      <c r="L274" s="15"/>
      <c r="M274" s="36" t="str">
        <f t="array" ref="M274">IF($A274="","",IF($L274="Atendido",IFERROR($I274*INDEX(Config!$B:$B,MATCH($C274,Config!$A:$A,0)),0),0))</f>
        <v/>
      </c>
      <c r="N274" s="36" t="str">
        <f t="shared" si="2"/>
        <v/>
      </c>
      <c r="O274" s="36" t="str">
        <f t="shared" si="3"/>
        <v/>
      </c>
      <c r="P274" s="15"/>
      <c r="Q274" s="37" t="str">
        <f t="shared" si="4"/>
        <v/>
      </c>
      <c r="R274" s="37" t="str">
        <f t="shared" si="5"/>
        <v/>
      </c>
      <c r="S274" s="32" t="str">
        <f t="shared" si="6"/>
        <v/>
      </c>
      <c r="T274" s="37" t="str">
        <f t="shared" si="7"/>
        <v/>
      </c>
      <c r="U274" s="37" t="str">
        <f t="array" ref="U274">IF($F274="","",IFERROR(INDEX(Config!$F:$F,MATCH($F274,Config!$D:$D,0)),0))</f>
        <v/>
      </c>
    </row>
    <row r="275" ht="15.0" customHeight="1">
      <c r="A275" s="34"/>
      <c r="B275" s="35"/>
      <c r="C275" s="15"/>
      <c r="D275" s="15"/>
      <c r="E275" s="15"/>
      <c r="F275" s="15"/>
      <c r="G275" s="36" t="str">
        <f t="array" ref="G275">IF($F275="","",IFERROR(INDEX(Config!$E:$E,MATCH($F275,Config!$D:$D,0)),0))</f>
        <v/>
      </c>
      <c r="H275" s="16"/>
      <c r="I275" s="36" t="str">
        <f t="shared" si="1"/>
        <v/>
      </c>
      <c r="J275" s="16"/>
      <c r="K275" s="15"/>
      <c r="L275" s="15"/>
      <c r="M275" s="36" t="str">
        <f t="array" ref="M275">IF($A275="","",IF($L275="Atendido",IFERROR($I275*INDEX(Config!$B:$B,MATCH($C275,Config!$A:$A,0)),0),0))</f>
        <v/>
      </c>
      <c r="N275" s="36" t="str">
        <f t="shared" si="2"/>
        <v/>
      </c>
      <c r="O275" s="36" t="str">
        <f t="shared" si="3"/>
        <v/>
      </c>
      <c r="P275" s="15"/>
      <c r="Q275" s="37" t="str">
        <f t="shared" si="4"/>
        <v/>
      </c>
      <c r="R275" s="37" t="str">
        <f t="shared" si="5"/>
        <v/>
      </c>
      <c r="S275" s="32" t="str">
        <f t="shared" si="6"/>
        <v/>
      </c>
      <c r="T275" s="37" t="str">
        <f t="shared" si="7"/>
        <v/>
      </c>
      <c r="U275" s="37" t="str">
        <f t="array" ref="U275">IF($F275="","",IFERROR(INDEX(Config!$F:$F,MATCH($F275,Config!$D:$D,0)),0))</f>
        <v/>
      </c>
    </row>
    <row r="276" ht="15.0" customHeight="1">
      <c r="A276" s="34"/>
      <c r="B276" s="35"/>
      <c r="C276" s="15"/>
      <c r="D276" s="15"/>
      <c r="E276" s="15"/>
      <c r="F276" s="15"/>
      <c r="G276" s="36" t="str">
        <f t="array" ref="G276">IF($F276="","",IFERROR(INDEX(Config!$E:$E,MATCH($F276,Config!$D:$D,0)),0))</f>
        <v/>
      </c>
      <c r="H276" s="16"/>
      <c r="I276" s="36" t="str">
        <f t="shared" si="1"/>
        <v/>
      </c>
      <c r="J276" s="16"/>
      <c r="K276" s="15"/>
      <c r="L276" s="15"/>
      <c r="M276" s="36" t="str">
        <f t="array" ref="M276">IF($A276="","",IF($L276="Atendido",IFERROR($I276*INDEX(Config!$B:$B,MATCH($C276,Config!$A:$A,0)),0),0))</f>
        <v/>
      </c>
      <c r="N276" s="36" t="str">
        <f t="shared" si="2"/>
        <v/>
      </c>
      <c r="O276" s="36" t="str">
        <f t="shared" si="3"/>
        <v/>
      </c>
      <c r="P276" s="15"/>
      <c r="Q276" s="37" t="str">
        <f t="shared" si="4"/>
        <v/>
      </c>
      <c r="R276" s="37" t="str">
        <f t="shared" si="5"/>
        <v/>
      </c>
      <c r="S276" s="32" t="str">
        <f t="shared" si="6"/>
        <v/>
      </c>
      <c r="T276" s="37" t="str">
        <f t="shared" si="7"/>
        <v/>
      </c>
      <c r="U276" s="37" t="str">
        <f t="array" ref="U276">IF($F276="","",IFERROR(INDEX(Config!$F:$F,MATCH($F276,Config!$D:$D,0)),0))</f>
        <v/>
      </c>
    </row>
    <row r="277" ht="15.0" customHeight="1">
      <c r="A277" s="34"/>
      <c r="B277" s="35"/>
      <c r="C277" s="15"/>
      <c r="D277" s="15"/>
      <c r="E277" s="15"/>
      <c r="F277" s="15"/>
      <c r="G277" s="36" t="str">
        <f t="array" ref="G277">IF($F277="","",IFERROR(INDEX(Config!$E:$E,MATCH($F277,Config!$D:$D,0)),0))</f>
        <v/>
      </c>
      <c r="H277" s="16"/>
      <c r="I277" s="36" t="str">
        <f t="shared" si="1"/>
        <v/>
      </c>
      <c r="J277" s="16"/>
      <c r="K277" s="15"/>
      <c r="L277" s="15"/>
      <c r="M277" s="36" t="str">
        <f t="array" ref="M277">IF($A277="","",IF($L277="Atendido",IFERROR($I277*INDEX(Config!$B:$B,MATCH($C277,Config!$A:$A,0)),0),0))</f>
        <v/>
      </c>
      <c r="N277" s="36" t="str">
        <f t="shared" si="2"/>
        <v/>
      </c>
      <c r="O277" s="36" t="str">
        <f t="shared" si="3"/>
        <v/>
      </c>
      <c r="P277" s="15"/>
      <c r="Q277" s="37" t="str">
        <f t="shared" si="4"/>
        <v/>
      </c>
      <c r="R277" s="37" t="str">
        <f t="shared" si="5"/>
        <v/>
      </c>
      <c r="S277" s="32" t="str">
        <f t="shared" si="6"/>
        <v/>
      </c>
      <c r="T277" s="37" t="str">
        <f t="shared" si="7"/>
        <v/>
      </c>
      <c r="U277" s="37" t="str">
        <f t="array" ref="U277">IF($F277="","",IFERROR(INDEX(Config!$F:$F,MATCH($F277,Config!$D:$D,0)),0))</f>
        <v/>
      </c>
    </row>
    <row r="278" ht="15.0" customHeight="1">
      <c r="A278" s="34"/>
      <c r="B278" s="35"/>
      <c r="C278" s="15"/>
      <c r="D278" s="15"/>
      <c r="E278" s="15"/>
      <c r="F278" s="15"/>
      <c r="G278" s="36" t="str">
        <f t="array" ref="G278">IF($F278="","",IFERROR(INDEX(Config!$E:$E,MATCH($F278,Config!$D:$D,0)),0))</f>
        <v/>
      </c>
      <c r="H278" s="16"/>
      <c r="I278" s="36" t="str">
        <f t="shared" si="1"/>
        <v/>
      </c>
      <c r="J278" s="16"/>
      <c r="K278" s="15"/>
      <c r="L278" s="15"/>
      <c r="M278" s="36" t="str">
        <f t="array" ref="M278">IF($A278="","",IF($L278="Atendido",IFERROR($I278*INDEX(Config!$B:$B,MATCH($C278,Config!$A:$A,0)),0),0))</f>
        <v/>
      </c>
      <c r="N278" s="36" t="str">
        <f t="shared" si="2"/>
        <v/>
      </c>
      <c r="O278" s="36" t="str">
        <f t="shared" si="3"/>
        <v/>
      </c>
      <c r="P278" s="15"/>
      <c r="Q278" s="37" t="str">
        <f t="shared" si="4"/>
        <v/>
      </c>
      <c r="R278" s="37" t="str">
        <f t="shared" si="5"/>
        <v/>
      </c>
      <c r="S278" s="32" t="str">
        <f t="shared" si="6"/>
        <v/>
      </c>
      <c r="T278" s="37" t="str">
        <f t="shared" si="7"/>
        <v/>
      </c>
      <c r="U278" s="37" t="str">
        <f t="array" ref="U278">IF($F278="","",IFERROR(INDEX(Config!$F:$F,MATCH($F278,Config!$D:$D,0)),0))</f>
        <v/>
      </c>
    </row>
    <row r="279" ht="15.0" customHeight="1">
      <c r="A279" s="34"/>
      <c r="B279" s="35"/>
      <c r="C279" s="15"/>
      <c r="D279" s="15"/>
      <c r="E279" s="15"/>
      <c r="F279" s="15"/>
      <c r="G279" s="36" t="str">
        <f t="array" ref="G279">IF($F279="","",IFERROR(INDEX(Config!$E:$E,MATCH($F279,Config!$D:$D,0)),0))</f>
        <v/>
      </c>
      <c r="H279" s="16"/>
      <c r="I279" s="36" t="str">
        <f t="shared" si="1"/>
        <v/>
      </c>
      <c r="J279" s="16"/>
      <c r="K279" s="15"/>
      <c r="L279" s="15"/>
      <c r="M279" s="36" t="str">
        <f t="array" ref="M279">IF($A279="","",IF($L279="Atendido",IFERROR($I279*INDEX(Config!$B:$B,MATCH($C279,Config!$A:$A,0)),0),0))</f>
        <v/>
      </c>
      <c r="N279" s="36" t="str">
        <f t="shared" si="2"/>
        <v/>
      </c>
      <c r="O279" s="36" t="str">
        <f t="shared" si="3"/>
        <v/>
      </c>
      <c r="P279" s="15"/>
      <c r="Q279" s="37" t="str">
        <f t="shared" si="4"/>
        <v/>
      </c>
      <c r="R279" s="37" t="str">
        <f t="shared" si="5"/>
        <v/>
      </c>
      <c r="S279" s="32" t="str">
        <f t="shared" si="6"/>
        <v/>
      </c>
      <c r="T279" s="37" t="str">
        <f t="shared" si="7"/>
        <v/>
      </c>
      <c r="U279" s="37" t="str">
        <f t="array" ref="U279">IF($F279="","",IFERROR(INDEX(Config!$F:$F,MATCH($F279,Config!$D:$D,0)),0))</f>
        <v/>
      </c>
    </row>
    <row r="280" ht="15.0" customHeight="1">
      <c r="A280" s="34"/>
      <c r="B280" s="35"/>
      <c r="C280" s="15"/>
      <c r="D280" s="15"/>
      <c r="E280" s="15"/>
      <c r="F280" s="15"/>
      <c r="G280" s="36" t="str">
        <f t="array" ref="G280">IF($F280="","",IFERROR(INDEX(Config!$E:$E,MATCH($F280,Config!$D:$D,0)),0))</f>
        <v/>
      </c>
      <c r="H280" s="16"/>
      <c r="I280" s="36" t="str">
        <f t="shared" si="1"/>
        <v/>
      </c>
      <c r="J280" s="16"/>
      <c r="K280" s="15"/>
      <c r="L280" s="15"/>
      <c r="M280" s="36" t="str">
        <f t="array" ref="M280">IF($A280="","",IF($L280="Atendido",IFERROR($I280*INDEX(Config!$B:$B,MATCH($C280,Config!$A:$A,0)),0),0))</f>
        <v/>
      </c>
      <c r="N280" s="36" t="str">
        <f t="shared" si="2"/>
        <v/>
      </c>
      <c r="O280" s="36" t="str">
        <f t="shared" si="3"/>
        <v/>
      </c>
      <c r="P280" s="15"/>
      <c r="Q280" s="37" t="str">
        <f t="shared" si="4"/>
        <v/>
      </c>
      <c r="R280" s="37" t="str">
        <f t="shared" si="5"/>
        <v/>
      </c>
      <c r="S280" s="32" t="str">
        <f t="shared" si="6"/>
        <v/>
      </c>
      <c r="T280" s="37" t="str">
        <f t="shared" si="7"/>
        <v/>
      </c>
      <c r="U280" s="37" t="str">
        <f t="array" ref="U280">IF($F280="","",IFERROR(INDEX(Config!$F:$F,MATCH($F280,Config!$D:$D,0)),0))</f>
        <v/>
      </c>
    </row>
    <row r="281" ht="15.0" customHeight="1">
      <c r="A281" s="34"/>
      <c r="B281" s="35"/>
      <c r="C281" s="15"/>
      <c r="D281" s="15"/>
      <c r="E281" s="15"/>
      <c r="F281" s="15"/>
      <c r="G281" s="36" t="str">
        <f t="array" ref="G281">IF($F281="","",IFERROR(INDEX(Config!$E:$E,MATCH($F281,Config!$D:$D,0)),0))</f>
        <v/>
      </c>
      <c r="H281" s="16"/>
      <c r="I281" s="36" t="str">
        <f t="shared" si="1"/>
        <v/>
      </c>
      <c r="J281" s="16"/>
      <c r="K281" s="15"/>
      <c r="L281" s="15"/>
      <c r="M281" s="36" t="str">
        <f t="array" ref="M281">IF($A281="","",IF($L281="Atendido",IFERROR($I281*INDEX(Config!$B:$B,MATCH($C281,Config!$A:$A,0)),0),0))</f>
        <v/>
      </c>
      <c r="N281" s="36" t="str">
        <f t="shared" si="2"/>
        <v/>
      </c>
      <c r="O281" s="36" t="str">
        <f t="shared" si="3"/>
        <v/>
      </c>
      <c r="P281" s="15"/>
      <c r="Q281" s="37" t="str">
        <f t="shared" si="4"/>
        <v/>
      </c>
      <c r="R281" s="37" t="str">
        <f t="shared" si="5"/>
        <v/>
      </c>
      <c r="S281" s="32" t="str">
        <f t="shared" si="6"/>
        <v/>
      </c>
      <c r="T281" s="37" t="str">
        <f t="shared" si="7"/>
        <v/>
      </c>
      <c r="U281" s="37" t="str">
        <f t="array" ref="U281">IF($F281="","",IFERROR(INDEX(Config!$F:$F,MATCH($F281,Config!$D:$D,0)),0))</f>
        <v/>
      </c>
    </row>
    <row r="282" ht="15.0" customHeight="1">
      <c r="A282" s="34"/>
      <c r="B282" s="35"/>
      <c r="C282" s="15"/>
      <c r="D282" s="15"/>
      <c r="E282" s="15"/>
      <c r="F282" s="15"/>
      <c r="G282" s="36" t="str">
        <f t="array" ref="G282">IF($F282="","",IFERROR(INDEX(Config!$E:$E,MATCH($F282,Config!$D:$D,0)),0))</f>
        <v/>
      </c>
      <c r="H282" s="16"/>
      <c r="I282" s="36" t="str">
        <f t="shared" si="1"/>
        <v/>
      </c>
      <c r="J282" s="16"/>
      <c r="K282" s="15"/>
      <c r="L282" s="15"/>
      <c r="M282" s="36" t="str">
        <f t="array" ref="M282">IF($A282="","",IF($L282="Atendido",IFERROR($I282*INDEX(Config!$B:$B,MATCH($C282,Config!$A:$A,0)),0),0))</f>
        <v/>
      </c>
      <c r="N282" s="36" t="str">
        <f t="shared" si="2"/>
        <v/>
      </c>
      <c r="O282" s="36" t="str">
        <f t="shared" si="3"/>
        <v/>
      </c>
      <c r="P282" s="15"/>
      <c r="Q282" s="37" t="str">
        <f t="shared" si="4"/>
        <v/>
      </c>
      <c r="R282" s="37" t="str">
        <f t="shared" si="5"/>
        <v/>
      </c>
      <c r="S282" s="32" t="str">
        <f t="shared" si="6"/>
        <v/>
      </c>
      <c r="T282" s="37" t="str">
        <f t="shared" si="7"/>
        <v/>
      </c>
      <c r="U282" s="37" t="str">
        <f t="array" ref="U282">IF($F282="","",IFERROR(INDEX(Config!$F:$F,MATCH($F282,Config!$D:$D,0)),0))</f>
        <v/>
      </c>
    </row>
    <row r="283" ht="15.0" customHeight="1">
      <c r="A283" s="34"/>
      <c r="B283" s="35"/>
      <c r="C283" s="15"/>
      <c r="D283" s="15"/>
      <c r="E283" s="15"/>
      <c r="F283" s="15"/>
      <c r="G283" s="36" t="str">
        <f t="array" ref="G283">IF($F283="","",IFERROR(INDEX(Config!$E:$E,MATCH($F283,Config!$D:$D,0)),0))</f>
        <v/>
      </c>
      <c r="H283" s="16"/>
      <c r="I283" s="36" t="str">
        <f t="shared" si="1"/>
        <v/>
      </c>
      <c r="J283" s="16"/>
      <c r="K283" s="15"/>
      <c r="L283" s="15"/>
      <c r="M283" s="36" t="str">
        <f t="array" ref="M283">IF($A283="","",IF($L283="Atendido",IFERROR($I283*INDEX(Config!$B:$B,MATCH($C283,Config!$A:$A,0)),0),0))</f>
        <v/>
      </c>
      <c r="N283" s="36" t="str">
        <f t="shared" si="2"/>
        <v/>
      </c>
      <c r="O283" s="36" t="str">
        <f t="shared" si="3"/>
        <v/>
      </c>
      <c r="P283" s="15"/>
      <c r="Q283" s="37" t="str">
        <f t="shared" si="4"/>
        <v/>
      </c>
      <c r="R283" s="37" t="str">
        <f t="shared" si="5"/>
        <v/>
      </c>
      <c r="S283" s="32" t="str">
        <f t="shared" si="6"/>
        <v/>
      </c>
      <c r="T283" s="37" t="str">
        <f t="shared" si="7"/>
        <v/>
      </c>
      <c r="U283" s="37" t="str">
        <f t="array" ref="U283">IF($F283="","",IFERROR(INDEX(Config!$F:$F,MATCH($F283,Config!$D:$D,0)),0))</f>
        <v/>
      </c>
    </row>
    <row r="284" ht="15.0" customHeight="1">
      <c r="A284" s="34"/>
      <c r="B284" s="35"/>
      <c r="C284" s="15"/>
      <c r="D284" s="15"/>
      <c r="E284" s="15"/>
      <c r="F284" s="15"/>
      <c r="G284" s="36" t="str">
        <f t="array" ref="G284">IF($F284="","",IFERROR(INDEX(Config!$E:$E,MATCH($F284,Config!$D:$D,0)),0))</f>
        <v/>
      </c>
      <c r="H284" s="16"/>
      <c r="I284" s="36" t="str">
        <f t="shared" si="1"/>
        <v/>
      </c>
      <c r="J284" s="16"/>
      <c r="K284" s="15"/>
      <c r="L284" s="15"/>
      <c r="M284" s="36" t="str">
        <f t="array" ref="M284">IF($A284="","",IF($L284="Atendido",IFERROR($I284*INDEX(Config!$B:$B,MATCH($C284,Config!$A:$A,0)),0),0))</f>
        <v/>
      </c>
      <c r="N284" s="36" t="str">
        <f t="shared" si="2"/>
        <v/>
      </c>
      <c r="O284" s="36" t="str">
        <f t="shared" si="3"/>
        <v/>
      </c>
      <c r="P284" s="15"/>
      <c r="Q284" s="37" t="str">
        <f t="shared" si="4"/>
        <v/>
      </c>
      <c r="R284" s="37" t="str">
        <f t="shared" si="5"/>
        <v/>
      </c>
      <c r="S284" s="32" t="str">
        <f t="shared" si="6"/>
        <v/>
      </c>
      <c r="T284" s="37" t="str">
        <f t="shared" si="7"/>
        <v/>
      </c>
      <c r="U284" s="37" t="str">
        <f t="array" ref="U284">IF($F284="","",IFERROR(INDEX(Config!$F:$F,MATCH($F284,Config!$D:$D,0)),0))</f>
        <v/>
      </c>
    </row>
    <row r="285" ht="15.0" customHeight="1">
      <c r="A285" s="34"/>
      <c r="B285" s="35"/>
      <c r="C285" s="15"/>
      <c r="D285" s="15"/>
      <c r="E285" s="15"/>
      <c r="F285" s="15"/>
      <c r="G285" s="36" t="str">
        <f t="array" ref="G285">IF($F285="","",IFERROR(INDEX(Config!$E:$E,MATCH($F285,Config!$D:$D,0)),0))</f>
        <v/>
      </c>
      <c r="H285" s="16"/>
      <c r="I285" s="36" t="str">
        <f t="shared" si="1"/>
        <v/>
      </c>
      <c r="J285" s="16"/>
      <c r="K285" s="15"/>
      <c r="L285" s="15"/>
      <c r="M285" s="36" t="str">
        <f t="array" ref="M285">IF($A285="","",IF($L285="Atendido",IFERROR($I285*INDEX(Config!$B:$B,MATCH($C285,Config!$A:$A,0)),0),0))</f>
        <v/>
      </c>
      <c r="N285" s="36" t="str">
        <f t="shared" si="2"/>
        <v/>
      </c>
      <c r="O285" s="36" t="str">
        <f t="shared" si="3"/>
        <v/>
      </c>
      <c r="P285" s="15"/>
      <c r="Q285" s="37" t="str">
        <f t="shared" si="4"/>
        <v/>
      </c>
      <c r="R285" s="37" t="str">
        <f t="shared" si="5"/>
        <v/>
      </c>
      <c r="S285" s="32" t="str">
        <f t="shared" si="6"/>
        <v/>
      </c>
      <c r="T285" s="37" t="str">
        <f t="shared" si="7"/>
        <v/>
      </c>
      <c r="U285" s="37" t="str">
        <f t="array" ref="U285">IF($F285="","",IFERROR(INDEX(Config!$F:$F,MATCH($F285,Config!$D:$D,0)),0))</f>
        <v/>
      </c>
    </row>
    <row r="286" ht="15.0" customHeight="1">
      <c r="A286" s="34"/>
      <c r="B286" s="35"/>
      <c r="C286" s="15"/>
      <c r="D286" s="15"/>
      <c r="E286" s="15"/>
      <c r="F286" s="15"/>
      <c r="G286" s="36" t="str">
        <f t="array" ref="G286">IF($F286="","",IFERROR(INDEX(Config!$E:$E,MATCH($F286,Config!$D:$D,0)),0))</f>
        <v/>
      </c>
      <c r="H286" s="16"/>
      <c r="I286" s="36" t="str">
        <f t="shared" si="1"/>
        <v/>
      </c>
      <c r="J286" s="16"/>
      <c r="K286" s="15"/>
      <c r="L286" s="15"/>
      <c r="M286" s="36" t="str">
        <f t="array" ref="M286">IF($A286="","",IF($L286="Atendido",IFERROR($I286*INDEX(Config!$B:$B,MATCH($C286,Config!$A:$A,0)),0),0))</f>
        <v/>
      </c>
      <c r="N286" s="36" t="str">
        <f t="shared" si="2"/>
        <v/>
      </c>
      <c r="O286" s="36" t="str">
        <f t="shared" si="3"/>
        <v/>
      </c>
      <c r="P286" s="15"/>
      <c r="Q286" s="37" t="str">
        <f t="shared" si="4"/>
        <v/>
      </c>
      <c r="R286" s="37" t="str">
        <f t="shared" si="5"/>
        <v/>
      </c>
      <c r="S286" s="32" t="str">
        <f t="shared" si="6"/>
        <v/>
      </c>
      <c r="T286" s="37" t="str">
        <f t="shared" si="7"/>
        <v/>
      </c>
      <c r="U286" s="37" t="str">
        <f t="array" ref="U286">IF($F286="","",IFERROR(INDEX(Config!$F:$F,MATCH($F286,Config!$D:$D,0)),0))</f>
        <v/>
      </c>
    </row>
    <row r="287" ht="15.0" customHeight="1">
      <c r="A287" s="34"/>
      <c r="B287" s="35"/>
      <c r="C287" s="15"/>
      <c r="D287" s="15"/>
      <c r="E287" s="15"/>
      <c r="F287" s="15"/>
      <c r="G287" s="36" t="str">
        <f t="array" ref="G287">IF($F287="","",IFERROR(INDEX(Config!$E:$E,MATCH($F287,Config!$D:$D,0)),0))</f>
        <v/>
      </c>
      <c r="H287" s="16"/>
      <c r="I287" s="36" t="str">
        <f t="shared" si="1"/>
        <v/>
      </c>
      <c r="J287" s="16"/>
      <c r="K287" s="15"/>
      <c r="L287" s="15"/>
      <c r="M287" s="36" t="str">
        <f t="array" ref="M287">IF($A287="","",IF($L287="Atendido",IFERROR($I287*INDEX(Config!$B:$B,MATCH($C287,Config!$A:$A,0)),0),0))</f>
        <v/>
      </c>
      <c r="N287" s="36" t="str">
        <f t="shared" si="2"/>
        <v/>
      </c>
      <c r="O287" s="36" t="str">
        <f t="shared" si="3"/>
        <v/>
      </c>
      <c r="P287" s="15"/>
      <c r="Q287" s="37" t="str">
        <f t="shared" si="4"/>
        <v/>
      </c>
      <c r="R287" s="37" t="str">
        <f t="shared" si="5"/>
        <v/>
      </c>
      <c r="S287" s="32" t="str">
        <f t="shared" si="6"/>
        <v/>
      </c>
      <c r="T287" s="37" t="str">
        <f t="shared" si="7"/>
        <v/>
      </c>
      <c r="U287" s="37" t="str">
        <f t="array" ref="U287">IF($F287="","",IFERROR(INDEX(Config!$F:$F,MATCH($F287,Config!$D:$D,0)),0))</f>
        <v/>
      </c>
    </row>
    <row r="288" ht="15.0" customHeight="1">
      <c r="A288" s="34"/>
      <c r="B288" s="35"/>
      <c r="C288" s="15"/>
      <c r="D288" s="15"/>
      <c r="E288" s="15"/>
      <c r="F288" s="15"/>
      <c r="G288" s="36" t="str">
        <f t="array" ref="G288">IF($F288="","",IFERROR(INDEX(Config!$E:$E,MATCH($F288,Config!$D:$D,0)),0))</f>
        <v/>
      </c>
      <c r="H288" s="16"/>
      <c r="I288" s="36" t="str">
        <f t="shared" si="1"/>
        <v/>
      </c>
      <c r="J288" s="16"/>
      <c r="K288" s="15"/>
      <c r="L288" s="15"/>
      <c r="M288" s="36" t="str">
        <f t="array" ref="M288">IF($A288="","",IF($L288="Atendido",IFERROR($I288*INDEX(Config!$B:$B,MATCH($C288,Config!$A:$A,0)),0),0))</f>
        <v/>
      </c>
      <c r="N288" s="36" t="str">
        <f t="shared" si="2"/>
        <v/>
      </c>
      <c r="O288" s="36" t="str">
        <f t="shared" si="3"/>
        <v/>
      </c>
      <c r="P288" s="15"/>
      <c r="Q288" s="37" t="str">
        <f t="shared" si="4"/>
        <v/>
      </c>
      <c r="R288" s="37" t="str">
        <f t="shared" si="5"/>
        <v/>
      </c>
      <c r="S288" s="32" t="str">
        <f t="shared" si="6"/>
        <v/>
      </c>
      <c r="T288" s="37" t="str">
        <f t="shared" si="7"/>
        <v/>
      </c>
      <c r="U288" s="37" t="str">
        <f t="array" ref="U288">IF($F288="","",IFERROR(INDEX(Config!$F:$F,MATCH($F288,Config!$D:$D,0)),0))</f>
        <v/>
      </c>
    </row>
    <row r="289" ht="15.0" customHeight="1">
      <c r="A289" s="34"/>
      <c r="B289" s="35"/>
      <c r="C289" s="15"/>
      <c r="D289" s="15"/>
      <c r="E289" s="15"/>
      <c r="F289" s="15"/>
      <c r="G289" s="36" t="str">
        <f t="array" ref="G289">IF($F289="","",IFERROR(INDEX(Config!$E:$E,MATCH($F289,Config!$D:$D,0)),0))</f>
        <v/>
      </c>
      <c r="H289" s="16"/>
      <c r="I289" s="36" t="str">
        <f t="shared" si="1"/>
        <v/>
      </c>
      <c r="J289" s="16"/>
      <c r="K289" s="15"/>
      <c r="L289" s="15"/>
      <c r="M289" s="36" t="str">
        <f t="array" ref="M289">IF($A289="","",IF($L289="Atendido",IFERROR($I289*INDEX(Config!$B:$B,MATCH($C289,Config!$A:$A,0)),0),0))</f>
        <v/>
      </c>
      <c r="N289" s="36" t="str">
        <f t="shared" si="2"/>
        <v/>
      </c>
      <c r="O289" s="36" t="str">
        <f t="shared" si="3"/>
        <v/>
      </c>
      <c r="P289" s="15"/>
      <c r="Q289" s="37" t="str">
        <f t="shared" si="4"/>
        <v/>
      </c>
      <c r="R289" s="37" t="str">
        <f t="shared" si="5"/>
        <v/>
      </c>
      <c r="S289" s="32" t="str">
        <f t="shared" si="6"/>
        <v/>
      </c>
      <c r="T289" s="37" t="str">
        <f t="shared" si="7"/>
        <v/>
      </c>
      <c r="U289" s="37" t="str">
        <f t="array" ref="U289">IF($F289="","",IFERROR(INDEX(Config!$F:$F,MATCH($F289,Config!$D:$D,0)),0))</f>
        <v/>
      </c>
    </row>
    <row r="290" ht="15.0" customHeight="1">
      <c r="A290" s="34"/>
      <c r="B290" s="35"/>
      <c r="C290" s="15"/>
      <c r="D290" s="15"/>
      <c r="E290" s="15"/>
      <c r="F290" s="15"/>
      <c r="G290" s="36" t="str">
        <f t="array" ref="G290">IF($F290="","",IFERROR(INDEX(Config!$E:$E,MATCH($F290,Config!$D:$D,0)),0))</f>
        <v/>
      </c>
      <c r="H290" s="16"/>
      <c r="I290" s="36" t="str">
        <f t="shared" si="1"/>
        <v/>
      </c>
      <c r="J290" s="16"/>
      <c r="K290" s="15"/>
      <c r="L290" s="15"/>
      <c r="M290" s="36" t="str">
        <f t="array" ref="M290">IF($A290="","",IF($L290="Atendido",IFERROR($I290*INDEX(Config!$B:$B,MATCH($C290,Config!$A:$A,0)),0),0))</f>
        <v/>
      </c>
      <c r="N290" s="36" t="str">
        <f t="shared" si="2"/>
        <v/>
      </c>
      <c r="O290" s="36" t="str">
        <f t="shared" si="3"/>
        <v/>
      </c>
      <c r="P290" s="15"/>
      <c r="Q290" s="37" t="str">
        <f t="shared" si="4"/>
        <v/>
      </c>
      <c r="R290" s="37" t="str">
        <f t="shared" si="5"/>
        <v/>
      </c>
      <c r="S290" s="32" t="str">
        <f t="shared" si="6"/>
        <v/>
      </c>
      <c r="T290" s="37" t="str">
        <f t="shared" si="7"/>
        <v/>
      </c>
      <c r="U290" s="37" t="str">
        <f t="array" ref="U290">IF($F290="","",IFERROR(INDEX(Config!$F:$F,MATCH($F290,Config!$D:$D,0)),0))</f>
        <v/>
      </c>
    </row>
    <row r="291" ht="15.0" customHeight="1">
      <c r="A291" s="34"/>
      <c r="B291" s="35"/>
      <c r="C291" s="15"/>
      <c r="D291" s="15"/>
      <c r="E291" s="15"/>
      <c r="F291" s="15"/>
      <c r="G291" s="36" t="str">
        <f t="array" ref="G291">IF($F291="","",IFERROR(INDEX(Config!$E:$E,MATCH($F291,Config!$D:$D,0)),0))</f>
        <v/>
      </c>
      <c r="H291" s="16"/>
      <c r="I291" s="36" t="str">
        <f t="shared" si="1"/>
        <v/>
      </c>
      <c r="J291" s="16"/>
      <c r="K291" s="15"/>
      <c r="L291" s="15"/>
      <c r="M291" s="36" t="str">
        <f t="array" ref="M291">IF($A291="","",IF($L291="Atendido",IFERROR($I291*INDEX(Config!$B:$B,MATCH($C291,Config!$A:$A,0)),0),0))</f>
        <v/>
      </c>
      <c r="N291" s="36" t="str">
        <f t="shared" si="2"/>
        <v/>
      </c>
      <c r="O291" s="36" t="str">
        <f t="shared" si="3"/>
        <v/>
      </c>
      <c r="P291" s="15"/>
      <c r="Q291" s="37" t="str">
        <f t="shared" si="4"/>
        <v/>
      </c>
      <c r="R291" s="37" t="str">
        <f t="shared" si="5"/>
        <v/>
      </c>
      <c r="S291" s="32" t="str">
        <f t="shared" si="6"/>
        <v/>
      </c>
      <c r="T291" s="37" t="str">
        <f t="shared" si="7"/>
        <v/>
      </c>
      <c r="U291" s="37" t="str">
        <f t="array" ref="U291">IF($F291="","",IFERROR(INDEX(Config!$F:$F,MATCH($F291,Config!$D:$D,0)),0))</f>
        <v/>
      </c>
    </row>
    <row r="292" ht="15.0" customHeight="1">
      <c r="A292" s="34"/>
      <c r="B292" s="35"/>
      <c r="C292" s="15"/>
      <c r="D292" s="15"/>
      <c r="E292" s="15"/>
      <c r="F292" s="15"/>
      <c r="G292" s="36" t="str">
        <f t="array" ref="G292">IF($F292="","",IFERROR(INDEX(Config!$E:$E,MATCH($F292,Config!$D:$D,0)),0))</f>
        <v/>
      </c>
      <c r="H292" s="16"/>
      <c r="I292" s="36" t="str">
        <f t="shared" si="1"/>
        <v/>
      </c>
      <c r="J292" s="16"/>
      <c r="K292" s="15"/>
      <c r="L292" s="15"/>
      <c r="M292" s="36" t="str">
        <f t="array" ref="M292">IF($A292="","",IF($L292="Atendido",IFERROR($I292*INDEX(Config!$B:$B,MATCH($C292,Config!$A:$A,0)),0),0))</f>
        <v/>
      </c>
      <c r="N292" s="36" t="str">
        <f t="shared" si="2"/>
        <v/>
      </c>
      <c r="O292" s="36" t="str">
        <f t="shared" si="3"/>
        <v/>
      </c>
      <c r="P292" s="15"/>
      <c r="Q292" s="37" t="str">
        <f t="shared" si="4"/>
        <v/>
      </c>
      <c r="R292" s="37" t="str">
        <f t="shared" si="5"/>
        <v/>
      </c>
      <c r="S292" s="32" t="str">
        <f t="shared" si="6"/>
        <v/>
      </c>
      <c r="T292" s="37" t="str">
        <f t="shared" si="7"/>
        <v/>
      </c>
      <c r="U292" s="37" t="str">
        <f t="array" ref="U292">IF($F292="","",IFERROR(INDEX(Config!$F:$F,MATCH($F292,Config!$D:$D,0)),0))</f>
        <v/>
      </c>
    </row>
    <row r="293" ht="15.0" customHeight="1">
      <c r="A293" s="34"/>
      <c r="B293" s="35"/>
      <c r="C293" s="15"/>
      <c r="D293" s="15"/>
      <c r="E293" s="15"/>
      <c r="F293" s="15"/>
      <c r="G293" s="36" t="str">
        <f t="array" ref="G293">IF($F293="","",IFERROR(INDEX(Config!$E:$E,MATCH($F293,Config!$D:$D,0)),0))</f>
        <v/>
      </c>
      <c r="H293" s="16"/>
      <c r="I293" s="36" t="str">
        <f t="shared" si="1"/>
        <v/>
      </c>
      <c r="J293" s="16"/>
      <c r="K293" s="15"/>
      <c r="L293" s="15"/>
      <c r="M293" s="36" t="str">
        <f t="array" ref="M293">IF($A293="","",IF($L293="Atendido",IFERROR($I293*INDEX(Config!$B:$B,MATCH($C293,Config!$A:$A,0)),0),0))</f>
        <v/>
      </c>
      <c r="N293" s="36" t="str">
        <f t="shared" si="2"/>
        <v/>
      </c>
      <c r="O293" s="36" t="str">
        <f t="shared" si="3"/>
        <v/>
      </c>
      <c r="P293" s="15"/>
      <c r="Q293" s="37" t="str">
        <f t="shared" si="4"/>
        <v/>
      </c>
      <c r="R293" s="37" t="str">
        <f t="shared" si="5"/>
        <v/>
      </c>
      <c r="S293" s="32" t="str">
        <f t="shared" si="6"/>
        <v/>
      </c>
      <c r="T293" s="37" t="str">
        <f t="shared" si="7"/>
        <v/>
      </c>
      <c r="U293" s="37" t="str">
        <f t="array" ref="U293">IF($F293="","",IFERROR(INDEX(Config!$F:$F,MATCH($F293,Config!$D:$D,0)),0))</f>
        <v/>
      </c>
    </row>
    <row r="294" ht="15.0" customHeight="1">
      <c r="A294" s="34"/>
      <c r="B294" s="35"/>
      <c r="C294" s="15"/>
      <c r="D294" s="15"/>
      <c r="E294" s="15"/>
      <c r="F294" s="15"/>
      <c r="G294" s="36" t="str">
        <f t="array" ref="G294">IF($F294="","",IFERROR(INDEX(Config!$E:$E,MATCH($F294,Config!$D:$D,0)),0))</f>
        <v/>
      </c>
      <c r="H294" s="16"/>
      <c r="I294" s="36" t="str">
        <f t="shared" si="1"/>
        <v/>
      </c>
      <c r="J294" s="16"/>
      <c r="K294" s="15"/>
      <c r="L294" s="15"/>
      <c r="M294" s="36" t="str">
        <f t="array" ref="M294">IF($A294="","",IF($L294="Atendido",IFERROR($I294*INDEX(Config!$B:$B,MATCH($C294,Config!$A:$A,0)),0),0))</f>
        <v/>
      </c>
      <c r="N294" s="36" t="str">
        <f t="shared" si="2"/>
        <v/>
      </c>
      <c r="O294" s="36" t="str">
        <f t="shared" si="3"/>
        <v/>
      </c>
      <c r="P294" s="15"/>
      <c r="Q294" s="37" t="str">
        <f t="shared" si="4"/>
        <v/>
      </c>
      <c r="R294" s="37" t="str">
        <f t="shared" si="5"/>
        <v/>
      </c>
      <c r="S294" s="32" t="str">
        <f t="shared" si="6"/>
        <v/>
      </c>
      <c r="T294" s="37" t="str">
        <f t="shared" si="7"/>
        <v/>
      </c>
      <c r="U294" s="37" t="str">
        <f t="array" ref="U294">IF($F294="","",IFERROR(INDEX(Config!$F:$F,MATCH($F294,Config!$D:$D,0)),0))</f>
        <v/>
      </c>
    </row>
    <row r="295" ht="15.0" customHeight="1">
      <c r="A295" s="34"/>
      <c r="B295" s="35"/>
      <c r="C295" s="15"/>
      <c r="D295" s="15"/>
      <c r="E295" s="15"/>
      <c r="F295" s="15"/>
      <c r="G295" s="36" t="str">
        <f t="array" ref="G295">IF($F295="","",IFERROR(INDEX(Config!$E:$E,MATCH($F295,Config!$D:$D,0)),0))</f>
        <v/>
      </c>
      <c r="H295" s="16"/>
      <c r="I295" s="36" t="str">
        <f t="shared" si="1"/>
        <v/>
      </c>
      <c r="J295" s="16"/>
      <c r="K295" s="15"/>
      <c r="L295" s="15"/>
      <c r="M295" s="36" t="str">
        <f t="array" ref="M295">IF($A295="","",IF($L295="Atendido",IFERROR($I295*INDEX(Config!$B:$B,MATCH($C295,Config!$A:$A,0)),0),0))</f>
        <v/>
      </c>
      <c r="N295" s="36" t="str">
        <f t="shared" si="2"/>
        <v/>
      </c>
      <c r="O295" s="36" t="str">
        <f t="shared" si="3"/>
        <v/>
      </c>
      <c r="P295" s="15"/>
      <c r="Q295" s="37" t="str">
        <f t="shared" si="4"/>
        <v/>
      </c>
      <c r="R295" s="37" t="str">
        <f t="shared" si="5"/>
        <v/>
      </c>
      <c r="S295" s="32" t="str">
        <f t="shared" si="6"/>
        <v/>
      </c>
      <c r="T295" s="37" t="str">
        <f t="shared" si="7"/>
        <v/>
      </c>
      <c r="U295" s="37" t="str">
        <f t="array" ref="U295">IF($F295="","",IFERROR(INDEX(Config!$F:$F,MATCH($F295,Config!$D:$D,0)),0))</f>
        <v/>
      </c>
    </row>
    <row r="296" ht="15.0" customHeight="1">
      <c r="A296" s="34"/>
      <c r="B296" s="35"/>
      <c r="C296" s="15"/>
      <c r="D296" s="15"/>
      <c r="E296" s="15"/>
      <c r="F296" s="15"/>
      <c r="G296" s="36" t="str">
        <f t="array" ref="G296">IF($F296="","",IFERROR(INDEX(Config!$E:$E,MATCH($F296,Config!$D:$D,0)),0))</f>
        <v/>
      </c>
      <c r="H296" s="16"/>
      <c r="I296" s="36" t="str">
        <f t="shared" si="1"/>
        <v/>
      </c>
      <c r="J296" s="16"/>
      <c r="K296" s="15"/>
      <c r="L296" s="15"/>
      <c r="M296" s="36" t="str">
        <f t="array" ref="M296">IF($A296="","",IF($L296="Atendido",IFERROR($I296*INDEX(Config!$B:$B,MATCH($C296,Config!$A:$A,0)),0),0))</f>
        <v/>
      </c>
      <c r="N296" s="36" t="str">
        <f t="shared" si="2"/>
        <v/>
      </c>
      <c r="O296" s="36" t="str">
        <f t="shared" si="3"/>
        <v/>
      </c>
      <c r="P296" s="15"/>
      <c r="Q296" s="37" t="str">
        <f t="shared" si="4"/>
        <v/>
      </c>
      <c r="R296" s="37" t="str">
        <f t="shared" si="5"/>
        <v/>
      </c>
      <c r="S296" s="32" t="str">
        <f t="shared" si="6"/>
        <v/>
      </c>
      <c r="T296" s="37" t="str">
        <f t="shared" si="7"/>
        <v/>
      </c>
      <c r="U296" s="37" t="str">
        <f t="array" ref="U296">IF($F296="","",IFERROR(INDEX(Config!$F:$F,MATCH($F296,Config!$D:$D,0)),0))</f>
        <v/>
      </c>
    </row>
    <row r="297" ht="15.0" customHeight="1">
      <c r="A297" s="34"/>
      <c r="B297" s="35"/>
      <c r="C297" s="15"/>
      <c r="D297" s="15"/>
      <c r="E297" s="15"/>
      <c r="F297" s="15"/>
      <c r="G297" s="36" t="str">
        <f t="array" ref="G297">IF($F297="","",IFERROR(INDEX(Config!$E:$E,MATCH($F297,Config!$D:$D,0)),0))</f>
        <v/>
      </c>
      <c r="H297" s="16"/>
      <c r="I297" s="36" t="str">
        <f t="shared" si="1"/>
        <v/>
      </c>
      <c r="J297" s="16"/>
      <c r="K297" s="15"/>
      <c r="L297" s="15"/>
      <c r="M297" s="36" t="str">
        <f t="array" ref="M297">IF($A297="","",IF($L297="Atendido",IFERROR($I297*INDEX(Config!$B:$B,MATCH($C297,Config!$A:$A,0)),0),0))</f>
        <v/>
      </c>
      <c r="N297" s="36" t="str">
        <f t="shared" si="2"/>
        <v/>
      </c>
      <c r="O297" s="36" t="str">
        <f t="shared" si="3"/>
        <v/>
      </c>
      <c r="P297" s="15"/>
      <c r="Q297" s="37" t="str">
        <f t="shared" si="4"/>
        <v/>
      </c>
      <c r="R297" s="37" t="str">
        <f t="shared" si="5"/>
        <v/>
      </c>
      <c r="S297" s="32" t="str">
        <f t="shared" si="6"/>
        <v/>
      </c>
      <c r="T297" s="37" t="str">
        <f t="shared" si="7"/>
        <v/>
      </c>
      <c r="U297" s="37" t="str">
        <f t="array" ref="U297">IF($F297="","",IFERROR(INDEX(Config!$F:$F,MATCH($F297,Config!$D:$D,0)),0))</f>
        <v/>
      </c>
    </row>
    <row r="298" ht="15.0" customHeight="1">
      <c r="A298" s="34"/>
      <c r="B298" s="35"/>
      <c r="C298" s="15"/>
      <c r="D298" s="15"/>
      <c r="E298" s="15"/>
      <c r="F298" s="15"/>
      <c r="G298" s="36" t="str">
        <f t="array" ref="G298">IF($F298="","",IFERROR(INDEX(Config!$E:$E,MATCH($F298,Config!$D:$D,0)),0))</f>
        <v/>
      </c>
      <c r="H298" s="16"/>
      <c r="I298" s="36" t="str">
        <f t="shared" si="1"/>
        <v/>
      </c>
      <c r="J298" s="16"/>
      <c r="K298" s="15"/>
      <c r="L298" s="15"/>
      <c r="M298" s="36" t="str">
        <f t="array" ref="M298">IF($A298="","",IF($L298="Atendido",IFERROR($I298*INDEX(Config!$B:$B,MATCH($C298,Config!$A:$A,0)),0),0))</f>
        <v/>
      </c>
      <c r="N298" s="36" t="str">
        <f t="shared" si="2"/>
        <v/>
      </c>
      <c r="O298" s="36" t="str">
        <f t="shared" si="3"/>
        <v/>
      </c>
      <c r="P298" s="15"/>
      <c r="Q298" s="37" t="str">
        <f t="shared" si="4"/>
        <v/>
      </c>
      <c r="R298" s="37" t="str">
        <f t="shared" si="5"/>
        <v/>
      </c>
      <c r="S298" s="32" t="str">
        <f t="shared" si="6"/>
        <v/>
      </c>
      <c r="T298" s="37" t="str">
        <f t="shared" si="7"/>
        <v/>
      </c>
      <c r="U298" s="37" t="str">
        <f t="array" ref="U298">IF($F298="","",IFERROR(INDEX(Config!$F:$F,MATCH($F298,Config!$D:$D,0)),0))</f>
        <v/>
      </c>
    </row>
    <row r="299" ht="15.0" customHeight="1">
      <c r="A299" s="34"/>
      <c r="B299" s="35"/>
      <c r="C299" s="15"/>
      <c r="D299" s="15"/>
      <c r="E299" s="15"/>
      <c r="F299" s="15"/>
      <c r="G299" s="36" t="str">
        <f t="array" ref="G299">IF($F299="","",IFERROR(INDEX(Config!$E:$E,MATCH($F299,Config!$D:$D,0)),0))</f>
        <v/>
      </c>
      <c r="H299" s="16"/>
      <c r="I299" s="36" t="str">
        <f t="shared" si="1"/>
        <v/>
      </c>
      <c r="J299" s="16"/>
      <c r="K299" s="15"/>
      <c r="L299" s="15"/>
      <c r="M299" s="36" t="str">
        <f t="array" ref="M299">IF($A299="","",IF($L299="Atendido",IFERROR($I299*INDEX(Config!$B:$B,MATCH($C299,Config!$A:$A,0)),0),0))</f>
        <v/>
      </c>
      <c r="N299" s="36" t="str">
        <f t="shared" si="2"/>
        <v/>
      </c>
      <c r="O299" s="36" t="str">
        <f t="shared" si="3"/>
        <v/>
      </c>
      <c r="P299" s="15"/>
      <c r="Q299" s="37" t="str">
        <f t="shared" si="4"/>
        <v/>
      </c>
      <c r="R299" s="37" t="str">
        <f t="shared" si="5"/>
        <v/>
      </c>
      <c r="S299" s="32" t="str">
        <f t="shared" si="6"/>
        <v/>
      </c>
      <c r="T299" s="37" t="str">
        <f t="shared" si="7"/>
        <v/>
      </c>
      <c r="U299" s="37" t="str">
        <f t="array" ref="U299">IF($F299="","",IFERROR(INDEX(Config!$F:$F,MATCH($F299,Config!$D:$D,0)),0))</f>
        <v/>
      </c>
    </row>
    <row r="300" ht="15.0" customHeight="1">
      <c r="A300" s="34"/>
      <c r="B300" s="35"/>
      <c r="C300" s="15"/>
      <c r="D300" s="15"/>
      <c r="E300" s="15"/>
      <c r="F300" s="15"/>
      <c r="G300" s="36" t="str">
        <f t="array" ref="G300">IF($F300="","",IFERROR(INDEX(Config!$E:$E,MATCH($F300,Config!$D:$D,0)),0))</f>
        <v/>
      </c>
      <c r="H300" s="16"/>
      <c r="I300" s="36" t="str">
        <f t="shared" si="1"/>
        <v/>
      </c>
      <c r="J300" s="16"/>
      <c r="K300" s="15"/>
      <c r="L300" s="15"/>
      <c r="M300" s="36" t="str">
        <f t="array" ref="M300">IF($A300="","",IF($L300="Atendido",IFERROR($I300*INDEX(Config!$B:$B,MATCH($C300,Config!$A:$A,0)),0),0))</f>
        <v/>
      </c>
      <c r="N300" s="36" t="str">
        <f t="shared" si="2"/>
        <v/>
      </c>
      <c r="O300" s="36" t="str">
        <f t="shared" si="3"/>
        <v/>
      </c>
      <c r="P300" s="15"/>
      <c r="Q300" s="37" t="str">
        <f t="shared" si="4"/>
        <v/>
      </c>
      <c r="R300" s="37" t="str">
        <f t="shared" si="5"/>
        <v/>
      </c>
      <c r="S300" s="32" t="str">
        <f t="shared" si="6"/>
        <v/>
      </c>
      <c r="T300" s="37" t="str">
        <f t="shared" si="7"/>
        <v/>
      </c>
      <c r="U300" s="37" t="str">
        <f t="array" ref="U300">IF($F300="","",IFERROR(INDEX(Config!$F:$F,MATCH($F300,Config!$D:$D,0)),0))</f>
        <v/>
      </c>
    </row>
    <row r="301" ht="15.0" customHeight="1">
      <c r="A301" s="34"/>
      <c r="B301" s="35"/>
      <c r="C301" s="15"/>
      <c r="D301" s="15"/>
      <c r="E301" s="15"/>
      <c r="F301" s="15"/>
      <c r="G301" s="36" t="str">
        <f t="array" ref="G301">IF($F301="","",IFERROR(INDEX(Config!$E:$E,MATCH($F301,Config!$D:$D,0)),0))</f>
        <v/>
      </c>
      <c r="H301" s="16"/>
      <c r="I301" s="36" t="str">
        <f t="shared" si="1"/>
        <v/>
      </c>
      <c r="J301" s="16"/>
      <c r="K301" s="15"/>
      <c r="L301" s="15"/>
      <c r="M301" s="36" t="str">
        <f t="array" ref="M301">IF($A301="","",IF($L301="Atendido",IFERROR($I301*INDEX(Config!$B:$B,MATCH($C301,Config!$A:$A,0)),0),0))</f>
        <v/>
      </c>
      <c r="N301" s="36" t="str">
        <f t="shared" si="2"/>
        <v/>
      </c>
      <c r="O301" s="36" t="str">
        <f t="shared" si="3"/>
        <v/>
      </c>
      <c r="P301" s="15"/>
      <c r="Q301" s="37" t="str">
        <f t="shared" si="4"/>
        <v/>
      </c>
      <c r="R301" s="37" t="str">
        <f t="shared" si="5"/>
        <v/>
      </c>
      <c r="S301" s="32" t="str">
        <f t="shared" si="6"/>
        <v/>
      </c>
      <c r="T301" s="37" t="str">
        <f t="shared" si="7"/>
        <v/>
      </c>
      <c r="U301" s="37" t="str">
        <f t="array" ref="U301">IF($F301="","",IFERROR(INDEX(Config!$F:$F,MATCH($F301,Config!$D:$D,0)),0))</f>
        <v/>
      </c>
    </row>
    <row r="302" ht="15.0" customHeight="1">
      <c r="A302" s="34"/>
      <c r="B302" s="35"/>
      <c r="C302" s="15"/>
      <c r="D302" s="15"/>
      <c r="E302" s="15"/>
      <c r="F302" s="15"/>
      <c r="G302" s="36" t="str">
        <f t="array" ref="G302">IF($F302="","",IFERROR(INDEX(Config!$E:$E,MATCH($F302,Config!$D:$D,0)),0))</f>
        <v/>
      </c>
      <c r="H302" s="16"/>
      <c r="I302" s="36" t="str">
        <f t="shared" si="1"/>
        <v/>
      </c>
      <c r="J302" s="16"/>
      <c r="K302" s="15"/>
      <c r="L302" s="15"/>
      <c r="M302" s="36" t="str">
        <f t="array" ref="M302">IF($A302="","",IF($L302="Atendido",IFERROR($I302*INDEX(Config!$B:$B,MATCH($C302,Config!$A:$A,0)),0),0))</f>
        <v/>
      </c>
      <c r="N302" s="36" t="str">
        <f t="shared" si="2"/>
        <v/>
      </c>
      <c r="O302" s="36" t="str">
        <f t="shared" si="3"/>
        <v/>
      </c>
      <c r="P302" s="15"/>
      <c r="Q302" s="37" t="str">
        <f t="shared" si="4"/>
        <v/>
      </c>
      <c r="R302" s="37" t="str">
        <f t="shared" si="5"/>
        <v/>
      </c>
      <c r="S302" s="32" t="str">
        <f t="shared" si="6"/>
        <v/>
      </c>
      <c r="T302" s="37" t="str">
        <f t="shared" si="7"/>
        <v/>
      </c>
      <c r="U302" s="37" t="str">
        <f t="array" ref="U302">IF($F302="","",IFERROR(INDEX(Config!$F:$F,MATCH($F302,Config!$D:$D,0)),0))</f>
        <v/>
      </c>
    </row>
    <row r="303" ht="15.0" customHeight="1">
      <c r="A303" s="34"/>
      <c r="B303" s="35"/>
      <c r="C303" s="15"/>
      <c r="D303" s="15"/>
      <c r="E303" s="15"/>
      <c r="F303" s="15"/>
      <c r="G303" s="36" t="str">
        <f t="array" ref="G303">IF($F303="","",IFERROR(INDEX(Config!$E:$E,MATCH($F303,Config!$D:$D,0)),0))</f>
        <v/>
      </c>
      <c r="H303" s="16"/>
      <c r="I303" s="36" t="str">
        <f t="shared" si="1"/>
        <v/>
      </c>
      <c r="J303" s="16"/>
      <c r="K303" s="15"/>
      <c r="L303" s="15"/>
      <c r="M303" s="36" t="str">
        <f t="array" ref="M303">IF($A303="","",IF($L303="Atendido",IFERROR($I303*INDEX(Config!$B:$B,MATCH($C303,Config!$A:$A,0)),0),0))</f>
        <v/>
      </c>
      <c r="N303" s="36" t="str">
        <f t="shared" si="2"/>
        <v/>
      </c>
      <c r="O303" s="36" t="str">
        <f t="shared" si="3"/>
        <v/>
      </c>
      <c r="P303" s="15"/>
      <c r="Q303" s="37" t="str">
        <f t="shared" si="4"/>
        <v/>
      </c>
      <c r="R303" s="37" t="str">
        <f t="shared" si="5"/>
        <v/>
      </c>
      <c r="S303" s="32" t="str">
        <f t="shared" si="6"/>
        <v/>
      </c>
      <c r="T303" s="37" t="str">
        <f t="shared" si="7"/>
        <v/>
      </c>
      <c r="U303" s="37" t="str">
        <f t="array" ref="U303">IF($F303="","",IFERROR(INDEX(Config!$F:$F,MATCH($F303,Config!$D:$D,0)),0))</f>
        <v/>
      </c>
    </row>
    <row r="304" ht="15.0" customHeight="1">
      <c r="A304" s="34"/>
      <c r="B304" s="35"/>
      <c r="C304" s="15"/>
      <c r="D304" s="15"/>
      <c r="E304" s="15"/>
      <c r="F304" s="15"/>
      <c r="G304" s="36" t="str">
        <f t="array" ref="G304">IF($F304="","",IFERROR(INDEX(Config!$E:$E,MATCH($F304,Config!$D:$D,0)),0))</f>
        <v/>
      </c>
      <c r="H304" s="16"/>
      <c r="I304" s="36" t="str">
        <f t="shared" si="1"/>
        <v/>
      </c>
      <c r="J304" s="16"/>
      <c r="K304" s="15"/>
      <c r="L304" s="15"/>
      <c r="M304" s="36" t="str">
        <f t="array" ref="M304">IF($A304="","",IF($L304="Atendido",IFERROR($I304*INDEX(Config!$B:$B,MATCH($C304,Config!$A:$A,0)),0),0))</f>
        <v/>
      </c>
      <c r="N304" s="36" t="str">
        <f t="shared" si="2"/>
        <v/>
      </c>
      <c r="O304" s="36" t="str">
        <f t="shared" si="3"/>
        <v/>
      </c>
      <c r="P304" s="15"/>
      <c r="Q304" s="37" t="str">
        <f t="shared" si="4"/>
        <v/>
      </c>
      <c r="R304" s="37" t="str">
        <f t="shared" si="5"/>
        <v/>
      </c>
      <c r="S304" s="32" t="str">
        <f t="shared" si="6"/>
        <v/>
      </c>
      <c r="T304" s="37" t="str">
        <f t="shared" si="7"/>
        <v/>
      </c>
      <c r="U304" s="37" t="str">
        <f t="array" ref="U304">IF($F304="","",IFERROR(INDEX(Config!$F:$F,MATCH($F304,Config!$D:$D,0)),0))</f>
        <v/>
      </c>
    </row>
    <row r="305" ht="15.0" customHeight="1">
      <c r="A305" s="34"/>
      <c r="B305" s="35"/>
      <c r="C305" s="15"/>
      <c r="D305" s="15"/>
      <c r="E305" s="15"/>
      <c r="F305" s="15"/>
      <c r="G305" s="36" t="str">
        <f t="array" ref="G305">IF($F305="","",IFERROR(INDEX(Config!$E:$E,MATCH($F305,Config!$D:$D,0)),0))</f>
        <v/>
      </c>
      <c r="H305" s="16"/>
      <c r="I305" s="36" t="str">
        <f t="shared" si="1"/>
        <v/>
      </c>
      <c r="J305" s="16"/>
      <c r="K305" s="15"/>
      <c r="L305" s="15"/>
      <c r="M305" s="36" t="str">
        <f t="array" ref="M305">IF($A305="","",IF($L305="Atendido",IFERROR($I305*INDEX(Config!$B:$B,MATCH($C305,Config!$A:$A,0)),0),0))</f>
        <v/>
      </c>
      <c r="N305" s="36" t="str">
        <f t="shared" si="2"/>
        <v/>
      </c>
      <c r="O305" s="36" t="str">
        <f t="shared" si="3"/>
        <v/>
      </c>
      <c r="P305" s="15"/>
      <c r="Q305" s="37" t="str">
        <f t="shared" si="4"/>
        <v/>
      </c>
      <c r="R305" s="37" t="str">
        <f t="shared" si="5"/>
        <v/>
      </c>
      <c r="S305" s="32" t="str">
        <f t="shared" si="6"/>
        <v/>
      </c>
      <c r="T305" s="37" t="str">
        <f t="shared" si="7"/>
        <v/>
      </c>
      <c r="U305" s="37" t="str">
        <f t="array" ref="U305">IF($F305="","",IFERROR(INDEX(Config!$F:$F,MATCH($F305,Config!$D:$D,0)),0))</f>
        <v/>
      </c>
    </row>
    <row r="306" ht="15.0" customHeight="1">
      <c r="A306" s="34"/>
      <c r="B306" s="35"/>
      <c r="C306" s="15"/>
      <c r="D306" s="15"/>
      <c r="E306" s="15"/>
      <c r="F306" s="15"/>
      <c r="G306" s="36" t="str">
        <f t="array" ref="G306">IF($F306="","",IFERROR(INDEX(Config!$E:$E,MATCH($F306,Config!$D:$D,0)),0))</f>
        <v/>
      </c>
      <c r="H306" s="16"/>
      <c r="I306" s="36" t="str">
        <f t="shared" si="1"/>
        <v/>
      </c>
      <c r="J306" s="16"/>
      <c r="K306" s="15"/>
      <c r="L306" s="15"/>
      <c r="M306" s="36" t="str">
        <f t="array" ref="M306">IF($A306="","",IF($L306="Atendido",IFERROR($I306*INDEX(Config!$B:$B,MATCH($C306,Config!$A:$A,0)),0),0))</f>
        <v/>
      </c>
      <c r="N306" s="36" t="str">
        <f t="shared" si="2"/>
        <v/>
      </c>
      <c r="O306" s="36" t="str">
        <f t="shared" si="3"/>
        <v/>
      </c>
      <c r="P306" s="15"/>
      <c r="Q306" s="37" t="str">
        <f t="shared" si="4"/>
        <v/>
      </c>
      <c r="R306" s="37" t="str">
        <f t="shared" si="5"/>
        <v/>
      </c>
      <c r="S306" s="32" t="str">
        <f t="shared" si="6"/>
        <v/>
      </c>
      <c r="T306" s="37" t="str">
        <f t="shared" si="7"/>
        <v/>
      </c>
      <c r="U306" s="37" t="str">
        <f t="array" ref="U306">IF($F306="","",IFERROR(INDEX(Config!$F:$F,MATCH($F306,Config!$D:$D,0)),0))</f>
        <v/>
      </c>
    </row>
    <row r="307" ht="15.0" customHeight="1">
      <c r="A307" s="34"/>
      <c r="B307" s="35"/>
      <c r="C307" s="15"/>
      <c r="D307" s="15"/>
      <c r="E307" s="15"/>
      <c r="F307" s="15"/>
      <c r="G307" s="36" t="str">
        <f t="array" ref="G307">IF($F307="","",IFERROR(INDEX(Config!$E:$E,MATCH($F307,Config!$D:$D,0)),0))</f>
        <v/>
      </c>
      <c r="H307" s="16"/>
      <c r="I307" s="36" t="str">
        <f t="shared" si="1"/>
        <v/>
      </c>
      <c r="J307" s="16"/>
      <c r="K307" s="15"/>
      <c r="L307" s="15"/>
      <c r="M307" s="36" t="str">
        <f t="array" ref="M307">IF($A307="","",IF($L307="Atendido",IFERROR($I307*INDEX(Config!$B:$B,MATCH($C307,Config!$A:$A,0)),0),0))</f>
        <v/>
      </c>
      <c r="N307" s="36" t="str">
        <f t="shared" si="2"/>
        <v/>
      </c>
      <c r="O307" s="36" t="str">
        <f t="shared" si="3"/>
        <v/>
      </c>
      <c r="P307" s="15"/>
      <c r="Q307" s="37" t="str">
        <f t="shared" si="4"/>
        <v/>
      </c>
      <c r="R307" s="37" t="str">
        <f t="shared" si="5"/>
        <v/>
      </c>
      <c r="S307" s="32" t="str">
        <f t="shared" si="6"/>
        <v/>
      </c>
      <c r="T307" s="37" t="str">
        <f t="shared" si="7"/>
        <v/>
      </c>
      <c r="U307" s="37" t="str">
        <f t="array" ref="U307">IF($F307="","",IFERROR(INDEX(Config!$F:$F,MATCH($F307,Config!$D:$D,0)),0))</f>
        <v/>
      </c>
    </row>
    <row r="308" ht="15.0" customHeight="1">
      <c r="A308" s="34"/>
      <c r="B308" s="35"/>
      <c r="C308" s="15"/>
      <c r="D308" s="15"/>
      <c r="E308" s="15"/>
      <c r="F308" s="15"/>
      <c r="G308" s="36" t="str">
        <f t="array" ref="G308">IF($F308="","",IFERROR(INDEX(Config!$E:$E,MATCH($F308,Config!$D:$D,0)),0))</f>
        <v/>
      </c>
      <c r="H308" s="16"/>
      <c r="I308" s="36" t="str">
        <f t="shared" si="1"/>
        <v/>
      </c>
      <c r="J308" s="16"/>
      <c r="K308" s="15"/>
      <c r="L308" s="15"/>
      <c r="M308" s="36" t="str">
        <f t="array" ref="M308">IF($A308="","",IF($L308="Atendido",IFERROR($I308*INDEX(Config!$B:$B,MATCH($C308,Config!$A:$A,0)),0),0))</f>
        <v/>
      </c>
      <c r="N308" s="36" t="str">
        <f t="shared" si="2"/>
        <v/>
      </c>
      <c r="O308" s="36" t="str">
        <f t="shared" si="3"/>
        <v/>
      </c>
      <c r="P308" s="15"/>
      <c r="Q308" s="37" t="str">
        <f t="shared" si="4"/>
        <v/>
      </c>
      <c r="R308" s="37" t="str">
        <f t="shared" si="5"/>
        <v/>
      </c>
      <c r="S308" s="32" t="str">
        <f t="shared" si="6"/>
        <v/>
      </c>
      <c r="T308" s="37" t="str">
        <f t="shared" si="7"/>
        <v/>
      </c>
      <c r="U308" s="37" t="str">
        <f t="array" ref="U308">IF($F308="","",IFERROR(INDEX(Config!$F:$F,MATCH($F308,Config!$D:$D,0)),0))</f>
        <v/>
      </c>
    </row>
    <row r="309" ht="15.0" customHeight="1">
      <c r="A309" s="34"/>
      <c r="B309" s="35"/>
      <c r="C309" s="15"/>
      <c r="D309" s="15"/>
      <c r="E309" s="15"/>
      <c r="F309" s="15"/>
      <c r="G309" s="36" t="str">
        <f t="array" ref="G309">IF($F309="","",IFERROR(INDEX(Config!$E:$E,MATCH($F309,Config!$D:$D,0)),0))</f>
        <v/>
      </c>
      <c r="H309" s="16"/>
      <c r="I309" s="36" t="str">
        <f t="shared" si="1"/>
        <v/>
      </c>
      <c r="J309" s="16"/>
      <c r="K309" s="15"/>
      <c r="L309" s="15"/>
      <c r="M309" s="36" t="str">
        <f t="array" ref="M309">IF($A309="","",IF($L309="Atendido",IFERROR($I309*INDEX(Config!$B:$B,MATCH($C309,Config!$A:$A,0)),0),0))</f>
        <v/>
      </c>
      <c r="N309" s="36" t="str">
        <f t="shared" si="2"/>
        <v/>
      </c>
      <c r="O309" s="36" t="str">
        <f t="shared" si="3"/>
        <v/>
      </c>
      <c r="P309" s="15"/>
      <c r="Q309" s="37" t="str">
        <f t="shared" si="4"/>
        <v/>
      </c>
      <c r="R309" s="37" t="str">
        <f t="shared" si="5"/>
        <v/>
      </c>
      <c r="S309" s="32" t="str">
        <f t="shared" si="6"/>
        <v/>
      </c>
      <c r="T309" s="37" t="str">
        <f t="shared" si="7"/>
        <v/>
      </c>
      <c r="U309" s="37" t="str">
        <f t="array" ref="U309">IF($F309="","",IFERROR(INDEX(Config!$F:$F,MATCH($F309,Config!$D:$D,0)),0))</f>
        <v/>
      </c>
    </row>
    <row r="310" ht="15.0" customHeight="1">
      <c r="A310" s="34"/>
      <c r="B310" s="35"/>
      <c r="C310" s="15"/>
      <c r="D310" s="15"/>
      <c r="E310" s="15"/>
      <c r="F310" s="15"/>
      <c r="G310" s="36" t="str">
        <f t="array" ref="G310">IF($F310="","",IFERROR(INDEX(Config!$E:$E,MATCH($F310,Config!$D:$D,0)),0))</f>
        <v/>
      </c>
      <c r="H310" s="16"/>
      <c r="I310" s="36" t="str">
        <f t="shared" si="1"/>
        <v/>
      </c>
      <c r="J310" s="16"/>
      <c r="K310" s="15"/>
      <c r="L310" s="15"/>
      <c r="M310" s="36" t="str">
        <f t="array" ref="M310">IF($A310="","",IF($L310="Atendido",IFERROR($I310*INDEX(Config!$B:$B,MATCH($C310,Config!$A:$A,0)),0),0))</f>
        <v/>
      </c>
      <c r="N310" s="36" t="str">
        <f t="shared" si="2"/>
        <v/>
      </c>
      <c r="O310" s="36" t="str">
        <f t="shared" si="3"/>
        <v/>
      </c>
      <c r="P310" s="15"/>
      <c r="Q310" s="37" t="str">
        <f t="shared" si="4"/>
        <v/>
      </c>
      <c r="R310" s="37" t="str">
        <f t="shared" si="5"/>
        <v/>
      </c>
      <c r="S310" s="32" t="str">
        <f t="shared" si="6"/>
        <v/>
      </c>
      <c r="T310" s="37" t="str">
        <f t="shared" si="7"/>
        <v/>
      </c>
      <c r="U310" s="37" t="str">
        <f t="array" ref="U310">IF($F310="","",IFERROR(INDEX(Config!$F:$F,MATCH($F310,Config!$D:$D,0)),0))</f>
        <v/>
      </c>
    </row>
    <row r="311" ht="15.0" customHeight="1">
      <c r="A311" s="34"/>
      <c r="B311" s="35"/>
      <c r="C311" s="15"/>
      <c r="D311" s="15"/>
      <c r="E311" s="15"/>
      <c r="F311" s="15"/>
      <c r="G311" s="36" t="str">
        <f t="array" ref="G311">IF($F311="","",IFERROR(INDEX(Config!$E:$E,MATCH($F311,Config!$D:$D,0)),0))</f>
        <v/>
      </c>
      <c r="H311" s="16"/>
      <c r="I311" s="36" t="str">
        <f t="shared" si="1"/>
        <v/>
      </c>
      <c r="J311" s="16"/>
      <c r="K311" s="15"/>
      <c r="L311" s="15"/>
      <c r="M311" s="36" t="str">
        <f t="array" ref="M311">IF($A311="","",IF($L311="Atendido",IFERROR($I311*INDEX(Config!$B:$B,MATCH($C311,Config!$A:$A,0)),0),0))</f>
        <v/>
      </c>
      <c r="N311" s="36" t="str">
        <f t="shared" si="2"/>
        <v/>
      </c>
      <c r="O311" s="36" t="str">
        <f t="shared" si="3"/>
        <v/>
      </c>
      <c r="P311" s="15"/>
      <c r="Q311" s="37" t="str">
        <f t="shared" si="4"/>
        <v/>
      </c>
      <c r="R311" s="37" t="str">
        <f t="shared" si="5"/>
        <v/>
      </c>
      <c r="S311" s="32" t="str">
        <f t="shared" si="6"/>
        <v/>
      </c>
      <c r="T311" s="37" t="str">
        <f t="shared" si="7"/>
        <v/>
      </c>
      <c r="U311" s="37" t="str">
        <f t="array" ref="U311">IF($F311="","",IFERROR(INDEX(Config!$F:$F,MATCH($F311,Config!$D:$D,0)),0))</f>
        <v/>
      </c>
    </row>
    <row r="312" ht="15.0" customHeight="1">
      <c r="A312" s="34"/>
      <c r="B312" s="35"/>
      <c r="C312" s="15"/>
      <c r="D312" s="15"/>
      <c r="E312" s="15"/>
      <c r="F312" s="15"/>
      <c r="G312" s="36" t="str">
        <f t="array" ref="G312">IF($F312="","",IFERROR(INDEX(Config!$E:$E,MATCH($F312,Config!$D:$D,0)),0))</f>
        <v/>
      </c>
      <c r="H312" s="16"/>
      <c r="I312" s="36" t="str">
        <f t="shared" si="1"/>
        <v/>
      </c>
      <c r="J312" s="16"/>
      <c r="K312" s="15"/>
      <c r="L312" s="15"/>
      <c r="M312" s="36" t="str">
        <f t="array" ref="M312">IF($A312="","",IF($L312="Atendido",IFERROR($I312*INDEX(Config!$B:$B,MATCH($C312,Config!$A:$A,0)),0),0))</f>
        <v/>
      </c>
      <c r="N312" s="36" t="str">
        <f t="shared" si="2"/>
        <v/>
      </c>
      <c r="O312" s="36" t="str">
        <f t="shared" si="3"/>
        <v/>
      </c>
      <c r="P312" s="15"/>
      <c r="Q312" s="37" t="str">
        <f t="shared" si="4"/>
        <v/>
      </c>
      <c r="R312" s="37" t="str">
        <f t="shared" si="5"/>
        <v/>
      </c>
      <c r="S312" s="32" t="str">
        <f t="shared" si="6"/>
        <v/>
      </c>
      <c r="T312" s="37" t="str">
        <f t="shared" si="7"/>
        <v/>
      </c>
      <c r="U312" s="37" t="str">
        <f t="array" ref="U312">IF($F312="","",IFERROR(INDEX(Config!$F:$F,MATCH($F312,Config!$D:$D,0)),0))</f>
        <v/>
      </c>
    </row>
    <row r="313" ht="15.0" customHeight="1">
      <c r="A313" s="34"/>
      <c r="B313" s="35"/>
      <c r="C313" s="15"/>
      <c r="D313" s="15"/>
      <c r="E313" s="15"/>
      <c r="F313" s="15"/>
      <c r="G313" s="36" t="str">
        <f t="array" ref="G313">IF($F313="","",IFERROR(INDEX(Config!$E:$E,MATCH($F313,Config!$D:$D,0)),0))</f>
        <v/>
      </c>
      <c r="H313" s="16"/>
      <c r="I313" s="36" t="str">
        <f t="shared" si="1"/>
        <v/>
      </c>
      <c r="J313" s="16"/>
      <c r="K313" s="15"/>
      <c r="L313" s="15"/>
      <c r="M313" s="36" t="str">
        <f t="array" ref="M313">IF($A313="","",IF($L313="Atendido",IFERROR($I313*INDEX(Config!$B:$B,MATCH($C313,Config!$A:$A,0)),0),0))</f>
        <v/>
      </c>
      <c r="N313" s="36" t="str">
        <f t="shared" si="2"/>
        <v/>
      </c>
      <c r="O313" s="36" t="str">
        <f t="shared" si="3"/>
        <v/>
      </c>
      <c r="P313" s="15"/>
      <c r="Q313" s="37" t="str">
        <f t="shared" si="4"/>
        <v/>
      </c>
      <c r="R313" s="37" t="str">
        <f t="shared" si="5"/>
        <v/>
      </c>
      <c r="S313" s="32" t="str">
        <f t="shared" si="6"/>
        <v/>
      </c>
      <c r="T313" s="37" t="str">
        <f t="shared" si="7"/>
        <v/>
      </c>
      <c r="U313" s="37" t="str">
        <f t="array" ref="U313">IF($F313="","",IFERROR(INDEX(Config!$F:$F,MATCH($F313,Config!$D:$D,0)),0))</f>
        <v/>
      </c>
    </row>
    <row r="314" ht="15.0" customHeight="1">
      <c r="A314" s="34"/>
      <c r="B314" s="35"/>
      <c r="C314" s="15"/>
      <c r="D314" s="15"/>
      <c r="E314" s="15"/>
      <c r="F314" s="15"/>
      <c r="G314" s="36" t="str">
        <f t="array" ref="G314">IF($F314="","",IFERROR(INDEX(Config!$E:$E,MATCH($F314,Config!$D:$D,0)),0))</f>
        <v/>
      </c>
      <c r="H314" s="16"/>
      <c r="I314" s="36" t="str">
        <f t="shared" si="1"/>
        <v/>
      </c>
      <c r="J314" s="16"/>
      <c r="K314" s="15"/>
      <c r="L314" s="15"/>
      <c r="M314" s="36" t="str">
        <f t="array" ref="M314">IF($A314="","",IF($L314="Atendido",IFERROR($I314*INDEX(Config!$B:$B,MATCH($C314,Config!$A:$A,0)),0),0))</f>
        <v/>
      </c>
      <c r="N314" s="36" t="str">
        <f t="shared" si="2"/>
        <v/>
      </c>
      <c r="O314" s="36" t="str">
        <f t="shared" si="3"/>
        <v/>
      </c>
      <c r="P314" s="15"/>
      <c r="Q314" s="37" t="str">
        <f t="shared" si="4"/>
        <v/>
      </c>
      <c r="R314" s="37" t="str">
        <f t="shared" si="5"/>
        <v/>
      </c>
      <c r="S314" s="32" t="str">
        <f t="shared" si="6"/>
        <v/>
      </c>
      <c r="T314" s="37" t="str">
        <f t="shared" si="7"/>
        <v/>
      </c>
      <c r="U314" s="37" t="str">
        <f t="array" ref="U314">IF($F314="","",IFERROR(INDEX(Config!$F:$F,MATCH($F314,Config!$D:$D,0)),0))</f>
        <v/>
      </c>
    </row>
    <row r="315" ht="15.0" customHeight="1">
      <c r="A315" s="34"/>
      <c r="B315" s="35"/>
      <c r="C315" s="15"/>
      <c r="D315" s="15"/>
      <c r="E315" s="15"/>
      <c r="F315" s="15"/>
      <c r="G315" s="36" t="str">
        <f t="array" ref="G315">IF($F315="","",IFERROR(INDEX(Config!$E:$E,MATCH($F315,Config!$D:$D,0)),0))</f>
        <v/>
      </c>
      <c r="H315" s="16"/>
      <c r="I315" s="36" t="str">
        <f t="shared" si="1"/>
        <v/>
      </c>
      <c r="J315" s="16"/>
      <c r="K315" s="15"/>
      <c r="L315" s="15"/>
      <c r="M315" s="36" t="str">
        <f t="array" ref="M315">IF($A315="","",IF($L315="Atendido",IFERROR($I315*INDEX(Config!$B:$B,MATCH($C315,Config!$A:$A,0)),0),0))</f>
        <v/>
      </c>
      <c r="N315" s="36" t="str">
        <f t="shared" si="2"/>
        <v/>
      </c>
      <c r="O315" s="36" t="str">
        <f t="shared" si="3"/>
        <v/>
      </c>
      <c r="P315" s="15"/>
      <c r="Q315" s="37" t="str">
        <f t="shared" si="4"/>
        <v/>
      </c>
      <c r="R315" s="37" t="str">
        <f t="shared" si="5"/>
        <v/>
      </c>
      <c r="S315" s="32" t="str">
        <f t="shared" si="6"/>
        <v/>
      </c>
      <c r="T315" s="37" t="str">
        <f t="shared" si="7"/>
        <v/>
      </c>
      <c r="U315" s="37" t="str">
        <f t="array" ref="U315">IF($F315="","",IFERROR(INDEX(Config!$F:$F,MATCH($F315,Config!$D:$D,0)),0))</f>
        <v/>
      </c>
    </row>
    <row r="316" ht="15.0" customHeight="1">
      <c r="A316" s="34"/>
      <c r="B316" s="35"/>
      <c r="C316" s="15"/>
      <c r="D316" s="15"/>
      <c r="E316" s="15"/>
      <c r="F316" s="15"/>
      <c r="G316" s="36" t="str">
        <f t="array" ref="G316">IF($F316="","",IFERROR(INDEX(Config!$E:$E,MATCH($F316,Config!$D:$D,0)),0))</f>
        <v/>
      </c>
      <c r="H316" s="16"/>
      <c r="I316" s="36" t="str">
        <f t="shared" si="1"/>
        <v/>
      </c>
      <c r="J316" s="16"/>
      <c r="K316" s="15"/>
      <c r="L316" s="15"/>
      <c r="M316" s="36" t="str">
        <f t="array" ref="M316">IF($A316="","",IF($L316="Atendido",IFERROR($I316*INDEX(Config!$B:$B,MATCH($C316,Config!$A:$A,0)),0),0))</f>
        <v/>
      </c>
      <c r="N316" s="36" t="str">
        <f t="shared" si="2"/>
        <v/>
      </c>
      <c r="O316" s="36" t="str">
        <f t="shared" si="3"/>
        <v/>
      </c>
      <c r="P316" s="15"/>
      <c r="Q316" s="37" t="str">
        <f t="shared" si="4"/>
        <v/>
      </c>
      <c r="R316" s="37" t="str">
        <f t="shared" si="5"/>
        <v/>
      </c>
      <c r="S316" s="32" t="str">
        <f t="shared" si="6"/>
        <v/>
      </c>
      <c r="T316" s="37" t="str">
        <f t="shared" si="7"/>
        <v/>
      </c>
      <c r="U316" s="37" t="str">
        <f t="array" ref="U316">IF($F316="","",IFERROR(INDEX(Config!$F:$F,MATCH($F316,Config!$D:$D,0)),0))</f>
        <v/>
      </c>
    </row>
    <row r="317" ht="15.0" customHeight="1">
      <c r="A317" s="34"/>
      <c r="B317" s="35"/>
      <c r="C317" s="15"/>
      <c r="D317" s="15"/>
      <c r="E317" s="15"/>
      <c r="F317" s="15"/>
      <c r="G317" s="36" t="str">
        <f t="array" ref="G317">IF($F317="","",IFERROR(INDEX(Config!$E:$E,MATCH($F317,Config!$D:$D,0)),0))</f>
        <v/>
      </c>
      <c r="H317" s="16"/>
      <c r="I317" s="36" t="str">
        <f t="shared" si="1"/>
        <v/>
      </c>
      <c r="J317" s="16"/>
      <c r="K317" s="15"/>
      <c r="L317" s="15"/>
      <c r="M317" s="36" t="str">
        <f t="array" ref="M317">IF($A317="","",IF($L317="Atendido",IFERROR($I317*INDEX(Config!$B:$B,MATCH($C317,Config!$A:$A,0)),0),0))</f>
        <v/>
      </c>
      <c r="N317" s="36" t="str">
        <f t="shared" si="2"/>
        <v/>
      </c>
      <c r="O317" s="36" t="str">
        <f t="shared" si="3"/>
        <v/>
      </c>
      <c r="P317" s="15"/>
      <c r="Q317" s="37" t="str">
        <f t="shared" si="4"/>
        <v/>
      </c>
      <c r="R317" s="37" t="str">
        <f t="shared" si="5"/>
        <v/>
      </c>
      <c r="S317" s="32" t="str">
        <f t="shared" si="6"/>
        <v/>
      </c>
      <c r="T317" s="37" t="str">
        <f t="shared" si="7"/>
        <v/>
      </c>
      <c r="U317" s="37" t="str">
        <f t="array" ref="U317">IF($F317="","",IFERROR(INDEX(Config!$F:$F,MATCH($F317,Config!$D:$D,0)),0))</f>
        <v/>
      </c>
    </row>
    <row r="318" ht="15.0" customHeight="1">
      <c r="A318" s="34"/>
      <c r="B318" s="35"/>
      <c r="C318" s="15"/>
      <c r="D318" s="15"/>
      <c r="E318" s="15"/>
      <c r="F318" s="15"/>
      <c r="G318" s="36" t="str">
        <f t="array" ref="G318">IF($F318="","",IFERROR(INDEX(Config!$E:$E,MATCH($F318,Config!$D:$D,0)),0))</f>
        <v/>
      </c>
      <c r="H318" s="16"/>
      <c r="I318" s="36" t="str">
        <f t="shared" si="1"/>
        <v/>
      </c>
      <c r="J318" s="16"/>
      <c r="K318" s="15"/>
      <c r="L318" s="15"/>
      <c r="M318" s="36" t="str">
        <f t="array" ref="M318">IF($A318="","",IF($L318="Atendido",IFERROR($I318*INDEX(Config!$B:$B,MATCH($C318,Config!$A:$A,0)),0),0))</f>
        <v/>
      </c>
      <c r="N318" s="36" t="str">
        <f t="shared" si="2"/>
        <v/>
      </c>
      <c r="O318" s="36" t="str">
        <f t="shared" si="3"/>
        <v/>
      </c>
      <c r="P318" s="15"/>
      <c r="Q318" s="37" t="str">
        <f t="shared" si="4"/>
        <v/>
      </c>
      <c r="R318" s="37" t="str">
        <f t="shared" si="5"/>
        <v/>
      </c>
      <c r="S318" s="32" t="str">
        <f t="shared" si="6"/>
        <v/>
      </c>
      <c r="T318" s="37" t="str">
        <f t="shared" si="7"/>
        <v/>
      </c>
      <c r="U318" s="37" t="str">
        <f t="array" ref="U318">IF($F318="","",IFERROR(INDEX(Config!$F:$F,MATCH($F318,Config!$D:$D,0)),0))</f>
        <v/>
      </c>
    </row>
    <row r="319" ht="15.0" customHeight="1">
      <c r="A319" s="34"/>
      <c r="B319" s="35"/>
      <c r="C319" s="15"/>
      <c r="D319" s="15"/>
      <c r="E319" s="15"/>
      <c r="F319" s="15"/>
      <c r="G319" s="36" t="str">
        <f t="array" ref="G319">IF($F319="","",IFERROR(INDEX(Config!$E:$E,MATCH($F319,Config!$D:$D,0)),0))</f>
        <v/>
      </c>
      <c r="H319" s="16"/>
      <c r="I319" s="36" t="str">
        <f t="shared" si="1"/>
        <v/>
      </c>
      <c r="J319" s="16"/>
      <c r="K319" s="15"/>
      <c r="L319" s="15"/>
      <c r="M319" s="36" t="str">
        <f t="array" ref="M319">IF($A319="","",IF($L319="Atendido",IFERROR($I319*INDEX(Config!$B:$B,MATCH($C319,Config!$A:$A,0)),0),0))</f>
        <v/>
      </c>
      <c r="N319" s="36" t="str">
        <f t="shared" si="2"/>
        <v/>
      </c>
      <c r="O319" s="36" t="str">
        <f t="shared" si="3"/>
        <v/>
      </c>
      <c r="P319" s="15"/>
      <c r="Q319" s="37" t="str">
        <f t="shared" si="4"/>
        <v/>
      </c>
      <c r="R319" s="37" t="str">
        <f t="shared" si="5"/>
        <v/>
      </c>
      <c r="S319" s="32" t="str">
        <f t="shared" si="6"/>
        <v/>
      </c>
      <c r="T319" s="37" t="str">
        <f t="shared" si="7"/>
        <v/>
      </c>
      <c r="U319" s="37" t="str">
        <f t="array" ref="U319">IF($F319="","",IFERROR(INDEX(Config!$F:$F,MATCH($F319,Config!$D:$D,0)),0))</f>
        <v/>
      </c>
    </row>
    <row r="320" ht="15.0" customHeight="1">
      <c r="A320" s="34"/>
      <c r="B320" s="35"/>
      <c r="C320" s="15"/>
      <c r="D320" s="15"/>
      <c r="E320" s="15"/>
      <c r="F320" s="15"/>
      <c r="G320" s="36" t="str">
        <f t="array" ref="G320">IF($F320="","",IFERROR(INDEX(Config!$E:$E,MATCH($F320,Config!$D:$D,0)),0))</f>
        <v/>
      </c>
      <c r="H320" s="16"/>
      <c r="I320" s="36" t="str">
        <f t="shared" si="1"/>
        <v/>
      </c>
      <c r="J320" s="16"/>
      <c r="K320" s="15"/>
      <c r="L320" s="15"/>
      <c r="M320" s="36" t="str">
        <f t="array" ref="M320">IF($A320="","",IF($L320="Atendido",IFERROR($I320*INDEX(Config!$B:$B,MATCH($C320,Config!$A:$A,0)),0),0))</f>
        <v/>
      </c>
      <c r="N320" s="36" t="str">
        <f t="shared" si="2"/>
        <v/>
      </c>
      <c r="O320" s="36" t="str">
        <f t="shared" si="3"/>
        <v/>
      </c>
      <c r="P320" s="15"/>
      <c r="Q320" s="37" t="str">
        <f t="shared" si="4"/>
        <v/>
      </c>
      <c r="R320" s="37" t="str">
        <f t="shared" si="5"/>
        <v/>
      </c>
      <c r="S320" s="32" t="str">
        <f t="shared" si="6"/>
        <v/>
      </c>
      <c r="T320" s="37" t="str">
        <f t="shared" si="7"/>
        <v/>
      </c>
      <c r="U320" s="37" t="str">
        <f t="array" ref="U320">IF($F320="","",IFERROR(INDEX(Config!$F:$F,MATCH($F320,Config!$D:$D,0)),0))</f>
        <v/>
      </c>
    </row>
    <row r="321" ht="15.0" customHeight="1">
      <c r="A321" s="34"/>
      <c r="B321" s="35"/>
      <c r="C321" s="15"/>
      <c r="D321" s="15"/>
      <c r="E321" s="15"/>
      <c r="F321" s="15"/>
      <c r="G321" s="36" t="str">
        <f t="array" ref="G321">IF($F321="","",IFERROR(INDEX(Config!$E:$E,MATCH($F321,Config!$D:$D,0)),0))</f>
        <v/>
      </c>
      <c r="H321" s="16"/>
      <c r="I321" s="36" t="str">
        <f t="shared" si="1"/>
        <v/>
      </c>
      <c r="J321" s="16"/>
      <c r="K321" s="15"/>
      <c r="L321" s="15"/>
      <c r="M321" s="36" t="str">
        <f t="array" ref="M321">IF($A321="","",IF($L321="Atendido",IFERROR($I321*INDEX(Config!$B:$B,MATCH($C321,Config!$A:$A,0)),0),0))</f>
        <v/>
      </c>
      <c r="N321" s="36" t="str">
        <f t="shared" si="2"/>
        <v/>
      </c>
      <c r="O321" s="36" t="str">
        <f t="shared" si="3"/>
        <v/>
      </c>
      <c r="P321" s="15"/>
      <c r="Q321" s="37" t="str">
        <f t="shared" si="4"/>
        <v/>
      </c>
      <c r="R321" s="37" t="str">
        <f t="shared" si="5"/>
        <v/>
      </c>
      <c r="S321" s="32" t="str">
        <f t="shared" si="6"/>
        <v/>
      </c>
      <c r="T321" s="37" t="str">
        <f t="shared" si="7"/>
        <v/>
      </c>
      <c r="U321" s="37" t="str">
        <f t="array" ref="U321">IF($F321="","",IFERROR(INDEX(Config!$F:$F,MATCH($F321,Config!$D:$D,0)),0))</f>
        <v/>
      </c>
    </row>
    <row r="322" ht="15.0" customHeight="1">
      <c r="A322" s="34"/>
      <c r="B322" s="35"/>
      <c r="C322" s="15"/>
      <c r="D322" s="15"/>
      <c r="E322" s="15"/>
      <c r="F322" s="15"/>
      <c r="G322" s="36" t="str">
        <f t="array" ref="G322">IF($F322="","",IFERROR(INDEX(Config!$E:$E,MATCH($F322,Config!$D:$D,0)),0))</f>
        <v/>
      </c>
      <c r="H322" s="16"/>
      <c r="I322" s="36" t="str">
        <f t="shared" si="1"/>
        <v/>
      </c>
      <c r="J322" s="16"/>
      <c r="K322" s="15"/>
      <c r="L322" s="15"/>
      <c r="M322" s="36" t="str">
        <f t="array" ref="M322">IF($A322="","",IF($L322="Atendido",IFERROR($I322*INDEX(Config!$B:$B,MATCH($C322,Config!$A:$A,0)),0),0))</f>
        <v/>
      </c>
      <c r="N322" s="36" t="str">
        <f t="shared" si="2"/>
        <v/>
      </c>
      <c r="O322" s="36" t="str">
        <f t="shared" si="3"/>
        <v/>
      </c>
      <c r="P322" s="15"/>
      <c r="Q322" s="37" t="str">
        <f t="shared" si="4"/>
        <v/>
      </c>
      <c r="R322" s="37" t="str">
        <f t="shared" si="5"/>
        <v/>
      </c>
      <c r="S322" s="32" t="str">
        <f t="shared" si="6"/>
        <v/>
      </c>
      <c r="T322" s="37" t="str">
        <f t="shared" si="7"/>
        <v/>
      </c>
      <c r="U322" s="37" t="str">
        <f t="array" ref="U322">IF($F322="","",IFERROR(INDEX(Config!$F:$F,MATCH($F322,Config!$D:$D,0)),0))</f>
        <v/>
      </c>
    </row>
    <row r="323" ht="15.0" customHeight="1">
      <c r="A323" s="34"/>
      <c r="B323" s="35"/>
      <c r="C323" s="15"/>
      <c r="D323" s="15"/>
      <c r="E323" s="15"/>
      <c r="F323" s="15"/>
      <c r="G323" s="36" t="str">
        <f t="array" ref="G323">IF($F323="","",IFERROR(INDEX(Config!$E:$E,MATCH($F323,Config!$D:$D,0)),0))</f>
        <v/>
      </c>
      <c r="H323" s="16"/>
      <c r="I323" s="36" t="str">
        <f t="shared" si="1"/>
        <v/>
      </c>
      <c r="J323" s="16"/>
      <c r="K323" s="15"/>
      <c r="L323" s="15"/>
      <c r="M323" s="36" t="str">
        <f t="array" ref="M323">IF($A323="","",IF($L323="Atendido",IFERROR($I323*INDEX(Config!$B:$B,MATCH($C323,Config!$A:$A,0)),0),0))</f>
        <v/>
      </c>
      <c r="N323" s="36" t="str">
        <f t="shared" si="2"/>
        <v/>
      </c>
      <c r="O323" s="36" t="str">
        <f t="shared" si="3"/>
        <v/>
      </c>
      <c r="P323" s="15"/>
      <c r="Q323" s="37" t="str">
        <f t="shared" si="4"/>
        <v/>
      </c>
      <c r="R323" s="37" t="str">
        <f t="shared" si="5"/>
        <v/>
      </c>
      <c r="S323" s="32" t="str">
        <f t="shared" si="6"/>
        <v/>
      </c>
      <c r="T323" s="37" t="str">
        <f t="shared" si="7"/>
        <v/>
      </c>
      <c r="U323" s="37" t="str">
        <f t="array" ref="U323">IF($F323="","",IFERROR(INDEX(Config!$F:$F,MATCH($F323,Config!$D:$D,0)),0))</f>
        <v/>
      </c>
    </row>
    <row r="324" ht="15.0" customHeight="1">
      <c r="A324" s="34"/>
      <c r="B324" s="35"/>
      <c r="C324" s="15"/>
      <c r="D324" s="15"/>
      <c r="E324" s="15"/>
      <c r="F324" s="15"/>
      <c r="G324" s="36" t="str">
        <f t="array" ref="G324">IF($F324="","",IFERROR(INDEX(Config!$E:$E,MATCH($F324,Config!$D:$D,0)),0))</f>
        <v/>
      </c>
      <c r="H324" s="16"/>
      <c r="I324" s="36" t="str">
        <f t="shared" si="1"/>
        <v/>
      </c>
      <c r="J324" s="16"/>
      <c r="K324" s="15"/>
      <c r="L324" s="15"/>
      <c r="M324" s="36" t="str">
        <f t="array" ref="M324">IF($A324="","",IF($L324="Atendido",IFERROR($I324*INDEX(Config!$B:$B,MATCH($C324,Config!$A:$A,0)),0),0))</f>
        <v/>
      </c>
      <c r="N324" s="36" t="str">
        <f t="shared" si="2"/>
        <v/>
      </c>
      <c r="O324" s="36" t="str">
        <f t="shared" si="3"/>
        <v/>
      </c>
      <c r="P324" s="15"/>
      <c r="Q324" s="37" t="str">
        <f t="shared" si="4"/>
        <v/>
      </c>
      <c r="R324" s="37" t="str">
        <f t="shared" si="5"/>
        <v/>
      </c>
      <c r="S324" s="32" t="str">
        <f t="shared" si="6"/>
        <v/>
      </c>
      <c r="T324" s="37" t="str">
        <f t="shared" si="7"/>
        <v/>
      </c>
      <c r="U324" s="37" t="str">
        <f t="array" ref="U324">IF($F324="","",IFERROR(INDEX(Config!$F:$F,MATCH($F324,Config!$D:$D,0)),0))</f>
        <v/>
      </c>
    </row>
    <row r="325" ht="15.0" customHeight="1">
      <c r="A325" s="34"/>
      <c r="B325" s="35"/>
      <c r="C325" s="15"/>
      <c r="D325" s="15"/>
      <c r="E325" s="15"/>
      <c r="F325" s="15"/>
      <c r="G325" s="36" t="str">
        <f t="array" ref="G325">IF($F325="","",IFERROR(INDEX(Config!$E:$E,MATCH($F325,Config!$D:$D,0)),0))</f>
        <v/>
      </c>
      <c r="H325" s="16"/>
      <c r="I325" s="36" t="str">
        <f t="shared" si="1"/>
        <v/>
      </c>
      <c r="J325" s="16"/>
      <c r="K325" s="15"/>
      <c r="L325" s="15"/>
      <c r="M325" s="36" t="str">
        <f t="array" ref="M325">IF($A325="","",IF($L325="Atendido",IFERROR($I325*INDEX(Config!$B:$B,MATCH($C325,Config!$A:$A,0)),0),0))</f>
        <v/>
      </c>
      <c r="N325" s="36" t="str">
        <f t="shared" si="2"/>
        <v/>
      </c>
      <c r="O325" s="36" t="str">
        <f t="shared" si="3"/>
        <v/>
      </c>
      <c r="P325" s="15"/>
      <c r="Q325" s="37" t="str">
        <f t="shared" si="4"/>
        <v/>
      </c>
      <c r="R325" s="37" t="str">
        <f t="shared" si="5"/>
        <v/>
      </c>
      <c r="S325" s="32" t="str">
        <f t="shared" si="6"/>
        <v/>
      </c>
      <c r="T325" s="37" t="str">
        <f t="shared" si="7"/>
        <v/>
      </c>
      <c r="U325" s="37" t="str">
        <f t="array" ref="U325">IF($F325="","",IFERROR(INDEX(Config!$F:$F,MATCH($F325,Config!$D:$D,0)),0))</f>
        <v/>
      </c>
    </row>
    <row r="326" ht="15.0" customHeight="1">
      <c r="A326" s="34"/>
      <c r="B326" s="35"/>
      <c r="C326" s="15"/>
      <c r="D326" s="15"/>
      <c r="E326" s="15"/>
      <c r="F326" s="15"/>
      <c r="G326" s="36" t="str">
        <f t="array" ref="G326">IF($F326="","",IFERROR(INDEX(Config!$E:$E,MATCH($F326,Config!$D:$D,0)),0))</f>
        <v/>
      </c>
      <c r="H326" s="16"/>
      <c r="I326" s="36" t="str">
        <f t="shared" si="1"/>
        <v/>
      </c>
      <c r="J326" s="16"/>
      <c r="K326" s="15"/>
      <c r="L326" s="15"/>
      <c r="M326" s="36" t="str">
        <f t="array" ref="M326">IF($A326="","",IF($L326="Atendido",IFERROR($I326*INDEX(Config!$B:$B,MATCH($C326,Config!$A:$A,0)),0),0))</f>
        <v/>
      </c>
      <c r="N326" s="36" t="str">
        <f t="shared" si="2"/>
        <v/>
      </c>
      <c r="O326" s="36" t="str">
        <f t="shared" si="3"/>
        <v/>
      </c>
      <c r="P326" s="15"/>
      <c r="Q326" s="37" t="str">
        <f t="shared" si="4"/>
        <v/>
      </c>
      <c r="R326" s="37" t="str">
        <f t="shared" si="5"/>
        <v/>
      </c>
      <c r="S326" s="32" t="str">
        <f t="shared" si="6"/>
        <v/>
      </c>
      <c r="T326" s="37" t="str">
        <f t="shared" si="7"/>
        <v/>
      </c>
      <c r="U326" s="37" t="str">
        <f t="array" ref="U326">IF($F326="","",IFERROR(INDEX(Config!$F:$F,MATCH($F326,Config!$D:$D,0)),0))</f>
        <v/>
      </c>
    </row>
    <row r="327" ht="15.0" customHeight="1">
      <c r="A327" s="34"/>
      <c r="B327" s="35"/>
      <c r="C327" s="15"/>
      <c r="D327" s="15"/>
      <c r="E327" s="15"/>
      <c r="F327" s="15"/>
      <c r="G327" s="36" t="str">
        <f t="array" ref="G327">IF($F327="","",IFERROR(INDEX(Config!$E:$E,MATCH($F327,Config!$D:$D,0)),0))</f>
        <v/>
      </c>
      <c r="H327" s="16"/>
      <c r="I327" s="36" t="str">
        <f t="shared" si="1"/>
        <v/>
      </c>
      <c r="J327" s="16"/>
      <c r="K327" s="15"/>
      <c r="L327" s="15"/>
      <c r="M327" s="36" t="str">
        <f t="array" ref="M327">IF($A327="","",IF($L327="Atendido",IFERROR($I327*INDEX(Config!$B:$B,MATCH($C327,Config!$A:$A,0)),0),0))</f>
        <v/>
      </c>
      <c r="N327" s="36" t="str">
        <f t="shared" si="2"/>
        <v/>
      </c>
      <c r="O327" s="36" t="str">
        <f t="shared" si="3"/>
        <v/>
      </c>
      <c r="P327" s="15"/>
      <c r="Q327" s="37" t="str">
        <f t="shared" si="4"/>
        <v/>
      </c>
      <c r="R327" s="37" t="str">
        <f t="shared" si="5"/>
        <v/>
      </c>
      <c r="S327" s="32" t="str">
        <f t="shared" si="6"/>
        <v/>
      </c>
      <c r="T327" s="37" t="str">
        <f t="shared" si="7"/>
        <v/>
      </c>
      <c r="U327" s="37" t="str">
        <f t="array" ref="U327">IF($F327="","",IFERROR(INDEX(Config!$F:$F,MATCH($F327,Config!$D:$D,0)),0))</f>
        <v/>
      </c>
    </row>
    <row r="328" ht="15.0" customHeight="1">
      <c r="A328" s="34"/>
      <c r="B328" s="35"/>
      <c r="C328" s="15"/>
      <c r="D328" s="15"/>
      <c r="E328" s="15"/>
      <c r="F328" s="15"/>
      <c r="G328" s="36" t="str">
        <f t="array" ref="G328">IF($F328="","",IFERROR(INDEX(Config!$E:$E,MATCH($F328,Config!$D:$D,0)),0))</f>
        <v/>
      </c>
      <c r="H328" s="16"/>
      <c r="I328" s="36" t="str">
        <f t="shared" si="1"/>
        <v/>
      </c>
      <c r="J328" s="16"/>
      <c r="K328" s="15"/>
      <c r="L328" s="15"/>
      <c r="M328" s="36" t="str">
        <f t="array" ref="M328">IF($A328="","",IF($L328="Atendido",IFERROR($I328*INDEX(Config!$B:$B,MATCH($C328,Config!$A:$A,0)),0),0))</f>
        <v/>
      </c>
      <c r="N328" s="36" t="str">
        <f t="shared" si="2"/>
        <v/>
      </c>
      <c r="O328" s="36" t="str">
        <f t="shared" si="3"/>
        <v/>
      </c>
      <c r="P328" s="15"/>
      <c r="Q328" s="37" t="str">
        <f t="shared" si="4"/>
        <v/>
      </c>
      <c r="R328" s="37" t="str">
        <f t="shared" si="5"/>
        <v/>
      </c>
      <c r="S328" s="32" t="str">
        <f t="shared" si="6"/>
        <v/>
      </c>
      <c r="T328" s="37" t="str">
        <f t="shared" si="7"/>
        <v/>
      </c>
      <c r="U328" s="37" t="str">
        <f t="array" ref="U328">IF($F328="","",IFERROR(INDEX(Config!$F:$F,MATCH($F328,Config!$D:$D,0)),0))</f>
        <v/>
      </c>
    </row>
    <row r="329" ht="15.0" customHeight="1">
      <c r="A329" s="34"/>
      <c r="B329" s="35"/>
      <c r="C329" s="15"/>
      <c r="D329" s="15"/>
      <c r="E329" s="15"/>
      <c r="F329" s="15"/>
      <c r="G329" s="36" t="str">
        <f t="array" ref="G329">IF($F329="","",IFERROR(INDEX(Config!$E:$E,MATCH($F329,Config!$D:$D,0)),0))</f>
        <v/>
      </c>
      <c r="H329" s="16"/>
      <c r="I329" s="36" t="str">
        <f t="shared" si="1"/>
        <v/>
      </c>
      <c r="J329" s="16"/>
      <c r="K329" s="15"/>
      <c r="L329" s="15"/>
      <c r="M329" s="36" t="str">
        <f t="array" ref="M329">IF($A329="","",IF($L329="Atendido",IFERROR($I329*INDEX(Config!$B:$B,MATCH($C329,Config!$A:$A,0)),0),0))</f>
        <v/>
      </c>
      <c r="N329" s="36" t="str">
        <f t="shared" si="2"/>
        <v/>
      </c>
      <c r="O329" s="36" t="str">
        <f t="shared" si="3"/>
        <v/>
      </c>
      <c r="P329" s="15"/>
      <c r="Q329" s="37" t="str">
        <f t="shared" si="4"/>
        <v/>
      </c>
      <c r="R329" s="37" t="str">
        <f t="shared" si="5"/>
        <v/>
      </c>
      <c r="S329" s="32" t="str">
        <f t="shared" si="6"/>
        <v/>
      </c>
      <c r="T329" s="37" t="str">
        <f t="shared" si="7"/>
        <v/>
      </c>
      <c r="U329" s="37" t="str">
        <f t="array" ref="U329">IF($F329="","",IFERROR(INDEX(Config!$F:$F,MATCH($F329,Config!$D:$D,0)),0))</f>
        <v/>
      </c>
    </row>
    <row r="330" ht="15.0" customHeight="1">
      <c r="A330" s="34"/>
      <c r="B330" s="35"/>
      <c r="C330" s="15"/>
      <c r="D330" s="15"/>
      <c r="E330" s="15"/>
      <c r="F330" s="15"/>
      <c r="G330" s="36" t="str">
        <f t="array" ref="G330">IF($F330="","",IFERROR(INDEX(Config!$E:$E,MATCH($F330,Config!$D:$D,0)),0))</f>
        <v/>
      </c>
      <c r="H330" s="16"/>
      <c r="I330" s="36" t="str">
        <f t="shared" si="1"/>
        <v/>
      </c>
      <c r="J330" s="16"/>
      <c r="K330" s="15"/>
      <c r="L330" s="15"/>
      <c r="M330" s="36" t="str">
        <f t="array" ref="M330">IF($A330="","",IF($L330="Atendido",IFERROR($I330*INDEX(Config!$B:$B,MATCH($C330,Config!$A:$A,0)),0),0))</f>
        <v/>
      </c>
      <c r="N330" s="36" t="str">
        <f t="shared" si="2"/>
        <v/>
      </c>
      <c r="O330" s="36" t="str">
        <f t="shared" si="3"/>
        <v/>
      </c>
      <c r="P330" s="15"/>
      <c r="Q330" s="37" t="str">
        <f t="shared" si="4"/>
        <v/>
      </c>
      <c r="R330" s="37" t="str">
        <f t="shared" si="5"/>
        <v/>
      </c>
      <c r="S330" s="32" t="str">
        <f t="shared" si="6"/>
        <v/>
      </c>
      <c r="T330" s="37" t="str">
        <f t="shared" si="7"/>
        <v/>
      </c>
      <c r="U330" s="37" t="str">
        <f t="array" ref="U330">IF($F330="","",IFERROR(INDEX(Config!$F:$F,MATCH($F330,Config!$D:$D,0)),0))</f>
        <v/>
      </c>
    </row>
    <row r="331" ht="15.0" customHeight="1">
      <c r="A331" s="34"/>
      <c r="B331" s="35"/>
      <c r="C331" s="15"/>
      <c r="D331" s="15"/>
      <c r="E331" s="15"/>
      <c r="F331" s="15"/>
      <c r="G331" s="36" t="str">
        <f t="array" ref="G331">IF($F331="","",IFERROR(INDEX(Config!$E:$E,MATCH($F331,Config!$D:$D,0)),0))</f>
        <v/>
      </c>
      <c r="H331" s="16"/>
      <c r="I331" s="36" t="str">
        <f t="shared" si="1"/>
        <v/>
      </c>
      <c r="J331" s="16"/>
      <c r="K331" s="15"/>
      <c r="L331" s="15"/>
      <c r="M331" s="36" t="str">
        <f t="array" ref="M331">IF($A331="","",IF($L331="Atendido",IFERROR($I331*INDEX(Config!$B:$B,MATCH($C331,Config!$A:$A,0)),0),0))</f>
        <v/>
      </c>
      <c r="N331" s="36" t="str">
        <f t="shared" si="2"/>
        <v/>
      </c>
      <c r="O331" s="36" t="str">
        <f t="shared" si="3"/>
        <v/>
      </c>
      <c r="P331" s="15"/>
      <c r="Q331" s="37" t="str">
        <f t="shared" si="4"/>
        <v/>
      </c>
      <c r="R331" s="37" t="str">
        <f t="shared" si="5"/>
        <v/>
      </c>
      <c r="S331" s="32" t="str">
        <f t="shared" si="6"/>
        <v/>
      </c>
      <c r="T331" s="37" t="str">
        <f t="shared" si="7"/>
        <v/>
      </c>
      <c r="U331" s="37" t="str">
        <f t="array" ref="U331">IF($F331="","",IFERROR(INDEX(Config!$F:$F,MATCH($F331,Config!$D:$D,0)),0))</f>
        <v/>
      </c>
    </row>
    <row r="332" ht="15.0" customHeight="1">
      <c r="A332" s="34"/>
      <c r="B332" s="35"/>
      <c r="C332" s="15"/>
      <c r="D332" s="15"/>
      <c r="E332" s="15"/>
      <c r="F332" s="15"/>
      <c r="G332" s="36" t="str">
        <f t="array" ref="G332">IF($F332="","",IFERROR(INDEX(Config!$E:$E,MATCH($F332,Config!$D:$D,0)),0))</f>
        <v/>
      </c>
      <c r="H332" s="16"/>
      <c r="I332" s="36" t="str">
        <f t="shared" si="1"/>
        <v/>
      </c>
      <c r="J332" s="16"/>
      <c r="K332" s="15"/>
      <c r="L332" s="15"/>
      <c r="M332" s="36" t="str">
        <f t="array" ref="M332">IF($A332="","",IF($L332="Atendido",IFERROR($I332*INDEX(Config!$B:$B,MATCH($C332,Config!$A:$A,0)),0),0))</f>
        <v/>
      </c>
      <c r="N332" s="36" t="str">
        <f t="shared" si="2"/>
        <v/>
      </c>
      <c r="O332" s="36" t="str">
        <f t="shared" si="3"/>
        <v/>
      </c>
      <c r="P332" s="15"/>
      <c r="Q332" s="37" t="str">
        <f t="shared" si="4"/>
        <v/>
      </c>
      <c r="R332" s="37" t="str">
        <f t="shared" si="5"/>
        <v/>
      </c>
      <c r="S332" s="32" t="str">
        <f t="shared" si="6"/>
        <v/>
      </c>
      <c r="T332" s="37" t="str">
        <f t="shared" si="7"/>
        <v/>
      </c>
      <c r="U332" s="37" t="str">
        <f t="array" ref="U332">IF($F332="","",IFERROR(INDEX(Config!$F:$F,MATCH($F332,Config!$D:$D,0)),0))</f>
        <v/>
      </c>
    </row>
    <row r="333" ht="15.0" customHeight="1">
      <c r="A333" s="34"/>
      <c r="B333" s="35"/>
      <c r="C333" s="15"/>
      <c r="D333" s="15"/>
      <c r="E333" s="15"/>
      <c r="F333" s="15"/>
      <c r="G333" s="36" t="str">
        <f t="array" ref="G333">IF($F333="","",IFERROR(INDEX(Config!$E:$E,MATCH($F333,Config!$D:$D,0)),0))</f>
        <v/>
      </c>
      <c r="H333" s="16"/>
      <c r="I333" s="36" t="str">
        <f t="shared" si="1"/>
        <v/>
      </c>
      <c r="J333" s="16"/>
      <c r="K333" s="15"/>
      <c r="L333" s="15"/>
      <c r="M333" s="36" t="str">
        <f t="array" ref="M333">IF($A333="","",IF($L333="Atendido",IFERROR($I333*INDEX(Config!$B:$B,MATCH($C333,Config!$A:$A,0)),0),0))</f>
        <v/>
      </c>
      <c r="N333" s="36" t="str">
        <f t="shared" si="2"/>
        <v/>
      </c>
      <c r="O333" s="36" t="str">
        <f t="shared" si="3"/>
        <v/>
      </c>
      <c r="P333" s="15"/>
      <c r="Q333" s="37" t="str">
        <f t="shared" si="4"/>
        <v/>
      </c>
      <c r="R333" s="37" t="str">
        <f t="shared" si="5"/>
        <v/>
      </c>
      <c r="S333" s="32" t="str">
        <f t="shared" si="6"/>
        <v/>
      </c>
      <c r="T333" s="37" t="str">
        <f t="shared" si="7"/>
        <v/>
      </c>
      <c r="U333" s="37" t="str">
        <f t="array" ref="U333">IF($F333="","",IFERROR(INDEX(Config!$F:$F,MATCH($F333,Config!$D:$D,0)),0))</f>
        <v/>
      </c>
    </row>
    <row r="334" ht="15.0" customHeight="1">
      <c r="A334" s="34"/>
      <c r="B334" s="35"/>
      <c r="C334" s="15"/>
      <c r="D334" s="15"/>
      <c r="E334" s="15"/>
      <c r="F334" s="15"/>
      <c r="G334" s="36" t="str">
        <f t="array" ref="G334">IF($F334="","",IFERROR(INDEX(Config!$E:$E,MATCH($F334,Config!$D:$D,0)),0))</f>
        <v/>
      </c>
      <c r="H334" s="16"/>
      <c r="I334" s="36" t="str">
        <f t="shared" si="1"/>
        <v/>
      </c>
      <c r="J334" s="16"/>
      <c r="K334" s="15"/>
      <c r="L334" s="15"/>
      <c r="M334" s="36" t="str">
        <f t="array" ref="M334">IF($A334="","",IF($L334="Atendido",IFERROR($I334*INDEX(Config!$B:$B,MATCH($C334,Config!$A:$A,0)),0),0))</f>
        <v/>
      </c>
      <c r="N334" s="36" t="str">
        <f t="shared" si="2"/>
        <v/>
      </c>
      <c r="O334" s="36" t="str">
        <f t="shared" si="3"/>
        <v/>
      </c>
      <c r="P334" s="15"/>
      <c r="Q334" s="37" t="str">
        <f t="shared" si="4"/>
        <v/>
      </c>
      <c r="R334" s="37" t="str">
        <f t="shared" si="5"/>
        <v/>
      </c>
      <c r="S334" s="32" t="str">
        <f t="shared" si="6"/>
        <v/>
      </c>
      <c r="T334" s="37" t="str">
        <f t="shared" si="7"/>
        <v/>
      </c>
      <c r="U334" s="37" t="str">
        <f t="array" ref="U334">IF($F334="","",IFERROR(INDEX(Config!$F:$F,MATCH($F334,Config!$D:$D,0)),0))</f>
        <v/>
      </c>
    </row>
    <row r="335" ht="15.0" customHeight="1">
      <c r="A335" s="34"/>
      <c r="B335" s="35"/>
      <c r="C335" s="15"/>
      <c r="D335" s="15"/>
      <c r="E335" s="15"/>
      <c r="F335" s="15"/>
      <c r="G335" s="36" t="str">
        <f t="array" ref="G335">IF($F335="","",IFERROR(INDEX(Config!$E:$E,MATCH($F335,Config!$D:$D,0)),0))</f>
        <v/>
      </c>
      <c r="H335" s="16"/>
      <c r="I335" s="36" t="str">
        <f t="shared" si="1"/>
        <v/>
      </c>
      <c r="J335" s="16"/>
      <c r="K335" s="15"/>
      <c r="L335" s="15"/>
      <c r="M335" s="36" t="str">
        <f t="array" ref="M335">IF($A335="","",IF($L335="Atendido",IFERROR($I335*INDEX(Config!$B:$B,MATCH($C335,Config!$A:$A,0)),0),0))</f>
        <v/>
      </c>
      <c r="N335" s="36" t="str">
        <f t="shared" si="2"/>
        <v/>
      </c>
      <c r="O335" s="36" t="str">
        <f t="shared" si="3"/>
        <v/>
      </c>
      <c r="P335" s="15"/>
      <c r="Q335" s="37" t="str">
        <f t="shared" si="4"/>
        <v/>
      </c>
      <c r="R335" s="37" t="str">
        <f t="shared" si="5"/>
        <v/>
      </c>
      <c r="S335" s="32" t="str">
        <f t="shared" si="6"/>
        <v/>
      </c>
      <c r="T335" s="37" t="str">
        <f t="shared" si="7"/>
        <v/>
      </c>
      <c r="U335" s="37" t="str">
        <f t="array" ref="U335">IF($F335="","",IFERROR(INDEX(Config!$F:$F,MATCH($F335,Config!$D:$D,0)),0))</f>
        <v/>
      </c>
    </row>
    <row r="336" ht="15.0" customHeight="1">
      <c r="A336" s="34"/>
      <c r="B336" s="35"/>
      <c r="C336" s="15"/>
      <c r="D336" s="15"/>
      <c r="E336" s="15"/>
      <c r="F336" s="15"/>
      <c r="G336" s="36" t="str">
        <f t="array" ref="G336">IF($F336="","",IFERROR(INDEX(Config!$E:$E,MATCH($F336,Config!$D:$D,0)),0))</f>
        <v/>
      </c>
      <c r="H336" s="16"/>
      <c r="I336" s="36" t="str">
        <f t="shared" si="1"/>
        <v/>
      </c>
      <c r="J336" s="16"/>
      <c r="K336" s="15"/>
      <c r="L336" s="15"/>
      <c r="M336" s="36" t="str">
        <f t="array" ref="M336">IF($A336="","",IF($L336="Atendido",IFERROR($I336*INDEX(Config!$B:$B,MATCH($C336,Config!$A:$A,0)),0),0))</f>
        <v/>
      </c>
      <c r="N336" s="36" t="str">
        <f t="shared" si="2"/>
        <v/>
      </c>
      <c r="O336" s="36" t="str">
        <f t="shared" si="3"/>
        <v/>
      </c>
      <c r="P336" s="15"/>
      <c r="Q336" s="37" t="str">
        <f t="shared" si="4"/>
        <v/>
      </c>
      <c r="R336" s="37" t="str">
        <f t="shared" si="5"/>
        <v/>
      </c>
      <c r="S336" s="32" t="str">
        <f t="shared" si="6"/>
        <v/>
      </c>
      <c r="T336" s="37" t="str">
        <f t="shared" si="7"/>
        <v/>
      </c>
      <c r="U336" s="37" t="str">
        <f t="array" ref="U336">IF($F336="","",IFERROR(INDEX(Config!$F:$F,MATCH($F336,Config!$D:$D,0)),0))</f>
        <v/>
      </c>
    </row>
    <row r="337" ht="15.0" customHeight="1">
      <c r="A337" s="34"/>
      <c r="B337" s="35"/>
      <c r="C337" s="15"/>
      <c r="D337" s="15"/>
      <c r="E337" s="15"/>
      <c r="F337" s="15"/>
      <c r="G337" s="36" t="str">
        <f t="array" ref="G337">IF($F337="","",IFERROR(INDEX(Config!$E:$E,MATCH($F337,Config!$D:$D,0)),0))</f>
        <v/>
      </c>
      <c r="H337" s="16"/>
      <c r="I337" s="36" t="str">
        <f t="shared" si="1"/>
        <v/>
      </c>
      <c r="J337" s="16"/>
      <c r="K337" s="15"/>
      <c r="L337" s="15"/>
      <c r="M337" s="36" t="str">
        <f t="array" ref="M337">IF($A337="","",IF($L337="Atendido",IFERROR($I337*INDEX(Config!$B:$B,MATCH($C337,Config!$A:$A,0)),0),0))</f>
        <v/>
      </c>
      <c r="N337" s="36" t="str">
        <f t="shared" si="2"/>
        <v/>
      </c>
      <c r="O337" s="36" t="str">
        <f t="shared" si="3"/>
        <v/>
      </c>
      <c r="P337" s="15"/>
      <c r="Q337" s="37" t="str">
        <f t="shared" si="4"/>
        <v/>
      </c>
      <c r="R337" s="37" t="str">
        <f t="shared" si="5"/>
        <v/>
      </c>
      <c r="S337" s="32" t="str">
        <f t="shared" si="6"/>
        <v/>
      </c>
      <c r="T337" s="37" t="str">
        <f t="shared" si="7"/>
        <v/>
      </c>
      <c r="U337" s="37" t="str">
        <f t="array" ref="U337">IF($F337="","",IFERROR(INDEX(Config!$F:$F,MATCH($F337,Config!$D:$D,0)),0))</f>
        <v/>
      </c>
    </row>
    <row r="338" ht="15.0" customHeight="1">
      <c r="A338" s="34"/>
      <c r="B338" s="35"/>
      <c r="C338" s="15"/>
      <c r="D338" s="15"/>
      <c r="E338" s="15"/>
      <c r="F338" s="15"/>
      <c r="G338" s="36" t="str">
        <f t="array" ref="G338">IF($F338="","",IFERROR(INDEX(Config!$E:$E,MATCH($F338,Config!$D:$D,0)),0))</f>
        <v/>
      </c>
      <c r="H338" s="16"/>
      <c r="I338" s="36" t="str">
        <f t="shared" si="1"/>
        <v/>
      </c>
      <c r="J338" s="16"/>
      <c r="K338" s="15"/>
      <c r="L338" s="15"/>
      <c r="M338" s="36" t="str">
        <f t="array" ref="M338">IF($A338="","",IF($L338="Atendido",IFERROR($I338*INDEX(Config!$B:$B,MATCH($C338,Config!$A:$A,0)),0),0))</f>
        <v/>
      </c>
      <c r="N338" s="36" t="str">
        <f t="shared" si="2"/>
        <v/>
      </c>
      <c r="O338" s="36" t="str">
        <f t="shared" si="3"/>
        <v/>
      </c>
      <c r="P338" s="15"/>
      <c r="Q338" s="37" t="str">
        <f t="shared" si="4"/>
        <v/>
      </c>
      <c r="R338" s="37" t="str">
        <f t="shared" si="5"/>
        <v/>
      </c>
      <c r="S338" s="32" t="str">
        <f t="shared" si="6"/>
        <v/>
      </c>
      <c r="T338" s="37" t="str">
        <f t="shared" si="7"/>
        <v/>
      </c>
      <c r="U338" s="37" t="str">
        <f t="array" ref="U338">IF($F338="","",IFERROR(INDEX(Config!$F:$F,MATCH($F338,Config!$D:$D,0)),0))</f>
        <v/>
      </c>
    </row>
    <row r="339" ht="15.0" customHeight="1">
      <c r="A339" s="34"/>
      <c r="B339" s="35"/>
      <c r="C339" s="15"/>
      <c r="D339" s="15"/>
      <c r="E339" s="15"/>
      <c r="F339" s="15"/>
      <c r="G339" s="36" t="str">
        <f t="array" ref="G339">IF($F339="","",IFERROR(INDEX(Config!$E:$E,MATCH($F339,Config!$D:$D,0)),0))</f>
        <v/>
      </c>
      <c r="H339" s="16"/>
      <c r="I339" s="36" t="str">
        <f t="shared" si="1"/>
        <v/>
      </c>
      <c r="J339" s="16"/>
      <c r="K339" s="15"/>
      <c r="L339" s="15"/>
      <c r="M339" s="36" t="str">
        <f t="array" ref="M339">IF($A339="","",IF($L339="Atendido",IFERROR($I339*INDEX(Config!$B:$B,MATCH($C339,Config!$A:$A,0)),0),0))</f>
        <v/>
      </c>
      <c r="N339" s="36" t="str">
        <f t="shared" si="2"/>
        <v/>
      </c>
      <c r="O339" s="36" t="str">
        <f t="shared" si="3"/>
        <v/>
      </c>
      <c r="P339" s="15"/>
      <c r="Q339" s="37" t="str">
        <f t="shared" si="4"/>
        <v/>
      </c>
      <c r="R339" s="37" t="str">
        <f t="shared" si="5"/>
        <v/>
      </c>
      <c r="S339" s="32" t="str">
        <f t="shared" si="6"/>
        <v/>
      </c>
      <c r="T339" s="37" t="str">
        <f t="shared" si="7"/>
        <v/>
      </c>
      <c r="U339" s="37" t="str">
        <f t="array" ref="U339">IF($F339="","",IFERROR(INDEX(Config!$F:$F,MATCH($F339,Config!$D:$D,0)),0))</f>
        <v/>
      </c>
    </row>
    <row r="340" ht="15.0" customHeight="1">
      <c r="A340" s="34"/>
      <c r="B340" s="35"/>
      <c r="C340" s="15"/>
      <c r="D340" s="15"/>
      <c r="E340" s="15"/>
      <c r="F340" s="15"/>
      <c r="G340" s="36" t="str">
        <f t="array" ref="G340">IF($F340="","",IFERROR(INDEX(Config!$E:$E,MATCH($F340,Config!$D:$D,0)),0))</f>
        <v/>
      </c>
      <c r="H340" s="16"/>
      <c r="I340" s="36" t="str">
        <f t="shared" si="1"/>
        <v/>
      </c>
      <c r="J340" s="16"/>
      <c r="K340" s="15"/>
      <c r="L340" s="15"/>
      <c r="M340" s="36" t="str">
        <f t="array" ref="M340">IF($A340="","",IF($L340="Atendido",IFERROR($I340*INDEX(Config!$B:$B,MATCH($C340,Config!$A:$A,0)),0),0))</f>
        <v/>
      </c>
      <c r="N340" s="36" t="str">
        <f t="shared" si="2"/>
        <v/>
      </c>
      <c r="O340" s="36" t="str">
        <f t="shared" si="3"/>
        <v/>
      </c>
      <c r="P340" s="15"/>
      <c r="Q340" s="37" t="str">
        <f t="shared" si="4"/>
        <v/>
      </c>
      <c r="R340" s="37" t="str">
        <f t="shared" si="5"/>
        <v/>
      </c>
      <c r="S340" s="32" t="str">
        <f t="shared" si="6"/>
        <v/>
      </c>
      <c r="T340" s="37" t="str">
        <f t="shared" si="7"/>
        <v/>
      </c>
      <c r="U340" s="37" t="str">
        <f t="array" ref="U340">IF($F340="","",IFERROR(INDEX(Config!$F:$F,MATCH($F340,Config!$D:$D,0)),0))</f>
        <v/>
      </c>
    </row>
    <row r="341" ht="15.0" customHeight="1">
      <c r="A341" s="34"/>
      <c r="B341" s="35"/>
      <c r="C341" s="15"/>
      <c r="D341" s="15"/>
      <c r="E341" s="15"/>
      <c r="F341" s="15"/>
      <c r="G341" s="36" t="str">
        <f t="array" ref="G341">IF($F341="","",IFERROR(INDEX(Config!$E:$E,MATCH($F341,Config!$D:$D,0)),0))</f>
        <v/>
      </c>
      <c r="H341" s="16"/>
      <c r="I341" s="36" t="str">
        <f t="shared" si="1"/>
        <v/>
      </c>
      <c r="J341" s="16"/>
      <c r="K341" s="15"/>
      <c r="L341" s="15"/>
      <c r="M341" s="36" t="str">
        <f t="array" ref="M341">IF($A341="","",IF($L341="Atendido",IFERROR($I341*INDEX(Config!$B:$B,MATCH($C341,Config!$A:$A,0)),0),0))</f>
        <v/>
      </c>
      <c r="N341" s="36" t="str">
        <f t="shared" si="2"/>
        <v/>
      </c>
      <c r="O341" s="36" t="str">
        <f t="shared" si="3"/>
        <v/>
      </c>
      <c r="P341" s="15"/>
      <c r="Q341" s="37" t="str">
        <f t="shared" si="4"/>
        <v/>
      </c>
      <c r="R341" s="37" t="str">
        <f t="shared" si="5"/>
        <v/>
      </c>
      <c r="S341" s="32" t="str">
        <f t="shared" si="6"/>
        <v/>
      </c>
      <c r="T341" s="37" t="str">
        <f t="shared" si="7"/>
        <v/>
      </c>
      <c r="U341" s="37" t="str">
        <f t="array" ref="U341">IF($F341="","",IFERROR(INDEX(Config!$F:$F,MATCH($F341,Config!$D:$D,0)),0))</f>
        <v/>
      </c>
    </row>
    <row r="342" ht="15.0" customHeight="1">
      <c r="A342" s="34"/>
      <c r="B342" s="35"/>
      <c r="C342" s="15"/>
      <c r="D342" s="15"/>
      <c r="E342" s="15"/>
      <c r="F342" s="15"/>
      <c r="G342" s="36" t="str">
        <f t="array" ref="G342">IF($F342="","",IFERROR(INDEX(Config!$E:$E,MATCH($F342,Config!$D:$D,0)),0))</f>
        <v/>
      </c>
      <c r="H342" s="16"/>
      <c r="I342" s="36" t="str">
        <f t="shared" si="1"/>
        <v/>
      </c>
      <c r="J342" s="16"/>
      <c r="K342" s="15"/>
      <c r="L342" s="15"/>
      <c r="M342" s="36" t="str">
        <f t="array" ref="M342">IF($A342="","",IF($L342="Atendido",IFERROR($I342*INDEX(Config!$B:$B,MATCH($C342,Config!$A:$A,0)),0),0))</f>
        <v/>
      </c>
      <c r="N342" s="36" t="str">
        <f t="shared" si="2"/>
        <v/>
      </c>
      <c r="O342" s="36" t="str">
        <f t="shared" si="3"/>
        <v/>
      </c>
      <c r="P342" s="15"/>
      <c r="Q342" s="37" t="str">
        <f t="shared" si="4"/>
        <v/>
      </c>
      <c r="R342" s="37" t="str">
        <f t="shared" si="5"/>
        <v/>
      </c>
      <c r="S342" s="32" t="str">
        <f t="shared" si="6"/>
        <v/>
      </c>
      <c r="T342" s="37" t="str">
        <f t="shared" si="7"/>
        <v/>
      </c>
      <c r="U342" s="37" t="str">
        <f t="array" ref="U342">IF($F342="","",IFERROR(INDEX(Config!$F:$F,MATCH($F342,Config!$D:$D,0)),0))</f>
        <v/>
      </c>
    </row>
    <row r="343" ht="15.0" customHeight="1">
      <c r="A343" s="34"/>
      <c r="B343" s="35"/>
      <c r="C343" s="15"/>
      <c r="D343" s="15"/>
      <c r="E343" s="15"/>
      <c r="F343" s="15"/>
      <c r="G343" s="36" t="str">
        <f t="array" ref="G343">IF($F343="","",IFERROR(INDEX(Config!$E:$E,MATCH($F343,Config!$D:$D,0)),0))</f>
        <v/>
      </c>
      <c r="H343" s="16"/>
      <c r="I343" s="36" t="str">
        <f t="shared" si="1"/>
        <v/>
      </c>
      <c r="J343" s="16"/>
      <c r="K343" s="15"/>
      <c r="L343" s="15"/>
      <c r="M343" s="36" t="str">
        <f t="array" ref="M343">IF($A343="","",IF($L343="Atendido",IFERROR($I343*INDEX(Config!$B:$B,MATCH($C343,Config!$A:$A,0)),0),0))</f>
        <v/>
      </c>
      <c r="N343" s="36" t="str">
        <f t="shared" si="2"/>
        <v/>
      </c>
      <c r="O343" s="36" t="str">
        <f t="shared" si="3"/>
        <v/>
      </c>
      <c r="P343" s="15"/>
      <c r="Q343" s="37" t="str">
        <f t="shared" si="4"/>
        <v/>
      </c>
      <c r="R343" s="37" t="str">
        <f t="shared" si="5"/>
        <v/>
      </c>
      <c r="S343" s="32" t="str">
        <f t="shared" si="6"/>
        <v/>
      </c>
      <c r="T343" s="37" t="str">
        <f t="shared" si="7"/>
        <v/>
      </c>
      <c r="U343" s="37" t="str">
        <f t="array" ref="U343">IF($F343="","",IFERROR(INDEX(Config!$F:$F,MATCH($F343,Config!$D:$D,0)),0))</f>
        <v/>
      </c>
    </row>
    <row r="344" ht="15.0" customHeight="1">
      <c r="A344" s="34"/>
      <c r="B344" s="35"/>
      <c r="C344" s="15"/>
      <c r="D344" s="15"/>
      <c r="E344" s="15"/>
      <c r="F344" s="15"/>
      <c r="G344" s="36" t="str">
        <f t="array" ref="G344">IF($F344="","",IFERROR(INDEX(Config!$E:$E,MATCH($F344,Config!$D:$D,0)),0))</f>
        <v/>
      </c>
      <c r="H344" s="16"/>
      <c r="I344" s="36" t="str">
        <f t="shared" si="1"/>
        <v/>
      </c>
      <c r="J344" s="16"/>
      <c r="K344" s="15"/>
      <c r="L344" s="15"/>
      <c r="M344" s="36" t="str">
        <f t="array" ref="M344">IF($A344="","",IF($L344="Atendido",IFERROR($I344*INDEX(Config!$B:$B,MATCH($C344,Config!$A:$A,0)),0),0))</f>
        <v/>
      </c>
      <c r="N344" s="36" t="str">
        <f t="shared" si="2"/>
        <v/>
      </c>
      <c r="O344" s="36" t="str">
        <f t="shared" si="3"/>
        <v/>
      </c>
      <c r="P344" s="15"/>
      <c r="Q344" s="37" t="str">
        <f t="shared" si="4"/>
        <v/>
      </c>
      <c r="R344" s="37" t="str">
        <f t="shared" si="5"/>
        <v/>
      </c>
      <c r="S344" s="32" t="str">
        <f t="shared" si="6"/>
        <v/>
      </c>
      <c r="T344" s="37" t="str">
        <f t="shared" si="7"/>
        <v/>
      </c>
      <c r="U344" s="37" t="str">
        <f t="array" ref="U344">IF($F344="","",IFERROR(INDEX(Config!$F:$F,MATCH($F344,Config!$D:$D,0)),0))</f>
        <v/>
      </c>
    </row>
    <row r="345" ht="15.0" customHeight="1">
      <c r="A345" s="34"/>
      <c r="B345" s="35"/>
      <c r="C345" s="15"/>
      <c r="D345" s="15"/>
      <c r="E345" s="15"/>
      <c r="F345" s="15"/>
      <c r="G345" s="36" t="str">
        <f t="array" ref="G345">IF($F345="","",IFERROR(INDEX(Config!$E:$E,MATCH($F345,Config!$D:$D,0)),0))</f>
        <v/>
      </c>
      <c r="H345" s="16"/>
      <c r="I345" s="36" t="str">
        <f t="shared" si="1"/>
        <v/>
      </c>
      <c r="J345" s="16"/>
      <c r="K345" s="15"/>
      <c r="L345" s="15"/>
      <c r="M345" s="36" t="str">
        <f t="array" ref="M345">IF($A345="","",IF($L345="Atendido",IFERROR($I345*INDEX(Config!$B:$B,MATCH($C345,Config!$A:$A,0)),0),0))</f>
        <v/>
      </c>
      <c r="N345" s="36" t="str">
        <f t="shared" si="2"/>
        <v/>
      </c>
      <c r="O345" s="36" t="str">
        <f t="shared" si="3"/>
        <v/>
      </c>
      <c r="P345" s="15"/>
      <c r="Q345" s="37" t="str">
        <f t="shared" si="4"/>
        <v/>
      </c>
      <c r="R345" s="37" t="str">
        <f t="shared" si="5"/>
        <v/>
      </c>
      <c r="S345" s="32" t="str">
        <f t="shared" si="6"/>
        <v/>
      </c>
      <c r="T345" s="37" t="str">
        <f t="shared" si="7"/>
        <v/>
      </c>
      <c r="U345" s="37" t="str">
        <f t="array" ref="U345">IF($F345="","",IFERROR(INDEX(Config!$F:$F,MATCH($F345,Config!$D:$D,0)),0))</f>
        <v/>
      </c>
    </row>
    <row r="346" ht="15.0" customHeight="1">
      <c r="A346" s="34"/>
      <c r="B346" s="35"/>
      <c r="C346" s="15"/>
      <c r="D346" s="15"/>
      <c r="E346" s="15"/>
      <c r="F346" s="15"/>
      <c r="G346" s="36" t="str">
        <f t="array" ref="G346">IF($F346="","",IFERROR(INDEX(Config!$E:$E,MATCH($F346,Config!$D:$D,0)),0))</f>
        <v/>
      </c>
      <c r="H346" s="16"/>
      <c r="I346" s="36" t="str">
        <f t="shared" si="1"/>
        <v/>
      </c>
      <c r="J346" s="16"/>
      <c r="K346" s="15"/>
      <c r="L346" s="15"/>
      <c r="M346" s="36" t="str">
        <f t="array" ref="M346">IF($A346="","",IF($L346="Atendido",IFERROR($I346*INDEX(Config!$B:$B,MATCH($C346,Config!$A:$A,0)),0),0))</f>
        <v/>
      </c>
      <c r="N346" s="36" t="str">
        <f t="shared" si="2"/>
        <v/>
      </c>
      <c r="O346" s="36" t="str">
        <f t="shared" si="3"/>
        <v/>
      </c>
      <c r="P346" s="15"/>
      <c r="Q346" s="37" t="str">
        <f t="shared" si="4"/>
        <v/>
      </c>
      <c r="R346" s="37" t="str">
        <f t="shared" si="5"/>
        <v/>
      </c>
      <c r="S346" s="32" t="str">
        <f t="shared" si="6"/>
        <v/>
      </c>
      <c r="T346" s="37" t="str">
        <f t="shared" si="7"/>
        <v/>
      </c>
      <c r="U346" s="37" t="str">
        <f t="array" ref="U346">IF($F346="","",IFERROR(INDEX(Config!$F:$F,MATCH($F346,Config!$D:$D,0)),0))</f>
        <v/>
      </c>
    </row>
    <row r="347" ht="15.0" customHeight="1">
      <c r="A347" s="34"/>
      <c r="B347" s="35"/>
      <c r="C347" s="15"/>
      <c r="D347" s="15"/>
      <c r="E347" s="15"/>
      <c r="F347" s="15"/>
      <c r="G347" s="36" t="str">
        <f t="array" ref="G347">IF($F347="","",IFERROR(INDEX(Config!$E:$E,MATCH($F347,Config!$D:$D,0)),0))</f>
        <v/>
      </c>
      <c r="H347" s="16"/>
      <c r="I347" s="36" t="str">
        <f t="shared" si="1"/>
        <v/>
      </c>
      <c r="J347" s="16"/>
      <c r="K347" s="15"/>
      <c r="L347" s="15"/>
      <c r="M347" s="36" t="str">
        <f t="array" ref="M347">IF($A347="","",IF($L347="Atendido",IFERROR($I347*INDEX(Config!$B:$B,MATCH($C347,Config!$A:$A,0)),0),0))</f>
        <v/>
      </c>
      <c r="N347" s="36" t="str">
        <f t="shared" si="2"/>
        <v/>
      </c>
      <c r="O347" s="36" t="str">
        <f t="shared" si="3"/>
        <v/>
      </c>
      <c r="P347" s="15"/>
      <c r="Q347" s="37" t="str">
        <f t="shared" si="4"/>
        <v/>
      </c>
      <c r="R347" s="37" t="str">
        <f t="shared" si="5"/>
        <v/>
      </c>
      <c r="S347" s="32" t="str">
        <f t="shared" si="6"/>
        <v/>
      </c>
      <c r="T347" s="37" t="str">
        <f t="shared" si="7"/>
        <v/>
      </c>
      <c r="U347" s="37" t="str">
        <f t="array" ref="U347">IF($F347="","",IFERROR(INDEX(Config!$F:$F,MATCH($F347,Config!$D:$D,0)),0))</f>
        <v/>
      </c>
    </row>
    <row r="348" ht="15.0" customHeight="1">
      <c r="A348" s="34"/>
      <c r="B348" s="35"/>
      <c r="C348" s="15"/>
      <c r="D348" s="15"/>
      <c r="E348" s="15"/>
      <c r="F348" s="15"/>
      <c r="G348" s="36" t="str">
        <f t="array" ref="G348">IF($F348="","",IFERROR(INDEX(Config!$E:$E,MATCH($F348,Config!$D:$D,0)),0))</f>
        <v/>
      </c>
      <c r="H348" s="16"/>
      <c r="I348" s="36" t="str">
        <f t="shared" si="1"/>
        <v/>
      </c>
      <c r="J348" s="16"/>
      <c r="K348" s="15"/>
      <c r="L348" s="15"/>
      <c r="M348" s="36" t="str">
        <f t="array" ref="M348">IF($A348="","",IF($L348="Atendido",IFERROR($I348*INDEX(Config!$B:$B,MATCH($C348,Config!$A:$A,0)),0),0))</f>
        <v/>
      </c>
      <c r="N348" s="36" t="str">
        <f t="shared" si="2"/>
        <v/>
      </c>
      <c r="O348" s="36" t="str">
        <f t="shared" si="3"/>
        <v/>
      </c>
      <c r="P348" s="15"/>
      <c r="Q348" s="37" t="str">
        <f t="shared" si="4"/>
        <v/>
      </c>
      <c r="R348" s="37" t="str">
        <f t="shared" si="5"/>
        <v/>
      </c>
      <c r="S348" s="32" t="str">
        <f t="shared" si="6"/>
        <v/>
      </c>
      <c r="T348" s="37" t="str">
        <f t="shared" si="7"/>
        <v/>
      </c>
      <c r="U348" s="37" t="str">
        <f t="array" ref="U348">IF($F348="","",IFERROR(INDEX(Config!$F:$F,MATCH($F348,Config!$D:$D,0)),0))</f>
        <v/>
      </c>
    </row>
    <row r="349" ht="15.0" customHeight="1">
      <c r="A349" s="34"/>
      <c r="B349" s="35"/>
      <c r="C349" s="15"/>
      <c r="D349" s="15"/>
      <c r="E349" s="15"/>
      <c r="F349" s="15"/>
      <c r="G349" s="36" t="str">
        <f t="array" ref="G349">IF($F349="","",IFERROR(INDEX(Config!$E:$E,MATCH($F349,Config!$D:$D,0)),0))</f>
        <v/>
      </c>
      <c r="H349" s="16"/>
      <c r="I349" s="36" t="str">
        <f t="shared" si="1"/>
        <v/>
      </c>
      <c r="J349" s="16"/>
      <c r="K349" s="15"/>
      <c r="L349" s="15"/>
      <c r="M349" s="36" t="str">
        <f t="array" ref="M349">IF($A349="","",IF($L349="Atendido",IFERROR($I349*INDEX(Config!$B:$B,MATCH($C349,Config!$A:$A,0)),0),0))</f>
        <v/>
      </c>
      <c r="N349" s="36" t="str">
        <f t="shared" si="2"/>
        <v/>
      </c>
      <c r="O349" s="36" t="str">
        <f t="shared" si="3"/>
        <v/>
      </c>
      <c r="P349" s="15"/>
      <c r="Q349" s="37" t="str">
        <f t="shared" si="4"/>
        <v/>
      </c>
      <c r="R349" s="37" t="str">
        <f t="shared" si="5"/>
        <v/>
      </c>
      <c r="S349" s="32" t="str">
        <f t="shared" si="6"/>
        <v/>
      </c>
      <c r="T349" s="37" t="str">
        <f t="shared" si="7"/>
        <v/>
      </c>
      <c r="U349" s="37" t="str">
        <f t="array" ref="U349">IF($F349="","",IFERROR(INDEX(Config!$F:$F,MATCH($F349,Config!$D:$D,0)),0))</f>
        <v/>
      </c>
    </row>
    <row r="350" ht="15.0" customHeight="1">
      <c r="A350" s="34"/>
      <c r="B350" s="35"/>
      <c r="C350" s="15"/>
      <c r="D350" s="15"/>
      <c r="E350" s="15"/>
      <c r="F350" s="15"/>
      <c r="G350" s="36" t="str">
        <f t="array" ref="G350">IF($F350="","",IFERROR(INDEX(Config!$E:$E,MATCH($F350,Config!$D:$D,0)),0))</f>
        <v/>
      </c>
      <c r="H350" s="16"/>
      <c r="I350" s="36" t="str">
        <f t="shared" si="1"/>
        <v/>
      </c>
      <c r="J350" s="16"/>
      <c r="K350" s="15"/>
      <c r="L350" s="15"/>
      <c r="M350" s="36" t="str">
        <f t="array" ref="M350">IF($A350="","",IF($L350="Atendido",IFERROR($I350*INDEX(Config!$B:$B,MATCH($C350,Config!$A:$A,0)),0),0))</f>
        <v/>
      </c>
      <c r="N350" s="36" t="str">
        <f t="shared" si="2"/>
        <v/>
      </c>
      <c r="O350" s="36" t="str">
        <f t="shared" si="3"/>
        <v/>
      </c>
      <c r="P350" s="15"/>
      <c r="Q350" s="37" t="str">
        <f t="shared" si="4"/>
        <v/>
      </c>
      <c r="R350" s="37" t="str">
        <f t="shared" si="5"/>
        <v/>
      </c>
      <c r="S350" s="32" t="str">
        <f t="shared" si="6"/>
        <v/>
      </c>
      <c r="T350" s="37" t="str">
        <f t="shared" si="7"/>
        <v/>
      </c>
      <c r="U350" s="37" t="str">
        <f t="array" ref="U350">IF($F350="","",IFERROR(INDEX(Config!$F:$F,MATCH($F350,Config!$D:$D,0)),0))</f>
        <v/>
      </c>
    </row>
    <row r="351" ht="15.0" customHeight="1">
      <c r="A351" s="34"/>
      <c r="B351" s="35"/>
      <c r="C351" s="15"/>
      <c r="D351" s="15"/>
      <c r="E351" s="15"/>
      <c r="F351" s="15"/>
      <c r="G351" s="36" t="str">
        <f t="array" ref="G351">IF($F351="","",IFERROR(INDEX(Config!$E:$E,MATCH($F351,Config!$D:$D,0)),0))</f>
        <v/>
      </c>
      <c r="H351" s="16"/>
      <c r="I351" s="36" t="str">
        <f t="shared" si="1"/>
        <v/>
      </c>
      <c r="J351" s="16"/>
      <c r="K351" s="15"/>
      <c r="L351" s="15"/>
      <c r="M351" s="36" t="str">
        <f t="array" ref="M351">IF($A351="","",IF($L351="Atendido",IFERROR($I351*INDEX(Config!$B:$B,MATCH($C351,Config!$A:$A,0)),0),0))</f>
        <v/>
      </c>
      <c r="N351" s="36" t="str">
        <f t="shared" si="2"/>
        <v/>
      </c>
      <c r="O351" s="36" t="str">
        <f t="shared" si="3"/>
        <v/>
      </c>
      <c r="P351" s="15"/>
      <c r="Q351" s="37" t="str">
        <f t="shared" si="4"/>
        <v/>
      </c>
      <c r="R351" s="37" t="str">
        <f t="shared" si="5"/>
        <v/>
      </c>
      <c r="S351" s="32" t="str">
        <f t="shared" si="6"/>
        <v/>
      </c>
      <c r="T351" s="37" t="str">
        <f t="shared" si="7"/>
        <v/>
      </c>
      <c r="U351" s="37" t="str">
        <f t="array" ref="U351">IF($F351="","",IFERROR(INDEX(Config!$F:$F,MATCH($F351,Config!$D:$D,0)),0))</f>
        <v/>
      </c>
    </row>
    <row r="352" ht="15.0" customHeight="1">
      <c r="A352" s="34"/>
      <c r="B352" s="35"/>
      <c r="C352" s="15"/>
      <c r="D352" s="15"/>
      <c r="E352" s="15"/>
      <c r="F352" s="15"/>
      <c r="G352" s="36" t="str">
        <f t="array" ref="G352">IF($F352="","",IFERROR(INDEX(Config!$E:$E,MATCH($F352,Config!$D:$D,0)),0))</f>
        <v/>
      </c>
      <c r="H352" s="16"/>
      <c r="I352" s="36" t="str">
        <f t="shared" si="1"/>
        <v/>
      </c>
      <c r="J352" s="16"/>
      <c r="K352" s="15"/>
      <c r="L352" s="15"/>
      <c r="M352" s="36" t="str">
        <f t="array" ref="M352">IF($A352="","",IF($L352="Atendido",IFERROR($I352*INDEX(Config!$B:$B,MATCH($C352,Config!$A:$A,0)),0),0))</f>
        <v/>
      </c>
      <c r="N352" s="36" t="str">
        <f t="shared" si="2"/>
        <v/>
      </c>
      <c r="O352" s="36" t="str">
        <f t="shared" si="3"/>
        <v/>
      </c>
      <c r="P352" s="15"/>
      <c r="Q352" s="37" t="str">
        <f t="shared" si="4"/>
        <v/>
      </c>
      <c r="R352" s="37" t="str">
        <f t="shared" si="5"/>
        <v/>
      </c>
      <c r="S352" s="32" t="str">
        <f t="shared" si="6"/>
        <v/>
      </c>
      <c r="T352" s="37" t="str">
        <f t="shared" si="7"/>
        <v/>
      </c>
      <c r="U352" s="37" t="str">
        <f t="array" ref="U352">IF($F352="","",IFERROR(INDEX(Config!$F:$F,MATCH($F352,Config!$D:$D,0)),0))</f>
        <v/>
      </c>
    </row>
    <row r="353" ht="15.0" customHeight="1">
      <c r="A353" s="34"/>
      <c r="B353" s="35"/>
      <c r="C353" s="15"/>
      <c r="D353" s="15"/>
      <c r="E353" s="15"/>
      <c r="F353" s="15"/>
      <c r="G353" s="36" t="str">
        <f t="array" ref="G353">IF($F353="","",IFERROR(INDEX(Config!$E:$E,MATCH($F353,Config!$D:$D,0)),0))</f>
        <v/>
      </c>
      <c r="H353" s="16"/>
      <c r="I353" s="36" t="str">
        <f t="shared" si="1"/>
        <v/>
      </c>
      <c r="J353" s="16"/>
      <c r="K353" s="15"/>
      <c r="L353" s="15"/>
      <c r="M353" s="36" t="str">
        <f t="array" ref="M353">IF($A353="","",IF($L353="Atendido",IFERROR($I353*INDEX(Config!$B:$B,MATCH($C353,Config!$A:$A,0)),0),0))</f>
        <v/>
      </c>
      <c r="N353" s="36" t="str">
        <f t="shared" si="2"/>
        <v/>
      </c>
      <c r="O353" s="36" t="str">
        <f t="shared" si="3"/>
        <v/>
      </c>
      <c r="P353" s="15"/>
      <c r="Q353" s="37" t="str">
        <f t="shared" si="4"/>
        <v/>
      </c>
      <c r="R353" s="37" t="str">
        <f t="shared" si="5"/>
        <v/>
      </c>
      <c r="S353" s="32" t="str">
        <f t="shared" si="6"/>
        <v/>
      </c>
      <c r="T353" s="37" t="str">
        <f t="shared" si="7"/>
        <v/>
      </c>
      <c r="U353" s="37" t="str">
        <f t="array" ref="U353">IF($F353="","",IFERROR(INDEX(Config!$F:$F,MATCH($F353,Config!$D:$D,0)),0))</f>
        <v/>
      </c>
    </row>
    <row r="354" ht="15.0" customHeight="1">
      <c r="A354" s="34"/>
      <c r="B354" s="35"/>
      <c r="C354" s="15"/>
      <c r="D354" s="15"/>
      <c r="E354" s="15"/>
      <c r="F354" s="15"/>
      <c r="G354" s="36" t="str">
        <f t="array" ref="G354">IF($F354="","",IFERROR(INDEX(Config!$E:$E,MATCH($F354,Config!$D:$D,0)),0))</f>
        <v/>
      </c>
      <c r="H354" s="16"/>
      <c r="I354" s="36" t="str">
        <f t="shared" si="1"/>
        <v/>
      </c>
      <c r="J354" s="16"/>
      <c r="K354" s="15"/>
      <c r="L354" s="15"/>
      <c r="M354" s="36" t="str">
        <f t="array" ref="M354">IF($A354="","",IF($L354="Atendido",IFERROR($I354*INDEX(Config!$B:$B,MATCH($C354,Config!$A:$A,0)),0),0))</f>
        <v/>
      </c>
      <c r="N354" s="36" t="str">
        <f t="shared" si="2"/>
        <v/>
      </c>
      <c r="O354" s="36" t="str">
        <f t="shared" si="3"/>
        <v/>
      </c>
      <c r="P354" s="15"/>
      <c r="Q354" s="37" t="str">
        <f t="shared" si="4"/>
        <v/>
      </c>
      <c r="R354" s="37" t="str">
        <f t="shared" si="5"/>
        <v/>
      </c>
      <c r="S354" s="32" t="str">
        <f t="shared" si="6"/>
        <v/>
      </c>
      <c r="T354" s="37" t="str">
        <f t="shared" si="7"/>
        <v/>
      </c>
      <c r="U354" s="37" t="str">
        <f t="array" ref="U354">IF($F354="","",IFERROR(INDEX(Config!$F:$F,MATCH($F354,Config!$D:$D,0)),0))</f>
        <v/>
      </c>
    </row>
    <row r="355" ht="15.0" customHeight="1">
      <c r="A355" s="34"/>
      <c r="B355" s="35"/>
      <c r="C355" s="15"/>
      <c r="D355" s="15"/>
      <c r="E355" s="15"/>
      <c r="F355" s="15"/>
      <c r="G355" s="36" t="str">
        <f t="array" ref="G355">IF($F355="","",IFERROR(INDEX(Config!$E:$E,MATCH($F355,Config!$D:$D,0)),0))</f>
        <v/>
      </c>
      <c r="H355" s="16"/>
      <c r="I355" s="36" t="str">
        <f t="shared" si="1"/>
        <v/>
      </c>
      <c r="J355" s="16"/>
      <c r="K355" s="15"/>
      <c r="L355" s="15"/>
      <c r="M355" s="36" t="str">
        <f t="array" ref="M355">IF($A355="","",IF($L355="Atendido",IFERROR($I355*INDEX(Config!$B:$B,MATCH($C355,Config!$A:$A,0)),0),0))</f>
        <v/>
      </c>
      <c r="N355" s="36" t="str">
        <f t="shared" si="2"/>
        <v/>
      </c>
      <c r="O355" s="36" t="str">
        <f t="shared" si="3"/>
        <v/>
      </c>
      <c r="P355" s="15"/>
      <c r="Q355" s="37" t="str">
        <f t="shared" si="4"/>
        <v/>
      </c>
      <c r="R355" s="37" t="str">
        <f t="shared" si="5"/>
        <v/>
      </c>
      <c r="S355" s="32" t="str">
        <f t="shared" si="6"/>
        <v/>
      </c>
      <c r="T355" s="37" t="str">
        <f t="shared" si="7"/>
        <v/>
      </c>
      <c r="U355" s="37" t="str">
        <f t="array" ref="U355">IF($F355="","",IFERROR(INDEX(Config!$F:$F,MATCH($F355,Config!$D:$D,0)),0))</f>
        <v/>
      </c>
    </row>
    <row r="356" ht="15.0" customHeight="1">
      <c r="A356" s="34"/>
      <c r="B356" s="35"/>
      <c r="C356" s="15"/>
      <c r="D356" s="15"/>
      <c r="E356" s="15"/>
      <c r="F356" s="15"/>
      <c r="G356" s="36" t="str">
        <f t="array" ref="G356">IF($F356="","",IFERROR(INDEX(Config!$E:$E,MATCH($F356,Config!$D:$D,0)),0))</f>
        <v/>
      </c>
      <c r="H356" s="16"/>
      <c r="I356" s="36" t="str">
        <f t="shared" si="1"/>
        <v/>
      </c>
      <c r="J356" s="16"/>
      <c r="K356" s="15"/>
      <c r="L356" s="15"/>
      <c r="M356" s="36" t="str">
        <f t="array" ref="M356">IF($A356="","",IF($L356="Atendido",IFERROR($I356*INDEX(Config!$B:$B,MATCH($C356,Config!$A:$A,0)),0),0))</f>
        <v/>
      </c>
      <c r="N356" s="36" t="str">
        <f t="shared" si="2"/>
        <v/>
      </c>
      <c r="O356" s="36" t="str">
        <f t="shared" si="3"/>
        <v/>
      </c>
      <c r="P356" s="15"/>
      <c r="Q356" s="37" t="str">
        <f t="shared" si="4"/>
        <v/>
      </c>
      <c r="R356" s="37" t="str">
        <f t="shared" si="5"/>
        <v/>
      </c>
      <c r="S356" s="32" t="str">
        <f t="shared" si="6"/>
        <v/>
      </c>
      <c r="T356" s="37" t="str">
        <f t="shared" si="7"/>
        <v/>
      </c>
      <c r="U356" s="37" t="str">
        <f t="array" ref="U356">IF($F356="","",IFERROR(INDEX(Config!$F:$F,MATCH($F356,Config!$D:$D,0)),0))</f>
        <v/>
      </c>
    </row>
    <row r="357" ht="15.0" customHeight="1">
      <c r="A357" s="34"/>
      <c r="B357" s="35"/>
      <c r="C357" s="15"/>
      <c r="D357" s="15"/>
      <c r="E357" s="15"/>
      <c r="F357" s="15"/>
      <c r="G357" s="36" t="str">
        <f t="array" ref="G357">IF($F357="","",IFERROR(INDEX(Config!$E:$E,MATCH($F357,Config!$D:$D,0)),0))</f>
        <v/>
      </c>
      <c r="H357" s="16"/>
      <c r="I357" s="36" t="str">
        <f t="shared" si="1"/>
        <v/>
      </c>
      <c r="J357" s="16"/>
      <c r="K357" s="15"/>
      <c r="L357" s="15"/>
      <c r="M357" s="36" t="str">
        <f t="array" ref="M357">IF($A357="","",IF($L357="Atendido",IFERROR($I357*INDEX(Config!$B:$B,MATCH($C357,Config!$A:$A,0)),0),0))</f>
        <v/>
      </c>
      <c r="N357" s="36" t="str">
        <f t="shared" si="2"/>
        <v/>
      </c>
      <c r="O357" s="36" t="str">
        <f t="shared" si="3"/>
        <v/>
      </c>
      <c r="P357" s="15"/>
      <c r="Q357" s="37" t="str">
        <f t="shared" si="4"/>
        <v/>
      </c>
      <c r="R357" s="37" t="str">
        <f t="shared" si="5"/>
        <v/>
      </c>
      <c r="S357" s="32" t="str">
        <f t="shared" si="6"/>
        <v/>
      </c>
      <c r="T357" s="37" t="str">
        <f t="shared" si="7"/>
        <v/>
      </c>
      <c r="U357" s="37" t="str">
        <f t="array" ref="U357">IF($F357="","",IFERROR(INDEX(Config!$F:$F,MATCH($F357,Config!$D:$D,0)),0))</f>
        <v/>
      </c>
    </row>
    <row r="358" ht="15.0" customHeight="1">
      <c r="A358" s="34"/>
      <c r="B358" s="35"/>
      <c r="C358" s="15"/>
      <c r="D358" s="15"/>
      <c r="E358" s="15"/>
      <c r="F358" s="15"/>
      <c r="G358" s="36" t="str">
        <f t="array" ref="G358">IF($F358="","",IFERROR(INDEX(Config!$E:$E,MATCH($F358,Config!$D:$D,0)),0))</f>
        <v/>
      </c>
      <c r="H358" s="16"/>
      <c r="I358" s="36" t="str">
        <f t="shared" si="1"/>
        <v/>
      </c>
      <c r="J358" s="16"/>
      <c r="K358" s="15"/>
      <c r="L358" s="15"/>
      <c r="M358" s="36" t="str">
        <f t="array" ref="M358">IF($A358="","",IF($L358="Atendido",IFERROR($I358*INDEX(Config!$B:$B,MATCH($C358,Config!$A:$A,0)),0),0))</f>
        <v/>
      </c>
      <c r="N358" s="36" t="str">
        <f t="shared" si="2"/>
        <v/>
      </c>
      <c r="O358" s="36" t="str">
        <f t="shared" si="3"/>
        <v/>
      </c>
      <c r="P358" s="15"/>
      <c r="Q358" s="37" t="str">
        <f t="shared" si="4"/>
        <v/>
      </c>
      <c r="R358" s="37" t="str">
        <f t="shared" si="5"/>
        <v/>
      </c>
      <c r="S358" s="32" t="str">
        <f t="shared" si="6"/>
        <v/>
      </c>
      <c r="T358" s="37" t="str">
        <f t="shared" si="7"/>
        <v/>
      </c>
      <c r="U358" s="37" t="str">
        <f t="array" ref="U358">IF($F358="","",IFERROR(INDEX(Config!$F:$F,MATCH($F358,Config!$D:$D,0)),0))</f>
        <v/>
      </c>
    </row>
    <row r="359" ht="15.0" customHeight="1">
      <c r="A359" s="34"/>
      <c r="B359" s="35"/>
      <c r="C359" s="15"/>
      <c r="D359" s="15"/>
      <c r="E359" s="15"/>
      <c r="F359" s="15"/>
      <c r="G359" s="36" t="str">
        <f t="array" ref="G359">IF($F359="","",IFERROR(INDEX(Config!$E:$E,MATCH($F359,Config!$D:$D,0)),0))</f>
        <v/>
      </c>
      <c r="H359" s="16"/>
      <c r="I359" s="36" t="str">
        <f t="shared" si="1"/>
        <v/>
      </c>
      <c r="J359" s="16"/>
      <c r="K359" s="15"/>
      <c r="L359" s="15"/>
      <c r="M359" s="36" t="str">
        <f t="array" ref="M359">IF($A359="","",IF($L359="Atendido",IFERROR($I359*INDEX(Config!$B:$B,MATCH($C359,Config!$A:$A,0)),0),0))</f>
        <v/>
      </c>
      <c r="N359" s="36" t="str">
        <f t="shared" si="2"/>
        <v/>
      </c>
      <c r="O359" s="36" t="str">
        <f t="shared" si="3"/>
        <v/>
      </c>
      <c r="P359" s="15"/>
      <c r="Q359" s="37" t="str">
        <f t="shared" si="4"/>
        <v/>
      </c>
      <c r="R359" s="37" t="str">
        <f t="shared" si="5"/>
        <v/>
      </c>
      <c r="S359" s="32" t="str">
        <f t="shared" si="6"/>
        <v/>
      </c>
      <c r="T359" s="37" t="str">
        <f t="shared" si="7"/>
        <v/>
      </c>
      <c r="U359" s="37" t="str">
        <f t="array" ref="U359">IF($F359="","",IFERROR(INDEX(Config!$F:$F,MATCH($F359,Config!$D:$D,0)),0))</f>
        <v/>
      </c>
    </row>
    <row r="360" ht="15.0" customHeight="1">
      <c r="A360" s="34"/>
      <c r="B360" s="35"/>
      <c r="C360" s="15"/>
      <c r="D360" s="15"/>
      <c r="E360" s="15"/>
      <c r="F360" s="15"/>
      <c r="G360" s="36" t="str">
        <f t="array" ref="G360">IF($F360="","",IFERROR(INDEX(Config!$E:$E,MATCH($F360,Config!$D:$D,0)),0))</f>
        <v/>
      </c>
      <c r="H360" s="16"/>
      <c r="I360" s="36" t="str">
        <f t="shared" si="1"/>
        <v/>
      </c>
      <c r="J360" s="16"/>
      <c r="K360" s="15"/>
      <c r="L360" s="15"/>
      <c r="M360" s="36" t="str">
        <f t="array" ref="M360">IF($A360="","",IF($L360="Atendido",IFERROR($I360*INDEX(Config!$B:$B,MATCH($C360,Config!$A:$A,0)),0),0))</f>
        <v/>
      </c>
      <c r="N360" s="36" t="str">
        <f t="shared" si="2"/>
        <v/>
      </c>
      <c r="O360" s="36" t="str">
        <f t="shared" si="3"/>
        <v/>
      </c>
      <c r="P360" s="15"/>
      <c r="Q360" s="37" t="str">
        <f t="shared" si="4"/>
        <v/>
      </c>
      <c r="R360" s="37" t="str">
        <f t="shared" si="5"/>
        <v/>
      </c>
      <c r="S360" s="32" t="str">
        <f t="shared" si="6"/>
        <v/>
      </c>
      <c r="T360" s="37" t="str">
        <f t="shared" si="7"/>
        <v/>
      </c>
      <c r="U360" s="37" t="str">
        <f t="array" ref="U360">IF($F360="","",IFERROR(INDEX(Config!$F:$F,MATCH($F360,Config!$D:$D,0)),0))</f>
        <v/>
      </c>
    </row>
    <row r="361" ht="15.0" customHeight="1">
      <c r="A361" s="34"/>
      <c r="B361" s="35"/>
      <c r="C361" s="15"/>
      <c r="D361" s="15"/>
      <c r="E361" s="15"/>
      <c r="F361" s="15"/>
      <c r="G361" s="36" t="str">
        <f t="array" ref="G361">IF($F361="","",IFERROR(INDEX(Config!$E:$E,MATCH($F361,Config!$D:$D,0)),0))</f>
        <v/>
      </c>
      <c r="H361" s="16"/>
      <c r="I361" s="36" t="str">
        <f t="shared" si="1"/>
        <v/>
      </c>
      <c r="J361" s="16"/>
      <c r="K361" s="15"/>
      <c r="L361" s="15"/>
      <c r="M361" s="36" t="str">
        <f t="array" ref="M361">IF($A361="","",IF($L361="Atendido",IFERROR($I361*INDEX(Config!$B:$B,MATCH($C361,Config!$A:$A,0)),0),0))</f>
        <v/>
      </c>
      <c r="N361" s="36" t="str">
        <f t="shared" si="2"/>
        <v/>
      </c>
      <c r="O361" s="36" t="str">
        <f t="shared" si="3"/>
        <v/>
      </c>
      <c r="P361" s="15"/>
      <c r="Q361" s="37" t="str">
        <f t="shared" si="4"/>
        <v/>
      </c>
      <c r="R361" s="37" t="str">
        <f t="shared" si="5"/>
        <v/>
      </c>
      <c r="S361" s="32" t="str">
        <f t="shared" si="6"/>
        <v/>
      </c>
      <c r="T361" s="37" t="str">
        <f t="shared" si="7"/>
        <v/>
      </c>
      <c r="U361" s="37" t="str">
        <f t="array" ref="U361">IF($F361="","",IFERROR(INDEX(Config!$F:$F,MATCH($F361,Config!$D:$D,0)),0))</f>
        <v/>
      </c>
    </row>
    <row r="362" ht="15.0" customHeight="1">
      <c r="A362" s="34"/>
      <c r="B362" s="35"/>
      <c r="C362" s="15"/>
      <c r="D362" s="15"/>
      <c r="E362" s="15"/>
      <c r="F362" s="15"/>
      <c r="G362" s="36" t="str">
        <f t="array" ref="G362">IF($F362="","",IFERROR(INDEX(Config!$E:$E,MATCH($F362,Config!$D:$D,0)),0))</f>
        <v/>
      </c>
      <c r="H362" s="16"/>
      <c r="I362" s="36" t="str">
        <f t="shared" si="1"/>
        <v/>
      </c>
      <c r="J362" s="16"/>
      <c r="K362" s="15"/>
      <c r="L362" s="15"/>
      <c r="M362" s="36" t="str">
        <f t="array" ref="M362">IF($A362="","",IF($L362="Atendido",IFERROR($I362*INDEX(Config!$B:$B,MATCH($C362,Config!$A:$A,0)),0),0))</f>
        <v/>
      </c>
      <c r="N362" s="36" t="str">
        <f t="shared" si="2"/>
        <v/>
      </c>
      <c r="O362" s="36" t="str">
        <f t="shared" si="3"/>
        <v/>
      </c>
      <c r="P362" s="15"/>
      <c r="Q362" s="37" t="str">
        <f t="shared" si="4"/>
        <v/>
      </c>
      <c r="R362" s="37" t="str">
        <f t="shared" si="5"/>
        <v/>
      </c>
      <c r="S362" s="32" t="str">
        <f t="shared" si="6"/>
        <v/>
      </c>
      <c r="T362" s="37" t="str">
        <f t="shared" si="7"/>
        <v/>
      </c>
      <c r="U362" s="37" t="str">
        <f t="array" ref="U362">IF($F362="","",IFERROR(INDEX(Config!$F:$F,MATCH($F362,Config!$D:$D,0)),0))</f>
        <v/>
      </c>
    </row>
    <row r="363" ht="15.0" customHeight="1">
      <c r="A363" s="34"/>
      <c r="B363" s="35"/>
      <c r="C363" s="15"/>
      <c r="D363" s="15"/>
      <c r="E363" s="15"/>
      <c r="F363" s="15"/>
      <c r="G363" s="36" t="str">
        <f t="array" ref="G363">IF($F363="","",IFERROR(INDEX(Config!$E:$E,MATCH($F363,Config!$D:$D,0)),0))</f>
        <v/>
      </c>
      <c r="H363" s="16"/>
      <c r="I363" s="36" t="str">
        <f t="shared" si="1"/>
        <v/>
      </c>
      <c r="J363" s="16"/>
      <c r="K363" s="15"/>
      <c r="L363" s="15"/>
      <c r="M363" s="36" t="str">
        <f t="array" ref="M363">IF($A363="","",IF($L363="Atendido",IFERROR($I363*INDEX(Config!$B:$B,MATCH($C363,Config!$A:$A,0)),0),0))</f>
        <v/>
      </c>
      <c r="N363" s="36" t="str">
        <f t="shared" si="2"/>
        <v/>
      </c>
      <c r="O363" s="36" t="str">
        <f t="shared" si="3"/>
        <v/>
      </c>
      <c r="P363" s="15"/>
      <c r="Q363" s="37" t="str">
        <f t="shared" si="4"/>
        <v/>
      </c>
      <c r="R363" s="37" t="str">
        <f t="shared" si="5"/>
        <v/>
      </c>
      <c r="S363" s="32" t="str">
        <f t="shared" si="6"/>
        <v/>
      </c>
      <c r="T363" s="37" t="str">
        <f t="shared" si="7"/>
        <v/>
      </c>
      <c r="U363" s="37" t="str">
        <f t="array" ref="U363">IF($F363="","",IFERROR(INDEX(Config!$F:$F,MATCH($F363,Config!$D:$D,0)),0))</f>
        <v/>
      </c>
    </row>
    <row r="364" ht="15.0" customHeight="1">
      <c r="A364" s="34"/>
      <c r="B364" s="35"/>
      <c r="C364" s="15"/>
      <c r="D364" s="15"/>
      <c r="E364" s="15"/>
      <c r="F364" s="15"/>
      <c r="G364" s="36" t="str">
        <f t="array" ref="G364">IF($F364="","",IFERROR(INDEX(Config!$E:$E,MATCH($F364,Config!$D:$D,0)),0))</f>
        <v/>
      </c>
      <c r="H364" s="16"/>
      <c r="I364" s="36" t="str">
        <f t="shared" si="1"/>
        <v/>
      </c>
      <c r="J364" s="16"/>
      <c r="K364" s="15"/>
      <c r="L364" s="15"/>
      <c r="M364" s="36" t="str">
        <f t="array" ref="M364">IF($A364="","",IF($L364="Atendido",IFERROR($I364*INDEX(Config!$B:$B,MATCH($C364,Config!$A:$A,0)),0),0))</f>
        <v/>
      </c>
      <c r="N364" s="36" t="str">
        <f t="shared" si="2"/>
        <v/>
      </c>
      <c r="O364" s="36" t="str">
        <f t="shared" si="3"/>
        <v/>
      </c>
      <c r="P364" s="15"/>
      <c r="Q364" s="37" t="str">
        <f t="shared" si="4"/>
        <v/>
      </c>
      <c r="R364" s="37" t="str">
        <f t="shared" si="5"/>
        <v/>
      </c>
      <c r="S364" s="32" t="str">
        <f t="shared" si="6"/>
        <v/>
      </c>
      <c r="T364" s="37" t="str">
        <f t="shared" si="7"/>
        <v/>
      </c>
      <c r="U364" s="37" t="str">
        <f t="array" ref="U364">IF($F364="","",IFERROR(INDEX(Config!$F:$F,MATCH($F364,Config!$D:$D,0)),0))</f>
        <v/>
      </c>
    </row>
    <row r="365" ht="15.0" customHeight="1">
      <c r="A365" s="34"/>
      <c r="B365" s="35"/>
      <c r="C365" s="15"/>
      <c r="D365" s="15"/>
      <c r="E365" s="15"/>
      <c r="F365" s="15"/>
      <c r="G365" s="36" t="str">
        <f t="array" ref="G365">IF($F365="","",IFERROR(INDEX(Config!$E:$E,MATCH($F365,Config!$D:$D,0)),0))</f>
        <v/>
      </c>
      <c r="H365" s="16"/>
      <c r="I365" s="36" t="str">
        <f t="shared" si="1"/>
        <v/>
      </c>
      <c r="J365" s="16"/>
      <c r="K365" s="15"/>
      <c r="L365" s="15"/>
      <c r="M365" s="36" t="str">
        <f t="array" ref="M365">IF($A365="","",IF($L365="Atendido",IFERROR($I365*INDEX(Config!$B:$B,MATCH($C365,Config!$A:$A,0)),0),0))</f>
        <v/>
      </c>
      <c r="N365" s="36" t="str">
        <f t="shared" si="2"/>
        <v/>
      </c>
      <c r="O365" s="36" t="str">
        <f t="shared" si="3"/>
        <v/>
      </c>
      <c r="P365" s="15"/>
      <c r="Q365" s="37" t="str">
        <f t="shared" si="4"/>
        <v/>
      </c>
      <c r="R365" s="37" t="str">
        <f t="shared" si="5"/>
        <v/>
      </c>
      <c r="S365" s="32" t="str">
        <f t="shared" si="6"/>
        <v/>
      </c>
      <c r="T365" s="37" t="str">
        <f t="shared" si="7"/>
        <v/>
      </c>
      <c r="U365" s="37" t="str">
        <f t="array" ref="U365">IF($F365="","",IFERROR(INDEX(Config!$F:$F,MATCH($F365,Config!$D:$D,0)),0))</f>
        <v/>
      </c>
    </row>
    <row r="366" ht="15.0" customHeight="1">
      <c r="A366" s="34"/>
      <c r="B366" s="35"/>
      <c r="C366" s="15"/>
      <c r="D366" s="15"/>
      <c r="E366" s="15"/>
      <c r="F366" s="15"/>
      <c r="G366" s="36" t="str">
        <f t="array" ref="G366">IF($F366="","",IFERROR(INDEX(Config!$E:$E,MATCH($F366,Config!$D:$D,0)),0))</f>
        <v/>
      </c>
      <c r="H366" s="16"/>
      <c r="I366" s="36" t="str">
        <f t="shared" si="1"/>
        <v/>
      </c>
      <c r="J366" s="16"/>
      <c r="K366" s="15"/>
      <c r="L366" s="15"/>
      <c r="M366" s="36" t="str">
        <f t="array" ref="M366">IF($A366="","",IF($L366="Atendido",IFERROR($I366*INDEX(Config!$B:$B,MATCH($C366,Config!$A:$A,0)),0),0))</f>
        <v/>
      </c>
      <c r="N366" s="36" t="str">
        <f t="shared" si="2"/>
        <v/>
      </c>
      <c r="O366" s="36" t="str">
        <f t="shared" si="3"/>
        <v/>
      </c>
      <c r="P366" s="15"/>
      <c r="Q366" s="37" t="str">
        <f t="shared" si="4"/>
        <v/>
      </c>
      <c r="R366" s="37" t="str">
        <f t="shared" si="5"/>
        <v/>
      </c>
      <c r="S366" s="32" t="str">
        <f t="shared" si="6"/>
        <v/>
      </c>
      <c r="T366" s="37" t="str">
        <f t="shared" si="7"/>
        <v/>
      </c>
      <c r="U366" s="37" t="str">
        <f t="array" ref="U366">IF($F366="","",IFERROR(INDEX(Config!$F:$F,MATCH($F366,Config!$D:$D,0)),0))</f>
        <v/>
      </c>
    </row>
    <row r="367" ht="15.0" customHeight="1">
      <c r="A367" s="34"/>
      <c r="B367" s="35"/>
      <c r="C367" s="15"/>
      <c r="D367" s="15"/>
      <c r="E367" s="15"/>
      <c r="F367" s="15"/>
      <c r="G367" s="36" t="str">
        <f t="array" ref="G367">IF($F367="","",IFERROR(INDEX(Config!$E:$E,MATCH($F367,Config!$D:$D,0)),0))</f>
        <v/>
      </c>
      <c r="H367" s="16"/>
      <c r="I367" s="36" t="str">
        <f t="shared" si="1"/>
        <v/>
      </c>
      <c r="J367" s="16"/>
      <c r="K367" s="15"/>
      <c r="L367" s="15"/>
      <c r="M367" s="36" t="str">
        <f t="array" ref="M367">IF($A367="","",IF($L367="Atendido",IFERROR($I367*INDEX(Config!$B:$B,MATCH($C367,Config!$A:$A,0)),0),0))</f>
        <v/>
      </c>
      <c r="N367" s="36" t="str">
        <f t="shared" si="2"/>
        <v/>
      </c>
      <c r="O367" s="36" t="str">
        <f t="shared" si="3"/>
        <v/>
      </c>
      <c r="P367" s="15"/>
      <c r="Q367" s="37" t="str">
        <f t="shared" si="4"/>
        <v/>
      </c>
      <c r="R367" s="37" t="str">
        <f t="shared" si="5"/>
        <v/>
      </c>
      <c r="S367" s="32" t="str">
        <f t="shared" si="6"/>
        <v/>
      </c>
      <c r="T367" s="37" t="str">
        <f t="shared" si="7"/>
        <v/>
      </c>
      <c r="U367" s="37" t="str">
        <f t="array" ref="U367">IF($F367="","",IFERROR(INDEX(Config!$F:$F,MATCH($F367,Config!$D:$D,0)),0))</f>
        <v/>
      </c>
    </row>
    <row r="368" ht="15.0" customHeight="1">
      <c r="A368" s="34"/>
      <c r="B368" s="35"/>
      <c r="C368" s="15"/>
      <c r="D368" s="15"/>
      <c r="E368" s="15"/>
      <c r="F368" s="15"/>
      <c r="G368" s="36" t="str">
        <f t="array" ref="G368">IF($F368="","",IFERROR(INDEX(Config!$E:$E,MATCH($F368,Config!$D:$D,0)),0))</f>
        <v/>
      </c>
      <c r="H368" s="16"/>
      <c r="I368" s="36" t="str">
        <f t="shared" si="1"/>
        <v/>
      </c>
      <c r="J368" s="16"/>
      <c r="K368" s="15"/>
      <c r="L368" s="15"/>
      <c r="M368" s="36" t="str">
        <f t="array" ref="M368">IF($A368="","",IF($L368="Atendido",IFERROR($I368*INDEX(Config!$B:$B,MATCH($C368,Config!$A:$A,0)),0),0))</f>
        <v/>
      </c>
      <c r="N368" s="36" t="str">
        <f t="shared" si="2"/>
        <v/>
      </c>
      <c r="O368" s="36" t="str">
        <f t="shared" si="3"/>
        <v/>
      </c>
      <c r="P368" s="15"/>
      <c r="Q368" s="37" t="str">
        <f t="shared" si="4"/>
        <v/>
      </c>
      <c r="R368" s="37" t="str">
        <f t="shared" si="5"/>
        <v/>
      </c>
      <c r="S368" s="32" t="str">
        <f t="shared" si="6"/>
        <v/>
      </c>
      <c r="T368" s="37" t="str">
        <f t="shared" si="7"/>
        <v/>
      </c>
      <c r="U368" s="37" t="str">
        <f t="array" ref="U368">IF($F368="","",IFERROR(INDEX(Config!$F:$F,MATCH($F368,Config!$D:$D,0)),0))</f>
        <v/>
      </c>
    </row>
    <row r="369" ht="15.0" customHeight="1">
      <c r="A369" s="34"/>
      <c r="B369" s="35"/>
      <c r="C369" s="15"/>
      <c r="D369" s="15"/>
      <c r="E369" s="15"/>
      <c r="F369" s="15"/>
      <c r="G369" s="36" t="str">
        <f t="array" ref="G369">IF($F369="","",IFERROR(INDEX(Config!$E:$E,MATCH($F369,Config!$D:$D,0)),0))</f>
        <v/>
      </c>
      <c r="H369" s="16"/>
      <c r="I369" s="36" t="str">
        <f t="shared" si="1"/>
        <v/>
      </c>
      <c r="J369" s="16"/>
      <c r="K369" s="15"/>
      <c r="L369" s="15"/>
      <c r="M369" s="36" t="str">
        <f t="array" ref="M369">IF($A369="","",IF($L369="Atendido",IFERROR($I369*INDEX(Config!$B:$B,MATCH($C369,Config!$A:$A,0)),0),0))</f>
        <v/>
      </c>
      <c r="N369" s="36" t="str">
        <f t="shared" si="2"/>
        <v/>
      </c>
      <c r="O369" s="36" t="str">
        <f t="shared" si="3"/>
        <v/>
      </c>
      <c r="P369" s="15"/>
      <c r="Q369" s="37" t="str">
        <f t="shared" si="4"/>
        <v/>
      </c>
      <c r="R369" s="37" t="str">
        <f t="shared" si="5"/>
        <v/>
      </c>
      <c r="S369" s="32" t="str">
        <f t="shared" si="6"/>
        <v/>
      </c>
      <c r="T369" s="37" t="str">
        <f t="shared" si="7"/>
        <v/>
      </c>
      <c r="U369" s="37" t="str">
        <f t="array" ref="U369">IF($F369="","",IFERROR(INDEX(Config!$F:$F,MATCH($F369,Config!$D:$D,0)),0))</f>
        <v/>
      </c>
    </row>
    <row r="370" ht="15.0" customHeight="1">
      <c r="A370" s="34"/>
      <c r="B370" s="35"/>
      <c r="C370" s="15"/>
      <c r="D370" s="15"/>
      <c r="E370" s="15"/>
      <c r="F370" s="15"/>
      <c r="G370" s="36" t="str">
        <f t="array" ref="G370">IF($F370="","",IFERROR(INDEX(Config!$E:$E,MATCH($F370,Config!$D:$D,0)),0))</f>
        <v/>
      </c>
      <c r="H370" s="16"/>
      <c r="I370" s="36" t="str">
        <f t="shared" si="1"/>
        <v/>
      </c>
      <c r="J370" s="16"/>
      <c r="K370" s="15"/>
      <c r="L370" s="15"/>
      <c r="M370" s="36" t="str">
        <f t="array" ref="M370">IF($A370="","",IF($L370="Atendido",IFERROR($I370*INDEX(Config!$B:$B,MATCH($C370,Config!$A:$A,0)),0),0))</f>
        <v/>
      </c>
      <c r="N370" s="36" t="str">
        <f t="shared" si="2"/>
        <v/>
      </c>
      <c r="O370" s="36" t="str">
        <f t="shared" si="3"/>
        <v/>
      </c>
      <c r="P370" s="15"/>
      <c r="Q370" s="37" t="str">
        <f t="shared" si="4"/>
        <v/>
      </c>
      <c r="R370" s="37" t="str">
        <f t="shared" si="5"/>
        <v/>
      </c>
      <c r="S370" s="32" t="str">
        <f t="shared" si="6"/>
        <v/>
      </c>
      <c r="T370" s="37" t="str">
        <f t="shared" si="7"/>
        <v/>
      </c>
      <c r="U370" s="37" t="str">
        <f t="array" ref="U370">IF($F370="","",IFERROR(INDEX(Config!$F:$F,MATCH($F370,Config!$D:$D,0)),0))</f>
        <v/>
      </c>
    </row>
    <row r="371" ht="15.0" customHeight="1">
      <c r="A371" s="34"/>
      <c r="B371" s="35"/>
      <c r="C371" s="15"/>
      <c r="D371" s="15"/>
      <c r="E371" s="15"/>
      <c r="F371" s="15"/>
      <c r="G371" s="36" t="str">
        <f t="array" ref="G371">IF($F371="","",IFERROR(INDEX(Config!$E:$E,MATCH($F371,Config!$D:$D,0)),0))</f>
        <v/>
      </c>
      <c r="H371" s="16"/>
      <c r="I371" s="36" t="str">
        <f t="shared" si="1"/>
        <v/>
      </c>
      <c r="J371" s="16"/>
      <c r="K371" s="15"/>
      <c r="L371" s="15"/>
      <c r="M371" s="36" t="str">
        <f t="array" ref="M371">IF($A371="","",IF($L371="Atendido",IFERROR($I371*INDEX(Config!$B:$B,MATCH($C371,Config!$A:$A,0)),0),0))</f>
        <v/>
      </c>
      <c r="N371" s="36" t="str">
        <f t="shared" si="2"/>
        <v/>
      </c>
      <c r="O371" s="36" t="str">
        <f t="shared" si="3"/>
        <v/>
      </c>
      <c r="P371" s="15"/>
      <c r="Q371" s="37" t="str">
        <f t="shared" si="4"/>
        <v/>
      </c>
      <c r="R371" s="37" t="str">
        <f t="shared" si="5"/>
        <v/>
      </c>
      <c r="S371" s="32" t="str">
        <f t="shared" si="6"/>
        <v/>
      </c>
      <c r="T371" s="37" t="str">
        <f t="shared" si="7"/>
        <v/>
      </c>
      <c r="U371" s="37" t="str">
        <f t="array" ref="U371">IF($F371="","",IFERROR(INDEX(Config!$F:$F,MATCH($F371,Config!$D:$D,0)),0))</f>
        <v/>
      </c>
    </row>
    <row r="372" ht="15.0" customHeight="1">
      <c r="A372" s="34"/>
      <c r="B372" s="35"/>
      <c r="C372" s="15"/>
      <c r="D372" s="15"/>
      <c r="E372" s="15"/>
      <c r="F372" s="15"/>
      <c r="G372" s="36" t="str">
        <f t="array" ref="G372">IF($F372="","",IFERROR(INDEX(Config!$E:$E,MATCH($F372,Config!$D:$D,0)),0))</f>
        <v/>
      </c>
      <c r="H372" s="16"/>
      <c r="I372" s="36" t="str">
        <f t="shared" si="1"/>
        <v/>
      </c>
      <c r="J372" s="16"/>
      <c r="K372" s="15"/>
      <c r="L372" s="15"/>
      <c r="M372" s="36" t="str">
        <f t="array" ref="M372">IF($A372="","",IF($L372="Atendido",IFERROR($I372*INDEX(Config!$B:$B,MATCH($C372,Config!$A:$A,0)),0),0))</f>
        <v/>
      </c>
      <c r="N372" s="36" t="str">
        <f t="shared" si="2"/>
        <v/>
      </c>
      <c r="O372" s="36" t="str">
        <f t="shared" si="3"/>
        <v/>
      </c>
      <c r="P372" s="15"/>
      <c r="Q372" s="37" t="str">
        <f t="shared" si="4"/>
        <v/>
      </c>
      <c r="R372" s="37" t="str">
        <f t="shared" si="5"/>
        <v/>
      </c>
      <c r="S372" s="32" t="str">
        <f t="shared" si="6"/>
        <v/>
      </c>
      <c r="T372" s="37" t="str">
        <f t="shared" si="7"/>
        <v/>
      </c>
      <c r="U372" s="37" t="str">
        <f t="array" ref="U372">IF($F372="","",IFERROR(INDEX(Config!$F:$F,MATCH($F372,Config!$D:$D,0)),0))</f>
        <v/>
      </c>
    </row>
    <row r="373" ht="15.0" customHeight="1">
      <c r="A373" s="34"/>
      <c r="B373" s="35"/>
      <c r="C373" s="15"/>
      <c r="D373" s="15"/>
      <c r="E373" s="15"/>
      <c r="F373" s="15"/>
      <c r="G373" s="36" t="str">
        <f t="array" ref="G373">IF($F373="","",IFERROR(INDEX(Config!$E:$E,MATCH($F373,Config!$D:$D,0)),0))</f>
        <v/>
      </c>
      <c r="H373" s="16"/>
      <c r="I373" s="36" t="str">
        <f t="shared" si="1"/>
        <v/>
      </c>
      <c r="J373" s="16"/>
      <c r="K373" s="15"/>
      <c r="L373" s="15"/>
      <c r="M373" s="36" t="str">
        <f t="array" ref="M373">IF($A373="","",IF($L373="Atendido",IFERROR($I373*INDEX(Config!$B:$B,MATCH($C373,Config!$A:$A,0)),0),0))</f>
        <v/>
      </c>
      <c r="N373" s="36" t="str">
        <f t="shared" si="2"/>
        <v/>
      </c>
      <c r="O373" s="36" t="str">
        <f t="shared" si="3"/>
        <v/>
      </c>
      <c r="P373" s="15"/>
      <c r="Q373" s="37" t="str">
        <f t="shared" si="4"/>
        <v/>
      </c>
      <c r="R373" s="37" t="str">
        <f t="shared" si="5"/>
        <v/>
      </c>
      <c r="S373" s="32" t="str">
        <f t="shared" si="6"/>
        <v/>
      </c>
      <c r="T373" s="37" t="str">
        <f t="shared" si="7"/>
        <v/>
      </c>
      <c r="U373" s="37" t="str">
        <f t="array" ref="U373">IF($F373="","",IFERROR(INDEX(Config!$F:$F,MATCH($F373,Config!$D:$D,0)),0))</f>
        <v/>
      </c>
    </row>
    <row r="374" ht="15.0" customHeight="1">
      <c r="A374" s="34"/>
      <c r="B374" s="35"/>
      <c r="C374" s="15"/>
      <c r="D374" s="15"/>
      <c r="E374" s="15"/>
      <c r="F374" s="15"/>
      <c r="G374" s="36" t="str">
        <f t="array" ref="G374">IF($F374="","",IFERROR(INDEX(Config!$E:$E,MATCH($F374,Config!$D:$D,0)),0))</f>
        <v/>
      </c>
      <c r="H374" s="16"/>
      <c r="I374" s="36" t="str">
        <f t="shared" si="1"/>
        <v/>
      </c>
      <c r="J374" s="16"/>
      <c r="K374" s="15"/>
      <c r="L374" s="15"/>
      <c r="M374" s="36" t="str">
        <f t="array" ref="M374">IF($A374="","",IF($L374="Atendido",IFERROR($I374*INDEX(Config!$B:$B,MATCH($C374,Config!$A:$A,0)),0),0))</f>
        <v/>
      </c>
      <c r="N374" s="36" t="str">
        <f t="shared" si="2"/>
        <v/>
      </c>
      <c r="O374" s="36" t="str">
        <f t="shared" si="3"/>
        <v/>
      </c>
      <c r="P374" s="15"/>
      <c r="Q374" s="37" t="str">
        <f t="shared" si="4"/>
        <v/>
      </c>
      <c r="R374" s="37" t="str">
        <f t="shared" si="5"/>
        <v/>
      </c>
      <c r="S374" s="32" t="str">
        <f t="shared" si="6"/>
        <v/>
      </c>
      <c r="T374" s="37" t="str">
        <f t="shared" si="7"/>
        <v/>
      </c>
      <c r="U374" s="37" t="str">
        <f t="array" ref="U374">IF($F374="","",IFERROR(INDEX(Config!$F:$F,MATCH($F374,Config!$D:$D,0)),0))</f>
        <v/>
      </c>
    </row>
    <row r="375" ht="15.0" customHeight="1">
      <c r="A375" s="34"/>
      <c r="B375" s="35"/>
      <c r="C375" s="15"/>
      <c r="D375" s="15"/>
      <c r="E375" s="15"/>
      <c r="F375" s="15"/>
      <c r="G375" s="36" t="str">
        <f t="array" ref="G375">IF($F375="","",IFERROR(INDEX(Config!$E:$E,MATCH($F375,Config!$D:$D,0)),0))</f>
        <v/>
      </c>
      <c r="H375" s="16"/>
      <c r="I375" s="36" t="str">
        <f t="shared" si="1"/>
        <v/>
      </c>
      <c r="J375" s="16"/>
      <c r="K375" s="15"/>
      <c r="L375" s="15"/>
      <c r="M375" s="36" t="str">
        <f t="array" ref="M375">IF($A375="","",IF($L375="Atendido",IFERROR($I375*INDEX(Config!$B:$B,MATCH($C375,Config!$A:$A,0)),0),0))</f>
        <v/>
      </c>
      <c r="N375" s="36" t="str">
        <f t="shared" si="2"/>
        <v/>
      </c>
      <c r="O375" s="36" t="str">
        <f t="shared" si="3"/>
        <v/>
      </c>
      <c r="P375" s="15"/>
      <c r="Q375" s="37" t="str">
        <f t="shared" si="4"/>
        <v/>
      </c>
      <c r="R375" s="37" t="str">
        <f t="shared" si="5"/>
        <v/>
      </c>
      <c r="S375" s="32" t="str">
        <f t="shared" si="6"/>
        <v/>
      </c>
      <c r="T375" s="37" t="str">
        <f t="shared" si="7"/>
        <v/>
      </c>
      <c r="U375" s="37" t="str">
        <f t="array" ref="U375">IF($F375="","",IFERROR(INDEX(Config!$F:$F,MATCH($F375,Config!$D:$D,0)),0))</f>
        <v/>
      </c>
    </row>
    <row r="376" ht="15.0" customHeight="1">
      <c r="A376" s="34"/>
      <c r="B376" s="35"/>
      <c r="C376" s="15"/>
      <c r="D376" s="15"/>
      <c r="E376" s="15"/>
      <c r="F376" s="15"/>
      <c r="G376" s="36" t="str">
        <f t="array" ref="G376">IF($F376="","",IFERROR(INDEX(Config!$E:$E,MATCH($F376,Config!$D:$D,0)),0))</f>
        <v/>
      </c>
      <c r="H376" s="16"/>
      <c r="I376" s="36" t="str">
        <f t="shared" si="1"/>
        <v/>
      </c>
      <c r="J376" s="16"/>
      <c r="K376" s="15"/>
      <c r="L376" s="15"/>
      <c r="M376" s="36" t="str">
        <f t="array" ref="M376">IF($A376="","",IF($L376="Atendido",IFERROR($I376*INDEX(Config!$B:$B,MATCH($C376,Config!$A:$A,0)),0),0))</f>
        <v/>
      </c>
      <c r="N376" s="36" t="str">
        <f t="shared" si="2"/>
        <v/>
      </c>
      <c r="O376" s="36" t="str">
        <f t="shared" si="3"/>
        <v/>
      </c>
      <c r="P376" s="15"/>
      <c r="Q376" s="37" t="str">
        <f t="shared" si="4"/>
        <v/>
      </c>
      <c r="R376" s="37" t="str">
        <f t="shared" si="5"/>
        <v/>
      </c>
      <c r="S376" s="32" t="str">
        <f t="shared" si="6"/>
        <v/>
      </c>
      <c r="T376" s="37" t="str">
        <f t="shared" si="7"/>
        <v/>
      </c>
      <c r="U376" s="37" t="str">
        <f t="array" ref="U376">IF($F376="","",IFERROR(INDEX(Config!$F:$F,MATCH($F376,Config!$D:$D,0)),0))</f>
        <v/>
      </c>
    </row>
    <row r="377" ht="15.0" customHeight="1">
      <c r="A377" s="34"/>
      <c r="B377" s="35"/>
      <c r="C377" s="15"/>
      <c r="D377" s="15"/>
      <c r="E377" s="15"/>
      <c r="F377" s="15"/>
      <c r="G377" s="36" t="str">
        <f t="array" ref="G377">IF($F377="","",IFERROR(INDEX(Config!$E:$E,MATCH($F377,Config!$D:$D,0)),0))</f>
        <v/>
      </c>
      <c r="H377" s="16"/>
      <c r="I377" s="36" t="str">
        <f t="shared" si="1"/>
        <v/>
      </c>
      <c r="J377" s="16"/>
      <c r="K377" s="15"/>
      <c r="L377" s="15"/>
      <c r="M377" s="36" t="str">
        <f t="array" ref="M377">IF($A377="","",IF($L377="Atendido",IFERROR($I377*INDEX(Config!$B:$B,MATCH($C377,Config!$A:$A,0)),0),0))</f>
        <v/>
      </c>
      <c r="N377" s="36" t="str">
        <f t="shared" si="2"/>
        <v/>
      </c>
      <c r="O377" s="36" t="str">
        <f t="shared" si="3"/>
        <v/>
      </c>
      <c r="P377" s="15"/>
      <c r="Q377" s="37" t="str">
        <f t="shared" si="4"/>
        <v/>
      </c>
      <c r="R377" s="37" t="str">
        <f t="shared" si="5"/>
        <v/>
      </c>
      <c r="S377" s="32" t="str">
        <f t="shared" si="6"/>
        <v/>
      </c>
      <c r="T377" s="37" t="str">
        <f t="shared" si="7"/>
        <v/>
      </c>
      <c r="U377" s="37" t="str">
        <f t="array" ref="U377">IF($F377="","",IFERROR(INDEX(Config!$F:$F,MATCH($F377,Config!$D:$D,0)),0))</f>
        <v/>
      </c>
    </row>
    <row r="378" ht="15.0" customHeight="1">
      <c r="A378" s="34"/>
      <c r="B378" s="35"/>
      <c r="C378" s="15"/>
      <c r="D378" s="15"/>
      <c r="E378" s="15"/>
      <c r="F378" s="15"/>
      <c r="G378" s="36" t="str">
        <f t="array" ref="G378">IF($F378="","",IFERROR(INDEX(Config!$E:$E,MATCH($F378,Config!$D:$D,0)),0))</f>
        <v/>
      </c>
      <c r="H378" s="16"/>
      <c r="I378" s="36" t="str">
        <f t="shared" si="1"/>
        <v/>
      </c>
      <c r="J378" s="16"/>
      <c r="K378" s="15"/>
      <c r="L378" s="15"/>
      <c r="M378" s="36" t="str">
        <f t="array" ref="M378">IF($A378="","",IF($L378="Atendido",IFERROR($I378*INDEX(Config!$B:$B,MATCH($C378,Config!$A:$A,0)),0),0))</f>
        <v/>
      </c>
      <c r="N378" s="36" t="str">
        <f t="shared" si="2"/>
        <v/>
      </c>
      <c r="O378" s="36" t="str">
        <f t="shared" si="3"/>
        <v/>
      </c>
      <c r="P378" s="15"/>
      <c r="Q378" s="37" t="str">
        <f t="shared" si="4"/>
        <v/>
      </c>
      <c r="R378" s="37" t="str">
        <f t="shared" si="5"/>
        <v/>
      </c>
      <c r="S378" s="32" t="str">
        <f t="shared" si="6"/>
        <v/>
      </c>
      <c r="T378" s="37" t="str">
        <f t="shared" si="7"/>
        <v/>
      </c>
      <c r="U378" s="37" t="str">
        <f t="array" ref="U378">IF($F378="","",IFERROR(INDEX(Config!$F:$F,MATCH($F378,Config!$D:$D,0)),0))</f>
        <v/>
      </c>
    </row>
    <row r="379" ht="15.0" customHeight="1">
      <c r="A379" s="34"/>
      <c r="B379" s="35"/>
      <c r="C379" s="15"/>
      <c r="D379" s="15"/>
      <c r="E379" s="15"/>
      <c r="F379" s="15"/>
      <c r="G379" s="36" t="str">
        <f t="array" ref="G379">IF($F379="","",IFERROR(INDEX(Config!$E:$E,MATCH($F379,Config!$D:$D,0)),0))</f>
        <v/>
      </c>
      <c r="H379" s="16"/>
      <c r="I379" s="36" t="str">
        <f t="shared" si="1"/>
        <v/>
      </c>
      <c r="J379" s="16"/>
      <c r="K379" s="15"/>
      <c r="L379" s="15"/>
      <c r="M379" s="36" t="str">
        <f t="array" ref="M379">IF($A379="","",IF($L379="Atendido",IFERROR($I379*INDEX(Config!$B:$B,MATCH($C379,Config!$A:$A,0)),0),0))</f>
        <v/>
      </c>
      <c r="N379" s="36" t="str">
        <f t="shared" si="2"/>
        <v/>
      </c>
      <c r="O379" s="36" t="str">
        <f t="shared" si="3"/>
        <v/>
      </c>
      <c r="P379" s="15"/>
      <c r="Q379" s="37" t="str">
        <f t="shared" si="4"/>
        <v/>
      </c>
      <c r="R379" s="37" t="str">
        <f t="shared" si="5"/>
        <v/>
      </c>
      <c r="S379" s="32" t="str">
        <f t="shared" si="6"/>
        <v/>
      </c>
      <c r="T379" s="37" t="str">
        <f t="shared" si="7"/>
        <v/>
      </c>
      <c r="U379" s="37" t="str">
        <f t="array" ref="U379">IF($F379="","",IFERROR(INDEX(Config!$F:$F,MATCH($F379,Config!$D:$D,0)),0))</f>
        <v/>
      </c>
    </row>
    <row r="380" ht="15.0" customHeight="1">
      <c r="A380" s="34"/>
      <c r="B380" s="35"/>
      <c r="C380" s="15"/>
      <c r="D380" s="15"/>
      <c r="E380" s="15"/>
      <c r="F380" s="15"/>
      <c r="G380" s="36" t="str">
        <f t="array" ref="G380">IF($F380="","",IFERROR(INDEX(Config!$E:$E,MATCH($F380,Config!$D:$D,0)),0))</f>
        <v/>
      </c>
      <c r="H380" s="16"/>
      <c r="I380" s="36" t="str">
        <f t="shared" si="1"/>
        <v/>
      </c>
      <c r="J380" s="16"/>
      <c r="K380" s="15"/>
      <c r="L380" s="15"/>
      <c r="M380" s="36" t="str">
        <f t="array" ref="M380">IF($A380="","",IF($L380="Atendido",IFERROR($I380*INDEX(Config!$B:$B,MATCH($C380,Config!$A:$A,0)),0),0))</f>
        <v/>
      </c>
      <c r="N380" s="36" t="str">
        <f t="shared" si="2"/>
        <v/>
      </c>
      <c r="O380" s="36" t="str">
        <f t="shared" si="3"/>
        <v/>
      </c>
      <c r="P380" s="15"/>
      <c r="Q380" s="37" t="str">
        <f t="shared" si="4"/>
        <v/>
      </c>
      <c r="R380" s="37" t="str">
        <f t="shared" si="5"/>
        <v/>
      </c>
      <c r="S380" s="32" t="str">
        <f t="shared" si="6"/>
        <v/>
      </c>
      <c r="T380" s="37" t="str">
        <f t="shared" si="7"/>
        <v/>
      </c>
      <c r="U380" s="37" t="str">
        <f t="array" ref="U380">IF($F380="","",IFERROR(INDEX(Config!$F:$F,MATCH($F380,Config!$D:$D,0)),0))</f>
        <v/>
      </c>
    </row>
    <row r="381" ht="15.0" customHeight="1">
      <c r="A381" s="34"/>
      <c r="B381" s="35"/>
      <c r="C381" s="15"/>
      <c r="D381" s="15"/>
      <c r="E381" s="15"/>
      <c r="F381" s="15"/>
      <c r="G381" s="36" t="str">
        <f t="array" ref="G381">IF($F381="","",IFERROR(INDEX(Config!$E:$E,MATCH($F381,Config!$D:$D,0)),0))</f>
        <v/>
      </c>
      <c r="H381" s="16"/>
      <c r="I381" s="36" t="str">
        <f t="shared" si="1"/>
        <v/>
      </c>
      <c r="J381" s="16"/>
      <c r="K381" s="15"/>
      <c r="L381" s="15"/>
      <c r="M381" s="36" t="str">
        <f t="array" ref="M381">IF($A381="","",IF($L381="Atendido",IFERROR($I381*INDEX(Config!$B:$B,MATCH($C381,Config!$A:$A,0)),0),0))</f>
        <v/>
      </c>
      <c r="N381" s="36" t="str">
        <f t="shared" si="2"/>
        <v/>
      </c>
      <c r="O381" s="36" t="str">
        <f t="shared" si="3"/>
        <v/>
      </c>
      <c r="P381" s="15"/>
      <c r="Q381" s="37" t="str">
        <f t="shared" si="4"/>
        <v/>
      </c>
      <c r="R381" s="37" t="str">
        <f t="shared" si="5"/>
        <v/>
      </c>
      <c r="S381" s="32" t="str">
        <f t="shared" si="6"/>
        <v/>
      </c>
      <c r="T381" s="37" t="str">
        <f t="shared" si="7"/>
        <v/>
      </c>
      <c r="U381" s="37" t="str">
        <f t="array" ref="U381">IF($F381="","",IFERROR(INDEX(Config!$F:$F,MATCH($F381,Config!$D:$D,0)),0))</f>
        <v/>
      </c>
    </row>
    <row r="382" ht="15.0" customHeight="1">
      <c r="A382" s="34"/>
      <c r="B382" s="35"/>
      <c r="C382" s="15"/>
      <c r="D382" s="15"/>
      <c r="E382" s="15"/>
      <c r="F382" s="15"/>
      <c r="G382" s="36" t="str">
        <f t="array" ref="G382">IF($F382="","",IFERROR(INDEX(Config!$E:$E,MATCH($F382,Config!$D:$D,0)),0))</f>
        <v/>
      </c>
      <c r="H382" s="16"/>
      <c r="I382" s="36" t="str">
        <f t="shared" si="1"/>
        <v/>
      </c>
      <c r="J382" s="16"/>
      <c r="K382" s="15"/>
      <c r="L382" s="15"/>
      <c r="M382" s="36" t="str">
        <f t="array" ref="M382">IF($A382="","",IF($L382="Atendido",IFERROR($I382*INDEX(Config!$B:$B,MATCH($C382,Config!$A:$A,0)),0),0))</f>
        <v/>
      </c>
      <c r="N382" s="36" t="str">
        <f t="shared" si="2"/>
        <v/>
      </c>
      <c r="O382" s="36" t="str">
        <f t="shared" si="3"/>
        <v/>
      </c>
      <c r="P382" s="15"/>
      <c r="Q382" s="37" t="str">
        <f t="shared" si="4"/>
        <v/>
      </c>
      <c r="R382" s="37" t="str">
        <f t="shared" si="5"/>
        <v/>
      </c>
      <c r="S382" s="32" t="str">
        <f t="shared" si="6"/>
        <v/>
      </c>
      <c r="T382" s="37" t="str">
        <f t="shared" si="7"/>
        <v/>
      </c>
      <c r="U382" s="37" t="str">
        <f t="array" ref="U382">IF($F382="","",IFERROR(INDEX(Config!$F:$F,MATCH($F382,Config!$D:$D,0)),0))</f>
        <v/>
      </c>
    </row>
    <row r="383" ht="15.0" customHeight="1">
      <c r="A383" s="34"/>
      <c r="B383" s="35"/>
      <c r="C383" s="15"/>
      <c r="D383" s="15"/>
      <c r="E383" s="15"/>
      <c r="F383" s="15"/>
      <c r="G383" s="36" t="str">
        <f t="array" ref="G383">IF($F383="","",IFERROR(INDEX(Config!$E:$E,MATCH($F383,Config!$D:$D,0)),0))</f>
        <v/>
      </c>
      <c r="H383" s="16"/>
      <c r="I383" s="36" t="str">
        <f t="shared" si="1"/>
        <v/>
      </c>
      <c r="J383" s="16"/>
      <c r="K383" s="15"/>
      <c r="L383" s="15"/>
      <c r="M383" s="36" t="str">
        <f t="array" ref="M383">IF($A383="","",IF($L383="Atendido",IFERROR($I383*INDEX(Config!$B:$B,MATCH($C383,Config!$A:$A,0)),0),0))</f>
        <v/>
      </c>
      <c r="N383" s="36" t="str">
        <f t="shared" si="2"/>
        <v/>
      </c>
      <c r="O383" s="36" t="str">
        <f t="shared" si="3"/>
        <v/>
      </c>
      <c r="P383" s="15"/>
      <c r="Q383" s="37" t="str">
        <f t="shared" si="4"/>
        <v/>
      </c>
      <c r="R383" s="37" t="str">
        <f t="shared" si="5"/>
        <v/>
      </c>
      <c r="S383" s="32" t="str">
        <f t="shared" si="6"/>
        <v/>
      </c>
      <c r="T383" s="37" t="str">
        <f t="shared" si="7"/>
        <v/>
      </c>
      <c r="U383" s="37" t="str">
        <f t="array" ref="U383">IF($F383="","",IFERROR(INDEX(Config!$F:$F,MATCH($F383,Config!$D:$D,0)),0))</f>
        <v/>
      </c>
    </row>
    <row r="384" ht="15.0" customHeight="1">
      <c r="A384" s="34"/>
      <c r="B384" s="35"/>
      <c r="C384" s="15"/>
      <c r="D384" s="15"/>
      <c r="E384" s="15"/>
      <c r="F384" s="15"/>
      <c r="G384" s="36" t="str">
        <f t="array" ref="G384">IF($F384="","",IFERROR(INDEX(Config!$E:$E,MATCH($F384,Config!$D:$D,0)),0))</f>
        <v/>
      </c>
      <c r="H384" s="16"/>
      <c r="I384" s="36" t="str">
        <f t="shared" si="1"/>
        <v/>
      </c>
      <c r="J384" s="16"/>
      <c r="K384" s="15"/>
      <c r="L384" s="15"/>
      <c r="M384" s="36" t="str">
        <f t="array" ref="M384">IF($A384="","",IF($L384="Atendido",IFERROR($I384*INDEX(Config!$B:$B,MATCH($C384,Config!$A:$A,0)),0),0))</f>
        <v/>
      </c>
      <c r="N384" s="36" t="str">
        <f t="shared" si="2"/>
        <v/>
      </c>
      <c r="O384" s="36" t="str">
        <f t="shared" si="3"/>
        <v/>
      </c>
      <c r="P384" s="15"/>
      <c r="Q384" s="37" t="str">
        <f t="shared" si="4"/>
        <v/>
      </c>
      <c r="R384" s="37" t="str">
        <f t="shared" si="5"/>
        <v/>
      </c>
      <c r="S384" s="32" t="str">
        <f t="shared" si="6"/>
        <v/>
      </c>
      <c r="T384" s="37" t="str">
        <f t="shared" si="7"/>
        <v/>
      </c>
      <c r="U384" s="37" t="str">
        <f t="array" ref="U384">IF($F384="","",IFERROR(INDEX(Config!$F:$F,MATCH($F384,Config!$D:$D,0)),0))</f>
        <v/>
      </c>
    </row>
    <row r="385" ht="15.0" customHeight="1">
      <c r="A385" s="34"/>
      <c r="B385" s="35"/>
      <c r="C385" s="15"/>
      <c r="D385" s="15"/>
      <c r="E385" s="15"/>
      <c r="F385" s="15"/>
      <c r="G385" s="36" t="str">
        <f t="array" ref="G385">IF($F385="","",IFERROR(INDEX(Config!$E:$E,MATCH($F385,Config!$D:$D,0)),0))</f>
        <v/>
      </c>
      <c r="H385" s="16"/>
      <c r="I385" s="36" t="str">
        <f t="shared" si="1"/>
        <v/>
      </c>
      <c r="J385" s="16"/>
      <c r="K385" s="15"/>
      <c r="L385" s="15"/>
      <c r="M385" s="36" t="str">
        <f t="array" ref="M385">IF($A385="","",IF($L385="Atendido",IFERROR($I385*INDEX(Config!$B:$B,MATCH($C385,Config!$A:$A,0)),0),0))</f>
        <v/>
      </c>
      <c r="N385" s="36" t="str">
        <f t="shared" si="2"/>
        <v/>
      </c>
      <c r="O385" s="36" t="str">
        <f t="shared" si="3"/>
        <v/>
      </c>
      <c r="P385" s="15"/>
      <c r="Q385" s="37" t="str">
        <f t="shared" si="4"/>
        <v/>
      </c>
      <c r="R385" s="37" t="str">
        <f t="shared" si="5"/>
        <v/>
      </c>
      <c r="S385" s="32" t="str">
        <f t="shared" si="6"/>
        <v/>
      </c>
      <c r="T385" s="37" t="str">
        <f t="shared" si="7"/>
        <v/>
      </c>
      <c r="U385" s="37" t="str">
        <f t="array" ref="U385">IF($F385="","",IFERROR(INDEX(Config!$F:$F,MATCH($F385,Config!$D:$D,0)),0))</f>
        <v/>
      </c>
    </row>
    <row r="386" ht="15.0" customHeight="1">
      <c r="A386" s="34"/>
      <c r="B386" s="35"/>
      <c r="C386" s="15"/>
      <c r="D386" s="15"/>
      <c r="E386" s="15"/>
      <c r="F386" s="15"/>
      <c r="G386" s="36" t="str">
        <f t="array" ref="G386">IF($F386="","",IFERROR(INDEX(Config!$E:$E,MATCH($F386,Config!$D:$D,0)),0))</f>
        <v/>
      </c>
      <c r="H386" s="16"/>
      <c r="I386" s="36" t="str">
        <f t="shared" si="1"/>
        <v/>
      </c>
      <c r="J386" s="16"/>
      <c r="K386" s="15"/>
      <c r="L386" s="15"/>
      <c r="M386" s="36" t="str">
        <f t="array" ref="M386">IF($A386="","",IF($L386="Atendido",IFERROR($I386*INDEX(Config!$B:$B,MATCH($C386,Config!$A:$A,0)),0),0))</f>
        <v/>
      </c>
      <c r="N386" s="36" t="str">
        <f t="shared" si="2"/>
        <v/>
      </c>
      <c r="O386" s="36" t="str">
        <f t="shared" si="3"/>
        <v/>
      </c>
      <c r="P386" s="15"/>
      <c r="Q386" s="37" t="str">
        <f t="shared" si="4"/>
        <v/>
      </c>
      <c r="R386" s="37" t="str">
        <f t="shared" si="5"/>
        <v/>
      </c>
      <c r="S386" s="32" t="str">
        <f t="shared" si="6"/>
        <v/>
      </c>
      <c r="T386" s="37" t="str">
        <f t="shared" si="7"/>
        <v/>
      </c>
      <c r="U386" s="37" t="str">
        <f t="array" ref="U386">IF($F386="","",IFERROR(INDEX(Config!$F:$F,MATCH($F386,Config!$D:$D,0)),0))</f>
        <v/>
      </c>
    </row>
    <row r="387" ht="15.0" customHeight="1">
      <c r="A387" s="34"/>
      <c r="B387" s="35"/>
      <c r="C387" s="15"/>
      <c r="D387" s="15"/>
      <c r="E387" s="15"/>
      <c r="F387" s="15"/>
      <c r="G387" s="36" t="str">
        <f t="array" ref="G387">IF($F387="","",IFERROR(INDEX(Config!$E:$E,MATCH($F387,Config!$D:$D,0)),0))</f>
        <v/>
      </c>
      <c r="H387" s="16"/>
      <c r="I387" s="36" t="str">
        <f t="shared" si="1"/>
        <v/>
      </c>
      <c r="J387" s="16"/>
      <c r="K387" s="15"/>
      <c r="L387" s="15"/>
      <c r="M387" s="36" t="str">
        <f t="array" ref="M387">IF($A387="","",IF($L387="Atendido",IFERROR($I387*INDEX(Config!$B:$B,MATCH($C387,Config!$A:$A,0)),0),0))</f>
        <v/>
      </c>
      <c r="N387" s="36" t="str">
        <f t="shared" si="2"/>
        <v/>
      </c>
      <c r="O387" s="36" t="str">
        <f t="shared" si="3"/>
        <v/>
      </c>
      <c r="P387" s="15"/>
      <c r="Q387" s="37" t="str">
        <f t="shared" si="4"/>
        <v/>
      </c>
      <c r="R387" s="37" t="str">
        <f t="shared" si="5"/>
        <v/>
      </c>
      <c r="S387" s="32" t="str">
        <f t="shared" si="6"/>
        <v/>
      </c>
      <c r="T387" s="37" t="str">
        <f t="shared" si="7"/>
        <v/>
      </c>
      <c r="U387" s="37" t="str">
        <f t="array" ref="U387">IF($F387="","",IFERROR(INDEX(Config!$F:$F,MATCH($F387,Config!$D:$D,0)),0))</f>
        <v/>
      </c>
    </row>
    <row r="388" ht="15.0" customHeight="1">
      <c r="A388" s="34"/>
      <c r="B388" s="35"/>
      <c r="C388" s="15"/>
      <c r="D388" s="15"/>
      <c r="E388" s="15"/>
      <c r="F388" s="15"/>
      <c r="G388" s="36" t="str">
        <f t="array" ref="G388">IF($F388="","",IFERROR(INDEX(Config!$E:$E,MATCH($F388,Config!$D:$D,0)),0))</f>
        <v/>
      </c>
      <c r="H388" s="16"/>
      <c r="I388" s="36" t="str">
        <f t="shared" si="1"/>
        <v/>
      </c>
      <c r="J388" s="16"/>
      <c r="K388" s="15"/>
      <c r="L388" s="15"/>
      <c r="M388" s="36" t="str">
        <f t="array" ref="M388">IF($A388="","",IF($L388="Atendido",IFERROR($I388*INDEX(Config!$B:$B,MATCH($C388,Config!$A:$A,0)),0),0))</f>
        <v/>
      </c>
      <c r="N388" s="36" t="str">
        <f t="shared" si="2"/>
        <v/>
      </c>
      <c r="O388" s="36" t="str">
        <f t="shared" si="3"/>
        <v/>
      </c>
      <c r="P388" s="15"/>
      <c r="Q388" s="37" t="str">
        <f t="shared" si="4"/>
        <v/>
      </c>
      <c r="R388" s="37" t="str">
        <f t="shared" si="5"/>
        <v/>
      </c>
      <c r="S388" s="32" t="str">
        <f t="shared" si="6"/>
        <v/>
      </c>
      <c r="T388" s="37" t="str">
        <f t="shared" si="7"/>
        <v/>
      </c>
      <c r="U388" s="37" t="str">
        <f t="array" ref="U388">IF($F388="","",IFERROR(INDEX(Config!$F:$F,MATCH($F388,Config!$D:$D,0)),0))</f>
        <v/>
      </c>
    </row>
    <row r="389" ht="15.0" customHeight="1">
      <c r="A389" s="34"/>
      <c r="B389" s="35"/>
      <c r="C389" s="15"/>
      <c r="D389" s="15"/>
      <c r="E389" s="15"/>
      <c r="F389" s="15"/>
      <c r="G389" s="36" t="str">
        <f t="array" ref="G389">IF($F389="","",IFERROR(INDEX(Config!$E:$E,MATCH($F389,Config!$D:$D,0)),0))</f>
        <v/>
      </c>
      <c r="H389" s="16"/>
      <c r="I389" s="36" t="str">
        <f t="shared" si="1"/>
        <v/>
      </c>
      <c r="J389" s="16"/>
      <c r="K389" s="15"/>
      <c r="L389" s="15"/>
      <c r="M389" s="36" t="str">
        <f t="array" ref="M389">IF($A389="","",IF($L389="Atendido",IFERROR($I389*INDEX(Config!$B:$B,MATCH($C389,Config!$A:$A,0)),0),0))</f>
        <v/>
      </c>
      <c r="N389" s="36" t="str">
        <f t="shared" si="2"/>
        <v/>
      </c>
      <c r="O389" s="36" t="str">
        <f t="shared" si="3"/>
        <v/>
      </c>
      <c r="P389" s="15"/>
      <c r="Q389" s="37" t="str">
        <f t="shared" si="4"/>
        <v/>
      </c>
      <c r="R389" s="37" t="str">
        <f t="shared" si="5"/>
        <v/>
      </c>
      <c r="S389" s="32" t="str">
        <f t="shared" si="6"/>
        <v/>
      </c>
      <c r="T389" s="37" t="str">
        <f t="shared" si="7"/>
        <v/>
      </c>
      <c r="U389" s="37" t="str">
        <f t="array" ref="U389">IF($F389="","",IFERROR(INDEX(Config!$F:$F,MATCH($F389,Config!$D:$D,0)),0))</f>
        <v/>
      </c>
    </row>
    <row r="390" ht="15.0" customHeight="1">
      <c r="A390" s="34"/>
      <c r="B390" s="35"/>
      <c r="C390" s="15"/>
      <c r="D390" s="15"/>
      <c r="E390" s="15"/>
      <c r="F390" s="15"/>
      <c r="G390" s="36" t="str">
        <f t="array" ref="G390">IF($F390="","",IFERROR(INDEX(Config!$E:$E,MATCH($F390,Config!$D:$D,0)),0))</f>
        <v/>
      </c>
      <c r="H390" s="16"/>
      <c r="I390" s="36" t="str">
        <f t="shared" si="1"/>
        <v/>
      </c>
      <c r="J390" s="16"/>
      <c r="K390" s="15"/>
      <c r="L390" s="15"/>
      <c r="M390" s="36" t="str">
        <f t="array" ref="M390">IF($A390="","",IF($L390="Atendido",IFERROR($I390*INDEX(Config!$B:$B,MATCH($C390,Config!$A:$A,0)),0),0))</f>
        <v/>
      </c>
      <c r="N390" s="36" t="str">
        <f t="shared" si="2"/>
        <v/>
      </c>
      <c r="O390" s="36" t="str">
        <f t="shared" si="3"/>
        <v/>
      </c>
      <c r="P390" s="15"/>
      <c r="Q390" s="37" t="str">
        <f t="shared" si="4"/>
        <v/>
      </c>
      <c r="R390" s="37" t="str">
        <f t="shared" si="5"/>
        <v/>
      </c>
      <c r="S390" s="32" t="str">
        <f t="shared" si="6"/>
        <v/>
      </c>
      <c r="T390" s="37" t="str">
        <f t="shared" si="7"/>
        <v/>
      </c>
      <c r="U390" s="37" t="str">
        <f t="array" ref="U390">IF($F390="","",IFERROR(INDEX(Config!$F:$F,MATCH($F390,Config!$D:$D,0)),0))</f>
        <v/>
      </c>
    </row>
    <row r="391" ht="15.0" customHeight="1">
      <c r="A391" s="34"/>
      <c r="B391" s="35"/>
      <c r="C391" s="15"/>
      <c r="D391" s="15"/>
      <c r="E391" s="15"/>
      <c r="F391" s="15"/>
      <c r="G391" s="36" t="str">
        <f t="array" ref="G391">IF($F391="","",IFERROR(INDEX(Config!$E:$E,MATCH($F391,Config!$D:$D,0)),0))</f>
        <v/>
      </c>
      <c r="H391" s="16"/>
      <c r="I391" s="36" t="str">
        <f t="shared" si="1"/>
        <v/>
      </c>
      <c r="J391" s="16"/>
      <c r="K391" s="15"/>
      <c r="L391" s="15"/>
      <c r="M391" s="36" t="str">
        <f t="array" ref="M391">IF($A391="","",IF($L391="Atendido",IFERROR($I391*INDEX(Config!$B:$B,MATCH($C391,Config!$A:$A,0)),0),0))</f>
        <v/>
      </c>
      <c r="N391" s="36" t="str">
        <f t="shared" si="2"/>
        <v/>
      </c>
      <c r="O391" s="36" t="str">
        <f t="shared" si="3"/>
        <v/>
      </c>
      <c r="P391" s="15"/>
      <c r="Q391" s="37" t="str">
        <f t="shared" si="4"/>
        <v/>
      </c>
      <c r="R391" s="37" t="str">
        <f t="shared" si="5"/>
        <v/>
      </c>
      <c r="S391" s="32" t="str">
        <f t="shared" si="6"/>
        <v/>
      </c>
      <c r="T391" s="37" t="str">
        <f t="shared" si="7"/>
        <v/>
      </c>
      <c r="U391" s="37" t="str">
        <f t="array" ref="U391">IF($F391="","",IFERROR(INDEX(Config!$F:$F,MATCH($F391,Config!$D:$D,0)),0))</f>
        <v/>
      </c>
    </row>
    <row r="392" ht="15.0" customHeight="1">
      <c r="A392" s="34"/>
      <c r="B392" s="35"/>
      <c r="C392" s="15"/>
      <c r="D392" s="15"/>
      <c r="E392" s="15"/>
      <c r="F392" s="15"/>
      <c r="G392" s="36" t="str">
        <f t="array" ref="G392">IF($F392="","",IFERROR(INDEX(Config!$E:$E,MATCH($F392,Config!$D:$D,0)),0))</f>
        <v/>
      </c>
      <c r="H392" s="16"/>
      <c r="I392" s="36" t="str">
        <f t="shared" si="1"/>
        <v/>
      </c>
      <c r="J392" s="16"/>
      <c r="K392" s="15"/>
      <c r="L392" s="15"/>
      <c r="M392" s="36" t="str">
        <f t="array" ref="M392">IF($A392="","",IF($L392="Atendido",IFERROR($I392*INDEX(Config!$B:$B,MATCH($C392,Config!$A:$A,0)),0),0))</f>
        <v/>
      </c>
      <c r="N392" s="36" t="str">
        <f t="shared" si="2"/>
        <v/>
      </c>
      <c r="O392" s="36" t="str">
        <f t="shared" si="3"/>
        <v/>
      </c>
      <c r="P392" s="15"/>
      <c r="Q392" s="37" t="str">
        <f t="shared" si="4"/>
        <v/>
      </c>
      <c r="R392" s="37" t="str">
        <f t="shared" si="5"/>
        <v/>
      </c>
      <c r="S392" s="32" t="str">
        <f t="shared" si="6"/>
        <v/>
      </c>
      <c r="T392" s="37" t="str">
        <f t="shared" si="7"/>
        <v/>
      </c>
      <c r="U392" s="37" t="str">
        <f t="array" ref="U392">IF($F392="","",IFERROR(INDEX(Config!$F:$F,MATCH($F392,Config!$D:$D,0)),0))</f>
        <v/>
      </c>
    </row>
    <row r="393" ht="15.0" customHeight="1">
      <c r="A393" s="34"/>
      <c r="B393" s="35"/>
      <c r="C393" s="15"/>
      <c r="D393" s="15"/>
      <c r="E393" s="15"/>
      <c r="F393" s="15"/>
      <c r="G393" s="36" t="str">
        <f t="array" ref="G393">IF($F393="","",IFERROR(INDEX(Config!$E:$E,MATCH($F393,Config!$D:$D,0)),0))</f>
        <v/>
      </c>
      <c r="H393" s="16"/>
      <c r="I393" s="36" t="str">
        <f t="shared" si="1"/>
        <v/>
      </c>
      <c r="J393" s="16"/>
      <c r="K393" s="15"/>
      <c r="L393" s="15"/>
      <c r="M393" s="36" t="str">
        <f t="array" ref="M393">IF($A393="","",IF($L393="Atendido",IFERROR($I393*INDEX(Config!$B:$B,MATCH($C393,Config!$A:$A,0)),0),0))</f>
        <v/>
      </c>
      <c r="N393" s="36" t="str">
        <f t="shared" si="2"/>
        <v/>
      </c>
      <c r="O393" s="36" t="str">
        <f t="shared" si="3"/>
        <v/>
      </c>
      <c r="P393" s="15"/>
      <c r="Q393" s="37" t="str">
        <f t="shared" si="4"/>
        <v/>
      </c>
      <c r="R393" s="37" t="str">
        <f t="shared" si="5"/>
        <v/>
      </c>
      <c r="S393" s="32" t="str">
        <f t="shared" si="6"/>
        <v/>
      </c>
      <c r="T393" s="37" t="str">
        <f t="shared" si="7"/>
        <v/>
      </c>
      <c r="U393" s="37" t="str">
        <f t="array" ref="U393">IF($F393="","",IFERROR(INDEX(Config!$F:$F,MATCH($F393,Config!$D:$D,0)),0))</f>
        <v/>
      </c>
    </row>
    <row r="394" ht="15.0" customHeight="1">
      <c r="A394" s="34"/>
      <c r="B394" s="35"/>
      <c r="C394" s="15"/>
      <c r="D394" s="15"/>
      <c r="E394" s="15"/>
      <c r="F394" s="15"/>
      <c r="G394" s="36" t="str">
        <f t="array" ref="G394">IF($F394="","",IFERROR(INDEX(Config!$E:$E,MATCH($F394,Config!$D:$D,0)),0))</f>
        <v/>
      </c>
      <c r="H394" s="16"/>
      <c r="I394" s="36" t="str">
        <f t="shared" si="1"/>
        <v/>
      </c>
      <c r="J394" s="16"/>
      <c r="K394" s="15"/>
      <c r="L394" s="15"/>
      <c r="M394" s="36" t="str">
        <f t="array" ref="M394">IF($A394="","",IF($L394="Atendido",IFERROR($I394*INDEX(Config!$B:$B,MATCH($C394,Config!$A:$A,0)),0),0))</f>
        <v/>
      </c>
      <c r="N394" s="36" t="str">
        <f t="shared" si="2"/>
        <v/>
      </c>
      <c r="O394" s="36" t="str">
        <f t="shared" si="3"/>
        <v/>
      </c>
      <c r="P394" s="15"/>
      <c r="Q394" s="37" t="str">
        <f t="shared" si="4"/>
        <v/>
      </c>
      <c r="R394" s="37" t="str">
        <f t="shared" si="5"/>
        <v/>
      </c>
      <c r="S394" s="32" t="str">
        <f t="shared" si="6"/>
        <v/>
      </c>
      <c r="T394" s="37" t="str">
        <f t="shared" si="7"/>
        <v/>
      </c>
      <c r="U394" s="37" t="str">
        <f t="array" ref="U394">IF($F394="","",IFERROR(INDEX(Config!$F:$F,MATCH($F394,Config!$D:$D,0)),0))</f>
        <v/>
      </c>
    </row>
    <row r="395" ht="15.0" customHeight="1">
      <c r="A395" s="34"/>
      <c r="B395" s="35"/>
      <c r="C395" s="15"/>
      <c r="D395" s="15"/>
      <c r="E395" s="15"/>
      <c r="F395" s="15"/>
      <c r="G395" s="36" t="str">
        <f t="array" ref="G395">IF($F395="","",IFERROR(INDEX(Config!$E:$E,MATCH($F395,Config!$D:$D,0)),0))</f>
        <v/>
      </c>
      <c r="H395" s="16"/>
      <c r="I395" s="36" t="str">
        <f t="shared" si="1"/>
        <v/>
      </c>
      <c r="J395" s="16"/>
      <c r="K395" s="15"/>
      <c r="L395" s="15"/>
      <c r="M395" s="36" t="str">
        <f t="array" ref="M395">IF($A395="","",IF($L395="Atendido",IFERROR($I395*INDEX(Config!$B:$B,MATCH($C395,Config!$A:$A,0)),0),0))</f>
        <v/>
      </c>
      <c r="N395" s="36" t="str">
        <f t="shared" si="2"/>
        <v/>
      </c>
      <c r="O395" s="36" t="str">
        <f t="shared" si="3"/>
        <v/>
      </c>
      <c r="P395" s="15"/>
      <c r="Q395" s="37" t="str">
        <f t="shared" si="4"/>
        <v/>
      </c>
      <c r="R395" s="37" t="str">
        <f t="shared" si="5"/>
        <v/>
      </c>
      <c r="S395" s="32" t="str">
        <f t="shared" si="6"/>
        <v/>
      </c>
      <c r="T395" s="37" t="str">
        <f t="shared" si="7"/>
        <v/>
      </c>
      <c r="U395" s="37" t="str">
        <f t="array" ref="U395">IF($F395="","",IFERROR(INDEX(Config!$F:$F,MATCH($F395,Config!$D:$D,0)),0))</f>
        <v/>
      </c>
    </row>
    <row r="396" ht="15.0" customHeight="1">
      <c r="A396" s="34"/>
      <c r="B396" s="35"/>
      <c r="C396" s="15"/>
      <c r="D396" s="15"/>
      <c r="E396" s="15"/>
      <c r="F396" s="15"/>
      <c r="G396" s="36" t="str">
        <f t="array" ref="G396">IF($F396="","",IFERROR(INDEX(Config!$E:$E,MATCH($F396,Config!$D:$D,0)),0))</f>
        <v/>
      </c>
      <c r="H396" s="16"/>
      <c r="I396" s="36" t="str">
        <f t="shared" si="1"/>
        <v/>
      </c>
      <c r="J396" s="16"/>
      <c r="K396" s="15"/>
      <c r="L396" s="15"/>
      <c r="M396" s="36" t="str">
        <f t="array" ref="M396">IF($A396="","",IF($L396="Atendido",IFERROR($I396*INDEX(Config!$B:$B,MATCH($C396,Config!$A:$A,0)),0),0))</f>
        <v/>
      </c>
      <c r="N396" s="36" t="str">
        <f t="shared" si="2"/>
        <v/>
      </c>
      <c r="O396" s="36" t="str">
        <f t="shared" si="3"/>
        <v/>
      </c>
      <c r="P396" s="15"/>
      <c r="Q396" s="37" t="str">
        <f t="shared" si="4"/>
        <v/>
      </c>
      <c r="R396" s="37" t="str">
        <f t="shared" si="5"/>
        <v/>
      </c>
      <c r="S396" s="32" t="str">
        <f t="shared" si="6"/>
        <v/>
      </c>
      <c r="T396" s="37" t="str">
        <f t="shared" si="7"/>
        <v/>
      </c>
      <c r="U396" s="37" t="str">
        <f t="array" ref="U396">IF($F396="","",IFERROR(INDEX(Config!$F:$F,MATCH($F396,Config!$D:$D,0)),0))</f>
        <v/>
      </c>
    </row>
    <row r="397" ht="15.0" customHeight="1">
      <c r="A397" s="34"/>
      <c r="B397" s="35"/>
      <c r="C397" s="15"/>
      <c r="D397" s="15"/>
      <c r="E397" s="15"/>
      <c r="F397" s="15"/>
      <c r="G397" s="36" t="str">
        <f t="array" ref="G397">IF($F397="","",IFERROR(INDEX(Config!$E:$E,MATCH($F397,Config!$D:$D,0)),0))</f>
        <v/>
      </c>
      <c r="H397" s="16"/>
      <c r="I397" s="36" t="str">
        <f t="shared" si="1"/>
        <v/>
      </c>
      <c r="J397" s="16"/>
      <c r="K397" s="15"/>
      <c r="L397" s="15"/>
      <c r="M397" s="36" t="str">
        <f t="array" ref="M397">IF($A397="","",IF($L397="Atendido",IFERROR($I397*INDEX(Config!$B:$B,MATCH($C397,Config!$A:$A,0)),0),0))</f>
        <v/>
      </c>
      <c r="N397" s="36" t="str">
        <f t="shared" si="2"/>
        <v/>
      </c>
      <c r="O397" s="36" t="str">
        <f t="shared" si="3"/>
        <v/>
      </c>
      <c r="P397" s="15"/>
      <c r="Q397" s="37" t="str">
        <f t="shared" si="4"/>
        <v/>
      </c>
      <c r="R397" s="37" t="str">
        <f t="shared" si="5"/>
        <v/>
      </c>
      <c r="S397" s="32" t="str">
        <f t="shared" si="6"/>
        <v/>
      </c>
      <c r="T397" s="37" t="str">
        <f t="shared" si="7"/>
        <v/>
      </c>
      <c r="U397" s="37" t="str">
        <f t="array" ref="U397">IF($F397="","",IFERROR(INDEX(Config!$F:$F,MATCH($F397,Config!$D:$D,0)),0))</f>
        <v/>
      </c>
    </row>
    <row r="398" ht="15.0" customHeight="1">
      <c r="A398" s="34"/>
      <c r="B398" s="35"/>
      <c r="C398" s="15"/>
      <c r="D398" s="15"/>
      <c r="E398" s="15"/>
      <c r="F398" s="15"/>
      <c r="G398" s="36" t="str">
        <f t="array" ref="G398">IF($F398="","",IFERROR(INDEX(Config!$E:$E,MATCH($F398,Config!$D:$D,0)),0))</f>
        <v/>
      </c>
      <c r="H398" s="16"/>
      <c r="I398" s="36" t="str">
        <f t="shared" si="1"/>
        <v/>
      </c>
      <c r="J398" s="16"/>
      <c r="K398" s="15"/>
      <c r="L398" s="15"/>
      <c r="M398" s="36" t="str">
        <f t="array" ref="M398">IF($A398="","",IF($L398="Atendido",IFERROR($I398*INDEX(Config!$B:$B,MATCH($C398,Config!$A:$A,0)),0),0))</f>
        <v/>
      </c>
      <c r="N398" s="36" t="str">
        <f t="shared" si="2"/>
        <v/>
      </c>
      <c r="O398" s="36" t="str">
        <f t="shared" si="3"/>
        <v/>
      </c>
      <c r="P398" s="15"/>
      <c r="Q398" s="37" t="str">
        <f t="shared" si="4"/>
        <v/>
      </c>
      <c r="R398" s="37" t="str">
        <f t="shared" si="5"/>
        <v/>
      </c>
      <c r="S398" s="32" t="str">
        <f t="shared" si="6"/>
        <v/>
      </c>
      <c r="T398" s="37" t="str">
        <f t="shared" si="7"/>
        <v/>
      </c>
      <c r="U398" s="37" t="str">
        <f t="array" ref="U398">IF($F398="","",IFERROR(INDEX(Config!$F:$F,MATCH($F398,Config!$D:$D,0)),0))</f>
        <v/>
      </c>
    </row>
    <row r="399" ht="15.0" customHeight="1">
      <c r="A399" s="34"/>
      <c r="B399" s="35"/>
      <c r="C399" s="15"/>
      <c r="D399" s="15"/>
      <c r="E399" s="15"/>
      <c r="F399" s="15"/>
      <c r="G399" s="36" t="str">
        <f t="array" ref="G399">IF($F399="","",IFERROR(INDEX(Config!$E:$E,MATCH($F399,Config!$D:$D,0)),0))</f>
        <v/>
      </c>
      <c r="H399" s="16"/>
      <c r="I399" s="36" t="str">
        <f t="shared" si="1"/>
        <v/>
      </c>
      <c r="J399" s="16"/>
      <c r="K399" s="15"/>
      <c r="L399" s="15"/>
      <c r="M399" s="36" t="str">
        <f t="array" ref="M399">IF($A399="","",IF($L399="Atendido",IFERROR($I399*INDEX(Config!$B:$B,MATCH($C399,Config!$A:$A,0)),0),0))</f>
        <v/>
      </c>
      <c r="N399" s="36" t="str">
        <f t="shared" si="2"/>
        <v/>
      </c>
      <c r="O399" s="36" t="str">
        <f t="shared" si="3"/>
        <v/>
      </c>
      <c r="P399" s="15"/>
      <c r="Q399" s="37" t="str">
        <f t="shared" si="4"/>
        <v/>
      </c>
      <c r="R399" s="37" t="str">
        <f t="shared" si="5"/>
        <v/>
      </c>
      <c r="S399" s="32" t="str">
        <f t="shared" si="6"/>
        <v/>
      </c>
      <c r="T399" s="37" t="str">
        <f t="shared" si="7"/>
        <v/>
      </c>
      <c r="U399" s="37" t="str">
        <f t="array" ref="U399">IF($F399="","",IFERROR(INDEX(Config!$F:$F,MATCH($F399,Config!$D:$D,0)),0))</f>
        <v/>
      </c>
    </row>
    <row r="400" ht="15.0" customHeight="1">
      <c r="A400" s="34"/>
      <c r="B400" s="35"/>
      <c r="C400" s="15"/>
      <c r="D400" s="15"/>
      <c r="E400" s="15"/>
      <c r="F400" s="15"/>
      <c r="G400" s="36" t="str">
        <f t="array" ref="G400">IF($F400="","",IFERROR(INDEX(Config!$E:$E,MATCH($F400,Config!$D:$D,0)),0))</f>
        <v/>
      </c>
      <c r="H400" s="16"/>
      <c r="I400" s="36" t="str">
        <f t="shared" si="1"/>
        <v/>
      </c>
      <c r="J400" s="16"/>
      <c r="K400" s="15"/>
      <c r="L400" s="15"/>
      <c r="M400" s="36" t="str">
        <f t="array" ref="M400">IF($A400="","",IF($L400="Atendido",IFERROR($I400*INDEX(Config!$B:$B,MATCH($C400,Config!$A:$A,0)),0),0))</f>
        <v/>
      </c>
      <c r="N400" s="36" t="str">
        <f t="shared" si="2"/>
        <v/>
      </c>
      <c r="O400" s="36" t="str">
        <f t="shared" si="3"/>
        <v/>
      </c>
      <c r="P400" s="15"/>
      <c r="Q400" s="37" t="str">
        <f t="shared" si="4"/>
        <v/>
      </c>
      <c r="R400" s="37" t="str">
        <f t="shared" si="5"/>
        <v/>
      </c>
      <c r="S400" s="32" t="str">
        <f t="shared" si="6"/>
        <v/>
      </c>
      <c r="T400" s="37" t="str">
        <f t="shared" si="7"/>
        <v/>
      </c>
      <c r="U400" s="37" t="str">
        <f t="array" ref="U400">IF($F400="","",IFERROR(INDEX(Config!$F:$F,MATCH($F400,Config!$D:$D,0)),0))</f>
        <v/>
      </c>
    </row>
    <row r="401" ht="15.0" customHeight="1">
      <c r="A401" s="34"/>
      <c r="B401" s="35"/>
      <c r="C401" s="15"/>
      <c r="D401" s="15"/>
      <c r="E401" s="15"/>
      <c r="F401" s="15"/>
      <c r="G401" s="36" t="str">
        <f t="array" ref="G401">IF($F401="","",IFERROR(INDEX(Config!$E:$E,MATCH($F401,Config!$D:$D,0)),0))</f>
        <v/>
      </c>
      <c r="H401" s="16"/>
      <c r="I401" s="36" t="str">
        <f t="shared" si="1"/>
        <v/>
      </c>
      <c r="J401" s="16"/>
      <c r="K401" s="15"/>
      <c r="L401" s="15"/>
      <c r="M401" s="36" t="str">
        <f t="array" ref="M401">IF($A401="","",IF($L401="Atendido",IFERROR($I401*INDEX(Config!$B:$B,MATCH($C401,Config!$A:$A,0)),0),0))</f>
        <v/>
      </c>
      <c r="N401" s="36" t="str">
        <f t="shared" si="2"/>
        <v/>
      </c>
      <c r="O401" s="36" t="str">
        <f t="shared" si="3"/>
        <v/>
      </c>
      <c r="P401" s="15"/>
      <c r="Q401" s="37" t="str">
        <f t="shared" si="4"/>
        <v/>
      </c>
      <c r="R401" s="37" t="str">
        <f t="shared" si="5"/>
        <v/>
      </c>
      <c r="S401" s="32" t="str">
        <f t="shared" si="6"/>
        <v/>
      </c>
      <c r="T401" s="37" t="str">
        <f t="shared" si="7"/>
        <v/>
      </c>
      <c r="U401" s="37" t="str">
        <f t="array" ref="U401">IF($F401="","",IFERROR(INDEX(Config!$F:$F,MATCH($F401,Config!$D:$D,0)),0))</f>
        <v/>
      </c>
    </row>
    <row r="402" ht="15.0" customHeight="1">
      <c r="A402" s="34"/>
      <c r="B402" s="35"/>
      <c r="C402" s="15"/>
      <c r="D402" s="15"/>
      <c r="E402" s="15"/>
      <c r="F402" s="15"/>
      <c r="G402" s="36" t="str">
        <f t="array" ref="G402">IF($F402="","",IFERROR(INDEX(Config!$E:$E,MATCH($F402,Config!$D:$D,0)),0))</f>
        <v/>
      </c>
      <c r="H402" s="16"/>
      <c r="I402" s="36" t="str">
        <f t="shared" si="1"/>
        <v/>
      </c>
      <c r="J402" s="16"/>
      <c r="K402" s="15"/>
      <c r="L402" s="15"/>
      <c r="M402" s="36" t="str">
        <f t="array" ref="M402">IF($A402="","",IF($L402="Atendido",IFERROR($I402*INDEX(Config!$B:$B,MATCH($C402,Config!$A:$A,0)),0),0))</f>
        <v/>
      </c>
      <c r="N402" s="36" t="str">
        <f t="shared" si="2"/>
        <v/>
      </c>
      <c r="O402" s="36" t="str">
        <f t="shared" si="3"/>
        <v/>
      </c>
      <c r="P402" s="15"/>
      <c r="Q402" s="37" t="str">
        <f t="shared" si="4"/>
        <v/>
      </c>
      <c r="R402" s="37" t="str">
        <f t="shared" si="5"/>
        <v/>
      </c>
      <c r="S402" s="32" t="str">
        <f t="shared" si="6"/>
        <v/>
      </c>
      <c r="T402" s="37" t="str">
        <f t="shared" si="7"/>
        <v/>
      </c>
      <c r="U402" s="37" t="str">
        <f t="array" ref="U402">IF($F402="","",IFERROR(INDEX(Config!$F:$F,MATCH($F402,Config!$D:$D,0)),0))</f>
        <v/>
      </c>
    </row>
    <row r="403" ht="15.0" customHeight="1">
      <c r="A403" s="34"/>
      <c r="B403" s="35"/>
      <c r="C403" s="15"/>
      <c r="D403" s="15"/>
      <c r="E403" s="15"/>
      <c r="F403" s="15"/>
      <c r="G403" s="36" t="str">
        <f t="array" ref="G403">IF($F403="","",IFERROR(INDEX(Config!$E:$E,MATCH($F403,Config!$D:$D,0)),0))</f>
        <v/>
      </c>
      <c r="H403" s="16"/>
      <c r="I403" s="36" t="str">
        <f t="shared" si="1"/>
        <v/>
      </c>
      <c r="J403" s="16"/>
      <c r="K403" s="15"/>
      <c r="L403" s="15"/>
      <c r="M403" s="36" t="str">
        <f t="array" ref="M403">IF($A403="","",IF($L403="Atendido",IFERROR($I403*INDEX(Config!$B:$B,MATCH($C403,Config!$A:$A,0)),0),0))</f>
        <v/>
      </c>
      <c r="N403" s="36" t="str">
        <f t="shared" si="2"/>
        <v/>
      </c>
      <c r="O403" s="36" t="str">
        <f t="shared" si="3"/>
        <v/>
      </c>
      <c r="P403" s="15"/>
      <c r="Q403" s="37" t="str">
        <f t="shared" si="4"/>
        <v/>
      </c>
      <c r="R403" s="37" t="str">
        <f t="shared" si="5"/>
        <v/>
      </c>
      <c r="S403" s="32" t="str">
        <f t="shared" si="6"/>
        <v/>
      </c>
      <c r="T403" s="37" t="str">
        <f t="shared" si="7"/>
        <v/>
      </c>
      <c r="U403" s="37" t="str">
        <f t="array" ref="U403">IF($F403="","",IFERROR(INDEX(Config!$F:$F,MATCH($F403,Config!$D:$D,0)),0))</f>
        <v/>
      </c>
    </row>
    <row r="404" ht="15.0" customHeight="1">
      <c r="A404" s="34"/>
      <c r="B404" s="35"/>
      <c r="C404" s="15"/>
      <c r="D404" s="15"/>
      <c r="E404" s="15"/>
      <c r="F404" s="15"/>
      <c r="G404" s="36" t="str">
        <f t="array" ref="G404">IF($F404="","",IFERROR(INDEX(Config!$E:$E,MATCH($F404,Config!$D:$D,0)),0))</f>
        <v/>
      </c>
      <c r="H404" s="16"/>
      <c r="I404" s="36" t="str">
        <f t="shared" si="1"/>
        <v/>
      </c>
      <c r="J404" s="16"/>
      <c r="K404" s="15"/>
      <c r="L404" s="15"/>
      <c r="M404" s="36" t="str">
        <f t="array" ref="M404">IF($A404="","",IF($L404="Atendido",IFERROR($I404*INDEX(Config!$B:$B,MATCH($C404,Config!$A:$A,0)),0),0))</f>
        <v/>
      </c>
      <c r="N404" s="36" t="str">
        <f t="shared" si="2"/>
        <v/>
      </c>
      <c r="O404" s="36" t="str">
        <f t="shared" si="3"/>
        <v/>
      </c>
      <c r="P404" s="15"/>
      <c r="Q404" s="37" t="str">
        <f t="shared" si="4"/>
        <v/>
      </c>
      <c r="R404" s="37" t="str">
        <f t="shared" si="5"/>
        <v/>
      </c>
      <c r="S404" s="32" t="str">
        <f t="shared" si="6"/>
        <v/>
      </c>
      <c r="T404" s="37" t="str">
        <f t="shared" si="7"/>
        <v/>
      </c>
      <c r="U404" s="37" t="str">
        <f t="array" ref="U404">IF($F404="","",IFERROR(INDEX(Config!$F:$F,MATCH($F404,Config!$D:$D,0)),0))</f>
        <v/>
      </c>
    </row>
    <row r="405" ht="15.0" customHeight="1">
      <c r="A405" s="34"/>
      <c r="B405" s="35"/>
      <c r="C405" s="15"/>
      <c r="D405" s="15"/>
      <c r="E405" s="15"/>
      <c r="F405" s="15"/>
      <c r="G405" s="36" t="str">
        <f t="array" ref="G405">IF($F405="","",IFERROR(INDEX(Config!$E:$E,MATCH($F405,Config!$D:$D,0)),0))</f>
        <v/>
      </c>
      <c r="H405" s="16"/>
      <c r="I405" s="36" t="str">
        <f t="shared" si="1"/>
        <v/>
      </c>
      <c r="J405" s="16"/>
      <c r="K405" s="15"/>
      <c r="L405" s="15"/>
      <c r="M405" s="36" t="str">
        <f t="array" ref="M405">IF($A405="","",IF($L405="Atendido",IFERROR($I405*INDEX(Config!$B:$B,MATCH($C405,Config!$A:$A,0)),0),0))</f>
        <v/>
      </c>
      <c r="N405" s="36" t="str">
        <f t="shared" si="2"/>
        <v/>
      </c>
      <c r="O405" s="36" t="str">
        <f t="shared" si="3"/>
        <v/>
      </c>
      <c r="P405" s="15"/>
      <c r="Q405" s="37" t="str">
        <f t="shared" si="4"/>
        <v/>
      </c>
      <c r="R405" s="37" t="str">
        <f t="shared" si="5"/>
        <v/>
      </c>
      <c r="S405" s="32" t="str">
        <f t="shared" si="6"/>
        <v/>
      </c>
      <c r="T405" s="37" t="str">
        <f t="shared" si="7"/>
        <v/>
      </c>
      <c r="U405" s="37" t="str">
        <f t="array" ref="U405">IF($F405="","",IFERROR(INDEX(Config!$F:$F,MATCH($F405,Config!$D:$D,0)),0))</f>
        <v/>
      </c>
    </row>
    <row r="406" ht="15.0" customHeight="1">
      <c r="A406" s="34"/>
      <c r="B406" s="35"/>
      <c r="C406" s="15"/>
      <c r="D406" s="15"/>
      <c r="E406" s="15"/>
      <c r="F406" s="15"/>
      <c r="G406" s="36" t="str">
        <f t="array" ref="G406">IF($F406="","",IFERROR(INDEX(Config!$E:$E,MATCH($F406,Config!$D:$D,0)),0))</f>
        <v/>
      </c>
      <c r="H406" s="16"/>
      <c r="I406" s="36" t="str">
        <f t="shared" si="1"/>
        <v/>
      </c>
      <c r="J406" s="16"/>
      <c r="K406" s="15"/>
      <c r="L406" s="15"/>
      <c r="M406" s="36" t="str">
        <f t="array" ref="M406">IF($A406="","",IF($L406="Atendido",IFERROR($I406*INDEX(Config!$B:$B,MATCH($C406,Config!$A:$A,0)),0),0))</f>
        <v/>
      </c>
      <c r="N406" s="36" t="str">
        <f t="shared" si="2"/>
        <v/>
      </c>
      <c r="O406" s="36" t="str">
        <f t="shared" si="3"/>
        <v/>
      </c>
      <c r="P406" s="15"/>
      <c r="Q406" s="37" t="str">
        <f t="shared" si="4"/>
        <v/>
      </c>
      <c r="R406" s="37" t="str">
        <f t="shared" si="5"/>
        <v/>
      </c>
      <c r="S406" s="32" t="str">
        <f t="shared" si="6"/>
        <v/>
      </c>
      <c r="T406" s="37" t="str">
        <f t="shared" si="7"/>
        <v/>
      </c>
      <c r="U406" s="37" t="str">
        <f t="array" ref="U406">IF($F406="","",IFERROR(INDEX(Config!$F:$F,MATCH($F406,Config!$D:$D,0)),0))</f>
        <v/>
      </c>
    </row>
    <row r="407" ht="15.0" customHeight="1">
      <c r="A407" s="34"/>
      <c r="B407" s="35"/>
      <c r="C407" s="15"/>
      <c r="D407" s="15"/>
      <c r="E407" s="15"/>
      <c r="F407" s="15"/>
      <c r="G407" s="36" t="str">
        <f t="array" ref="G407">IF($F407="","",IFERROR(INDEX(Config!$E:$E,MATCH($F407,Config!$D:$D,0)),0))</f>
        <v/>
      </c>
      <c r="H407" s="16"/>
      <c r="I407" s="36" t="str">
        <f t="shared" si="1"/>
        <v/>
      </c>
      <c r="J407" s="16"/>
      <c r="K407" s="15"/>
      <c r="L407" s="15"/>
      <c r="M407" s="36" t="str">
        <f t="array" ref="M407">IF($A407="","",IF($L407="Atendido",IFERROR($I407*INDEX(Config!$B:$B,MATCH($C407,Config!$A:$A,0)),0),0))</f>
        <v/>
      </c>
      <c r="N407" s="36" t="str">
        <f t="shared" si="2"/>
        <v/>
      </c>
      <c r="O407" s="36" t="str">
        <f t="shared" si="3"/>
        <v/>
      </c>
      <c r="P407" s="15"/>
      <c r="Q407" s="37" t="str">
        <f t="shared" si="4"/>
        <v/>
      </c>
      <c r="R407" s="37" t="str">
        <f t="shared" si="5"/>
        <v/>
      </c>
      <c r="S407" s="32" t="str">
        <f t="shared" si="6"/>
        <v/>
      </c>
      <c r="T407" s="37" t="str">
        <f t="shared" si="7"/>
        <v/>
      </c>
      <c r="U407" s="37" t="str">
        <f t="array" ref="U407">IF($F407="","",IFERROR(INDEX(Config!$F:$F,MATCH($F407,Config!$D:$D,0)),0))</f>
        <v/>
      </c>
    </row>
    <row r="408" ht="15.0" customHeight="1">
      <c r="A408" s="34"/>
      <c r="B408" s="35"/>
      <c r="C408" s="15"/>
      <c r="D408" s="15"/>
      <c r="E408" s="15"/>
      <c r="F408" s="15"/>
      <c r="G408" s="36" t="str">
        <f t="array" ref="G408">IF($F408="","",IFERROR(INDEX(Config!$E:$E,MATCH($F408,Config!$D:$D,0)),0))</f>
        <v/>
      </c>
      <c r="H408" s="16"/>
      <c r="I408" s="36" t="str">
        <f t="shared" si="1"/>
        <v/>
      </c>
      <c r="J408" s="16"/>
      <c r="K408" s="15"/>
      <c r="L408" s="15"/>
      <c r="M408" s="36" t="str">
        <f t="array" ref="M408">IF($A408="","",IF($L408="Atendido",IFERROR($I408*INDEX(Config!$B:$B,MATCH($C408,Config!$A:$A,0)),0),0))</f>
        <v/>
      </c>
      <c r="N408" s="36" t="str">
        <f t="shared" si="2"/>
        <v/>
      </c>
      <c r="O408" s="36" t="str">
        <f t="shared" si="3"/>
        <v/>
      </c>
      <c r="P408" s="15"/>
      <c r="Q408" s="37" t="str">
        <f t="shared" si="4"/>
        <v/>
      </c>
      <c r="R408" s="37" t="str">
        <f t="shared" si="5"/>
        <v/>
      </c>
      <c r="S408" s="32" t="str">
        <f t="shared" si="6"/>
        <v/>
      </c>
      <c r="T408" s="37" t="str">
        <f t="shared" si="7"/>
        <v/>
      </c>
      <c r="U408" s="37" t="str">
        <f t="array" ref="U408">IF($F408="","",IFERROR(INDEX(Config!$F:$F,MATCH($F408,Config!$D:$D,0)),0))</f>
        <v/>
      </c>
    </row>
    <row r="409" ht="15.0" customHeight="1">
      <c r="A409" s="34"/>
      <c r="B409" s="35"/>
      <c r="C409" s="15"/>
      <c r="D409" s="15"/>
      <c r="E409" s="15"/>
      <c r="F409" s="15"/>
      <c r="G409" s="36" t="str">
        <f t="array" ref="G409">IF($F409="","",IFERROR(INDEX(Config!$E:$E,MATCH($F409,Config!$D:$D,0)),0))</f>
        <v/>
      </c>
      <c r="H409" s="16"/>
      <c r="I409" s="36" t="str">
        <f t="shared" si="1"/>
        <v/>
      </c>
      <c r="J409" s="16"/>
      <c r="K409" s="15"/>
      <c r="L409" s="15"/>
      <c r="M409" s="36" t="str">
        <f t="array" ref="M409">IF($A409="","",IF($L409="Atendido",IFERROR($I409*INDEX(Config!$B:$B,MATCH($C409,Config!$A:$A,0)),0),0))</f>
        <v/>
      </c>
      <c r="N409" s="36" t="str">
        <f t="shared" si="2"/>
        <v/>
      </c>
      <c r="O409" s="36" t="str">
        <f t="shared" si="3"/>
        <v/>
      </c>
      <c r="P409" s="15"/>
      <c r="Q409" s="37" t="str">
        <f t="shared" si="4"/>
        <v/>
      </c>
      <c r="R409" s="37" t="str">
        <f t="shared" si="5"/>
        <v/>
      </c>
      <c r="S409" s="32" t="str">
        <f t="shared" si="6"/>
        <v/>
      </c>
      <c r="T409" s="37" t="str">
        <f t="shared" si="7"/>
        <v/>
      </c>
      <c r="U409" s="37" t="str">
        <f t="array" ref="U409">IF($F409="","",IFERROR(INDEX(Config!$F:$F,MATCH($F409,Config!$D:$D,0)),0))</f>
        <v/>
      </c>
    </row>
    <row r="410" ht="15.0" customHeight="1">
      <c r="A410" s="34"/>
      <c r="B410" s="35"/>
      <c r="C410" s="15"/>
      <c r="D410" s="15"/>
      <c r="E410" s="15"/>
      <c r="F410" s="15"/>
      <c r="G410" s="36" t="str">
        <f t="array" ref="G410">IF($F410="","",IFERROR(INDEX(Config!$E:$E,MATCH($F410,Config!$D:$D,0)),0))</f>
        <v/>
      </c>
      <c r="H410" s="16"/>
      <c r="I410" s="36" t="str">
        <f t="shared" si="1"/>
        <v/>
      </c>
      <c r="J410" s="16"/>
      <c r="K410" s="15"/>
      <c r="L410" s="15"/>
      <c r="M410" s="36" t="str">
        <f t="array" ref="M410">IF($A410="","",IF($L410="Atendido",IFERROR($I410*INDEX(Config!$B:$B,MATCH($C410,Config!$A:$A,0)),0),0))</f>
        <v/>
      </c>
      <c r="N410" s="36" t="str">
        <f t="shared" si="2"/>
        <v/>
      </c>
      <c r="O410" s="36" t="str">
        <f t="shared" si="3"/>
        <v/>
      </c>
      <c r="P410" s="15"/>
      <c r="Q410" s="37" t="str">
        <f t="shared" si="4"/>
        <v/>
      </c>
      <c r="R410" s="37" t="str">
        <f t="shared" si="5"/>
        <v/>
      </c>
      <c r="S410" s="32" t="str">
        <f t="shared" si="6"/>
        <v/>
      </c>
      <c r="T410" s="37" t="str">
        <f t="shared" si="7"/>
        <v/>
      </c>
      <c r="U410" s="37" t="str">
        <f t="array" ref="U410">IF($F410="","",IFERROR(INDEX(Config!$F:$F,MATCH($F410,Config!$D:$D,0)),0))</f>
        <v/>
      </c>
    </row>
    <row r="411" ht="15.0" customHeight="1">
      <c r="A411" s="34"/>
      <c r="B411" s="35"/>
      <c r="C411" s="15"/>
      <c r="D411" s="15"/>
      <c r="E411" s="15"/>
      <c r="F411" s="15"/>
      <c r="G411" s="36" t="str">
        <f t="array" ref="G411">IF($F411="","",IFERROR(INDEX(Config!$E:$E,MATCH($F411,Config!$D:$D,0)),0))</f>
        <v/>
      </c>
      <c r="H411" s="16"/>
      <c r="I411" s="36" t="str">
        <f t="shared" si="1"/>
        <v/>
      </c>
      <c r="J411" s="16"/>
      <c r="K411" s="15"/>
      <c r="L411" s="15"/>
      <c r="M411" s="36" t="str">
        <f t="array" ref="M411">IF($A411="","",IF($L411="Atendido",IFERROR($I411*INDEX(Config!$B:$B,MATCH($C411,Config!$A:$A,0)),0),0))</f>
        <v/>
      </c>
      <c r="N411" s="36" t="str">
        <f t="shared" si="2"/>
        <v/>
      </c>
      <c r="O411" s="36" t="str">
        <f t="shared" si="3"/>
        <v/>
      </c>
      <c r="P411" s="15"/>
      <c r="Q411" s="37" t="str">
        <f t="shared" si="4"/>
        <v/>
      </c>
      <c r="R411" s="37" t="str">
        <f t="shared" si="5"/>
        <v/>
      </c>
      <c r="S411" s="32" t="str">
        <f t="shared" si="6"/>
        <v/>
      </c>
      <c r="T411" s="37" t="str">
        <f t="shared" si="7"/>
        <v/>
      </c>
      <c r="U411" s="37" t="str">
        <f t="array" ref="U411">IF($F411="","",IFERROR(INDEX(Config!$F:$F,MATCH($F411,Config!$D:$D,0)),0))</f>
        <v/>
      </c>
    </row>
    <row r="412" ht="15.0" customHeight="1">
      <c r="A412" s="34"/>
      <c r="B412" s="35"/>
      <c r="C412" s="15"/>
      <c r="D412" s="15"/>
      <c r="E412" s="15"/>
      <c r="F412" s="15"/>
      <c r="G412" s="36" t="str">
        <f t="array" ref="G412">IF($F412="","",IFERROR(INDEX(Config!$E:$E,MATCH($F412,Config!$D:$D,0)),0))</f>
        <v/>
      </c>
      <c r="H412" s="16"/>
      <c r="I412" s="36" t="str">
        <f t="shared" si="1"/>
        <v/>
      </c>
      <c r="J412" s="16"/>
      <c r="K412" s="15"/>
      <c r="L412" s="15"/>
      <c r="M412" s="36" t="str">
        <f t="array" ref="M412">IF($A412="","",IF($L412="Atendido",IFERROR($I412*INDEX(Config!$B:$B,MATCH($C412,Config!$A:$A,0)),0),0))</f>
        <v/>
      </c>
      <c r="N412" s="36" t="str">
        <f t="shared" si="2"/>
        <v/>
      </c>
      <c r="O412" s="36" t="str">
        <f t="shared" si="3"/>
        <v/>
      </c>
      <c r="P412" s="15"/>
      <c r="Q412" s="37" t="str">
        <f t="shared" si="4"/>
        <v/>
      </c>
      <c r="R412" s="37" t="str">
        <f t="shared" si="5"/>
        <v/>
      </c>
      <c r="S412" s="32" t="str">
        <f t="shared" si="6"/>
        <v/>
      </c>
      <c r="T412" s="37" t="str">
        <f t="shared" si="7"/>
        <v/>
      </c>
      <c r="U412" s="37" t="str">
        <f t="array" ref="U412">IF($F412="","",IFERROR(INDEX(Config!$F:$F,MATCH($F412,Config!$D:$D,0)),0))</f>
        <v/>
      </c>
    </row>
    <row r="413" ht="15.0" customHeight="1">
      <c r="A413" s="34"/>
      <c r="B413" s="35"/>
      <c r="C413" s="15"/>
      <c r="D413" s="15"/>
      <c r="E413" s="15"/>
      <c r="F413" s="15"/>
      <c r="G413" s="36" t="str">
        <f t="array" ref="G413">IF($F413="","",IFERROR(INDEX(Config!$E:$E,MATCH($F413,Config!$D:$D,0)),0))</f>
        <v/>
      </c>
      <c r="H413" s="16"/>
      <c r="I413" s="36" t="str">
        <f t="shared" si="1"/>
        <v/>
      </c>
      <c r="J413" s="16"/>
      <c r="K413" s="15"/>
      <c r="L413" s="15"/>
      <c r="M413" s="36" t="str">
        <f t="array" ref="M413">IF($A413="","",IF($L413="Atendido",IFERROR($I413*INDEX(Config!$B:$B,MATCH($C413,Config!$A:$A,0)),0),0))</f>
        <v/>
      </c>
      <c r="N413" s="36" t="str">
        <f t="shared" si="2"/>
        <v/>
      </c>
      <c r="O413" s="36" t="str">
        <f t="shared" si="3"/>
        <v/>
      </c>
      <c r="P413" s="15"/>
      <c r="Q413" s="37" t="str">
        <f t="shared" si="4"/>
        <v/>
      </c>
      <c r="R413" s="37" t="str">
        <f t="shared" si="5"/>
        <v/>
      </c>
      <c r="S413" s="32" t="str">
        <f t="shared" si="6"/>
        <v/>
      </c>
      <c r="T413" s="37" t="str">
        <f t="shared" si="7"/>
        <v/>
      </c>
      <c r="U413" s="37" t="str">
        <f t="array" ref="U413">IF($F413="","",IFERROR(INDEX(Config!$F:$F,MATCH($F413,Config!$D:$D,0)),0))</f>
        <v/>
      </c>
    </row>
    <row r="414" ht="15.0" customHeight="1">
      <c r="A414" s="34"/>
      <c r="B414" s="35"/>
      <c r="C414" s="15"/>
      <c r="D414" s="15"/>
      <c r="E414" s="15"/>
      <c r="F414" s="15"/>
      <c r="G414" s="36" t="str">
        <f t="array" ref="G414">IF($F414="","",IFERROR(INDEX(Config!$E:$E,MATCH($F414,Config!$D:$D,0)),0))</f>
        <v/>
      </c>
      <c r="H414" s="16"/>
      <c r="I414" s="36" t="str">
        <f t="shared" si="1"/>
        <v/>
      </c>
      <c r="J414" s="16"/>
      <c r="K414" s="15"/>
      <c r="L414" s="15"/>
      <c r="M414" s="36" t="str">
        <f t="array" ref="M414">IF($A414="","",IF($L414="Atendido",IFERROR($I414*INDEX(Config!$B:$B,MATCH($C414,Config!$A:$A,0)),0),0))</f>
        <v/>
      </c>
      <c r="N414" s="36" t="str">
        <f t="shared" si="2"/>
        <v/>
      </c>
      <c r="O414" s="36" t="str">
        <f t="shared" si="3"/>
        <v/>
      </c>
      <c r="P414" s="15"/>
      <c r="Q414" s="37" t="str">
        <f t="shared" si="4"/>
        <v/>
      </c>
      <c r="R414" s="37" t="str">
        <f t="shared" si="5"/>
        <v/>
      </c>
      <c r="S414" s="32" t="str">
        <f t="shared" si="6"/>
        <v/>
      </c>
      <c r="T414" s="37" t="str">
        <f t="shared" si="7"/>
        <v/>
      </c>
      <c r="U414" s="37" t="str">
        <f t="array" ref="U414">IF($F414="","",IFERROR(INDEX(Config!$F:$F,MATCH($F414,Config!$D:$D,0)),0))</f>
        <v/>
      </c>
    </row>
    <row r="415" ht="15.0" customHeight="1">
      <c r="A415" s="34"/>
      <c r="B415" s="35"/>
      <c r="C415" s="15"/>
      <c r="D415" s="15"/>
      <c r="E415" s="15"/>
      <c r="F415" s="15"/>
      <c r="G415" s="36" t="str">
        <f t="array" ref="G415">IF($F415="","",IFERROR(INDEX(Config!$E:$E,MATCH($F415,Config!$D:$D,0)),0))</f>
        <v/>
      </c>
      <c r="H415" s="16"/>
      <c r="I415" s="36" t="str">
        <f t="shared" si="1"/>
        <v/>
      </c>
      <c r="J415" s="16"/>
      <c r="K415" s="15"/>
      <c r="L415" s="15"/>
      <c r="M415" s="36" t="str">
        <f t="array" ref="M415">IF($A415="","",IF($L415="Atendido",IFERROR($I415*INDEX(Config!$B:$B,MATCH($C415,Config!$A:$A,0)),0),0))</f>
        <v/>
      </c>
      <c r="N415" s="36" t="str">
        <f t="shared" si="2"/>
        <v/>
      </c>
      <c r="O415" s="36" t="str">
        <f t="shared" si="3"/>
        <v/>
      </c>
      <c r="P415" s="15"/>
      <c r="Q415" s="37" t="str">
        <f t="shared" si="4"/>
        <v/>
      </c>
      <c r="R415" s="37" t="str">
        <f t="shared" si="5"/>
        <v/>
      </c>
      <c r="S415" s="32" t="str">
        <f t="shared" si="6"/>
        <v/>
      </c>
      <c r="T415" s="37" t="str">
        <f t="shared" si="7"/>
        <v/>
      </c>
      <c r="U415" s="37" t="str">
        <f t="array" ref="U415">IF($F415="","",IFERROR(INDEX(Config!$F:$F,MATCH($F415,Config!$D:$D,0)),0))</f>
        <v/>
      </c>
    </row>
    <row r="416" ht="15.0" customHeight="1">
      <c r="A416" s="34"/>
      <c r="B416" s="35"/>
      <c r="C416" s="15"/>
      <c r="D416" s="15"/>
      <c r="E416" s="15"/>
      <c r="F416" s="15"/>
      <c r="G416" s="36" t="str">
        <f t="array" ref="G416">IF($F416="","",IFERROR(INDEX(Config!$E:$E,MATCH($F416,Config!$D:$D,0)),0))</f>
        <v/>
      </c>
      <c r="H416" s="16"/>
      <c r="I416" s="36" t="str">
        <f t="shared" si="1"/>
        <v/>
      </c>
      <c r="J416" s="16"/>
      <c r="K416" s="15"/>
      <c r="L416" s="15"/>
      <c r="M416" s="36" t="str">
        <f t="array" ref="M416">IF($A416="","",IF($L416="Atendido",IFERROR($I416*INDEX(Config!$B:$B,MATCH($C416,Config!$A:$A,0)),0),0))</f>
        <v/>
      </c>
      <c r="N416" s="36" t="str">
        <f t="shared" si="2"/>
        <v/>
      </c>
      <c r="O416" s="36" t="str">
        <f t="shared" si="3"/>
        <v/>
      </c>
      <c r="P416" s="15"/>
      <c r="Q416" s="37" t="str">
        <f t="shared" si="4"/>
        <v/>
      </c>
      <c r="R416" s="37" t="str">
        <f t="shared" si="5"/>
        <v/>
      </c>
      <c r="S416" s="32" t="str">
        <f t="shared" si="6"/>
        <v/>
      </c>
      <c r="T416" s="37" t="str">
        <f t="shared" si="7"/>
        <v/>
      </c>
      <c r="U416" s="37" t="str">
        <f t="array" ref="U416">IF($F416="","",IFERROR(INDEX(Config!$F:$F,MATCH($F416,Config!$D:$D,0)),0))</f>
        <v/>
      </c>
    </row>
    <row r="417" ht="15.0" customHeight="1">
      <c r="A417" s="34"/>
      <c r="B417" s="35"/>
      <c r="C417" s="15"/>
      <c r="D417" s="15"/>
      <c r="E417" s="15"/>
      <c r="F417" s="15"/>
      <c r="G417" s="36" t="str">
        <f t="array" ref="G417">IF($F417="","",IFERROR(INDEX(Config!$E:$E,MATCH($F417,Config!$D:$D,0)),0))</f>
        <v/>
      </c>
      <c r="H417" s="16"/>
      <c r="I417" s="36" t="str">
        <f t="shared" si="1"/>
        <v/>
      </c>
      <c r="J417" s="16"/>
      <c r="K417" s="15"/>
      <c r="L417" s="15"/>
      <c r="M417" s="36" t="str">
        <f t="array" ref="M417">IF($A417="","",IF($L417="Atendido",IFERROR($I417*INDEX(Config!$B:$B,MATCH($C417,Config!$A:$A,0)),0),0))</f>
        <v/>
      </c>
      <c r="N417" s="36" t="str">
        <f t="shared" si="2"/>
        <v/>
      </c>
      <c r="O417" s="36" t="str">
        <f t="shared" si="3"/>
        <v/>
      </c>
      <c r="P417" s="15"/>
      <c r="Q417" s="37" t="str">
        <f t="shared" si="4"/>
        <v/>
      </c>
      <c r="R417" s="37" t="str">
        <f t="shared" si="5"/>
        <v/>
      </c>
      <c r="S417" s="32" t="str">
        <f t="shared" si="6"/>
        <v/>
      </c>
      <c r="T417" s="37" t="str">
        <f t="shared" si="7"/>
        <v/>
      </c>
      <c r="U417" s="37" t="str">
        <f t="array" ref="U417">IF($F417="","",IFERROR(INDEX(Config!$F:$F,MATCH($F417,Config!$D:$D,0)),0))</f>
        <v/>
      </c>
    </row>
    <row r="418" ht="15.0" customHeight="1">
      <c r="A418" s="34"/>
      <c r="B418" s="35"/>
      <c r="C418" s="15"/>
      <c r="D418" s="15"/>
      <c r="E418" s="15"/>
      <c r="F418" s="15"/>
      <c r="G418" s="36" t="str">
        <f t="array" ref="G418">IF($F418="","",IFERROR(INDEX(Config!$E:$E,MATCH($F418,Config!$D:$D,0)),0))</f>
        <v/>
      </c>
      <c r="H418" s="16"/>
      <c r="I418" s="36" t="str">
        <f t="shared" si="1"/>
        <v/>
      </c>
      <c r="J418" s="16"/>
      <c r="K418" s="15"/>
      <c r="L418" s="15"/>
      <c r="M418" s="36" t="str">
        <f t="array" ref="M418">IF($A418="","",IF($L418="Atendido",IFERROR($I418*INDEX(Config!$B:$B,MATCH($C418,Config!$A:$A,0)),0),0))</f>
        <v/>
      </c>
      <c r="N418" s="36" t="str">
        <f t="shared" si="2"/>
        <v/>
      </c>
      <c r="O418" s="36" t="str">
        <f t="shared" si="3"/>
        <v/>
      </c>
      <c r="P418" s="15"/>
      <c r="Q418" s="37" t="str">
        <f t="shared" si="4"/>
        <v/>
      </c>
      <c r="R418" s="37" t="str">
        <f t="shared" si="5"/>
        <v/>
      </c>
      <c r="S418" s="32" t="str">
        <f t="shared" si="6"/>
        <v/>
      </c>
      <c r="T418" s="37" t="str">
        <f t="shared" si="7"/>
        <v/>
      </c>
      <c r="U418" s="37" t="str">
        <f t="array" ref="U418">IF($F418="","",IFERROR(INDEX(Config!$F:$F,MATCH($F418,Config!$D:$D,0)),0))</f>
        <v/>
      </c>
    </row>
    <row r="419" ht="15.0" customHeight="1">
      <c r="A419" s="34"/>
      <c r="B419" s="35"/>
      <c r="C419" s="15"/>
      <c r="D419" s="15"/>
      <c r="E419" s="15"/>
      <c r="F419" s="15"/>
      <c r="G419" s="36" t="str">
        <f t="array" ref="G419">IF($F419="","",IFERROR(INDEX(Config!$E:$E,MATCH($F419,Config!$D:$D,0)),0))</f>
        <v/>
      </c>
      <c r="H419" s="16"/>
      <c r="I419" s="36" t="str">
        <f t="shared" si="1"/>
        <v/>
      </c>
      <c r="J419" s="16"/>
      <c r="K419" s="15"/>
      <c r="L419" s="15"/>
      <c r="M419" s="36" t="str">
        <f t="array" ref="M419">IF($A419="","",IF($L419="Atendido",IFERROR($I419*INDEX(Config!$B:$B,MATCH($C419,Config!$A:$A,0)),0),0))</f>
        <v/>
      </c>
      <c r="N419" s="36" t="str">
        <f t="shared" si="2"/>
        <v/>
      </c>
      <c r="O419" s="36" t="str">
        <f t="shared" si="3"/>
        <v/>
      </c>
      <c r="P419" s="15"/>
      <c r="Q419" s="37" t="str">
        <f t="shared" si="4"/>
        <v/>
      </c>
      <c r="R419" s="37" t="str">
        <f t="shared" si="5"/>
        <v/>
      </c>
      <c r="S419" s="32" t="str">
        <f t="shared" si="6"/>
        <v/>
      </c>
      <c r="T419" s="37" t="str">
        <f t="shared" si="7"/>
        <v/>
      </c>
      <c r="U419" s="37" t="str">
        <f t="array" ref="U419">IF($F419="","",IFERROR(INDEX(Config!$F:$F,MATCH($F419,Config!$D:$D,0)),0))</f>
        <v/>
      </c>
    </row>
    <row r="420" ht="15.0" customHeight="1">
      <c r="A420" s="34"/>
      <c r="B420" s="35"/>
      <c r="C420" s="15"/>
      <c r="D420" s="15"/>
      <c r="E420" s="15"/>
      <c r="F420" s="15"/>
      <c r="G420" s="36" t="str">
        <f t="array" ref="G420">IF($F420="","",IFERROR(INDEX(Config!$E:$E,MATCH($F420,Config!$D:$D,0)),0))</f>
        <v/>
      </c>
      <c r="H420" s="16"/>
      <c r="I420" s="36" t="str">
        <f t="shared" si="1"/>
        <v/>
      </c>
      <c r="J420" s="16"/>
      <c r="K420" s="15"/>
      <c r="L420" s="15"/>
      <c r="M420" s="36" t="str">
        <f t="array" ref="M420">IF($A420="","",IF($L420="Atendido",IFERROR($I420*INDEX(Config!$B:$B,MATCH($C420,Config!$A:$A,0)),0),0))</f>
        <v/>
      </c>
      <c r="N420" s="36" t="str">
        <f t="shared" si="2"/>
        <v/>
      </c>
      <c r="O420" s="36" t="str">
        <f t="shared" si="3"/>
        <v/>
      </c>
      <c r="P420" s="15"/>
      <c r="Q420" s="37" t="str">
        <f t="shared" si="4"/>
        <v/>
      </c>
      <c r="R420" s="37" t="str">
        <f t="shared" si="5"/>
        <v/>
      </c>
      <c r="S420" s="32" t="str">
        <f t="shared" si="6"/>
        <v/>
      </c>
      <c r="T420" s="37" t="str">
        <f t="shared" si="7"/>
        <v/>
      </c>
      <c r="U420" s="37" t="str">
        <f t="array" ref="U420">IF($F420="","",IFERROR(INDEX(Config!$F:$F,MATCH($F420,Config!$D:$D,0)),0))</f>
        <v/>
      </c>
    </row>
    <row r="421" ht="15.0" customHeight="1">
      <c r="A421" s="34"/>
      <c r="B421" s="35"/>
      <c r="C421" s="15"/>
      <c r="D421" s="15"/>
      <c r="E421" s="15"/>
      <c r="F421" s="15"/>
      <c r="G421" s="36" t="str">
        <f t="array" ref="G421">IF($F421="","",IFERROR(INDEX(Config!$E:$E,MATCH($F421,Config!$D:$D,0)),0))</f>
        <v/>
      </c>
      <c r="H421" s="16"/>
      <c r="I421" s="36" t="str">
        <f t="shared" si="1"/>
        <v/>
      </c>
      <c r="J421" s="16"/>
      <c r="K421" s="15"/>
      <c r="L421" s="15"/>
      <c r="M421" s="36" t="str">
        <f t="array" ref="M421">IF($A421="","",IF($L421="Atendido",IFERROR($I421*INDEX(Config!$B:$B,MATCH($C421,Config!$A:$A,0)),0),0))</f>
        <v/>
      </c>
      <c r="N421" s="36" t="str">
        <f t="shared" si="2"/>
        <v/>
      </c>
      <c r="O421" s="36" t="str">
        <f t="shared" si="3"/>
        <v/>
      </c>
      <c r="P421" s="15"/>
      <c r="Q421" s="37" t="str">
        <f t="shared" si="4"/>
        <v/>
      </c>
      <c r="R421" s="37" t="str">
        <f t="shared" si="5"/>
        <v/>
      </c>
      <c r="S421" s="32" t="str">
        <f t="shared" si="6"/>
        <v/>
      </c>
      <c r="T421" s="37" t="str">
        <f t="shared" si="7"/>
        <v/>
      </c>
      <c r="U421" s="37" t="str">
        <f t="array" ref="U421">IF($F421="","",IFERROR(INDEX(Config!$F:$F,MATCH($F421,Config!$D:$D,0)),0))</f>
        <v/>
      </c>
    </row>
    <row r="422" ht="15.0" customHeight="1">
      <c r="A422" s="34"/>
      <c r="B422" s="35"/>
      <c r="C422" s="15"/>
      <c r="D422" s="15"/>
      <c r="E422" s="15"/>
      <c r="F422" s="15"/>
      <c r="G422" s="36" t="str">
        <f t="array" ref="G422">IF($F422="","",IFERROR(INDEX(Config!$E:$E,MATCH($F422,Config!$D:$D,0)),0))</f>
        <v/>
      </c>
      <c r="H422" s="16"/>
      <c r="I422" s="36" t="str">
        <f t="shared" si="1"/>
        <v/>
      </c>
      <c r="J422" s="16"/>
      <c r="K422" s="15"/>
      <c r="L422" s="15"/>
      <c r="M422" s="36" t="str">
        <f t="array" ref="M422">IF($A422="","",IF($L422="Atendido",IFERROR($I422*INDEX(Config!$B:$B,MATCH($C422,Config!$A:$A,0)),0),0))</f>
        <v/>
      </c>
      <c r="N422" s="36" t="str">
        <f t="shared" si="2"/>
        <v/>
      </c>
      <c r="O422" s="36" t="str">
        <f t="shared" si="3"/>
        <v/>
      </c>
      <c r="P422" s="15"/>
      <c r="Q422" s="37" t="str">
        <f t="shared" si="4"/>
        <v/>
      </c>
      <c r="R422" s="37" t="str">
        <f t="shared" si="5"/>
        <v/>
      </c>
      <c r="S422" s="32" t="str">
        <f t="shared" si="6"/>
        <v/>
      </c>
      <c r="T422" s="37" t="str">
        <f t="shared" si="7"/>
        <v/>
      </c>
      <c r="U422" s="37" t="str">
        <f t="array" ref="U422">IF($F422="","",IFERROR(INDEX(Config!$F:$F,MATCH($F422,Config!$D:$D,0)),0))</f>
        <v/>
      </c>
    </row>
    <row r="423" ht="15.0" customHeight="1">
      <c r="A423" s="34"/>
      <c r="B423" s="35"/>
      <c r="C423" s="15"/>
      <c r="D423" s="15"/>
      <c r="E423" s="15"/>
      <c r="F423" s="15"/>
      <c r="G423" s="36" t="str">
        <f t="array" ref="G423">IF($F423="","",IFERROR(INDEX(Config!$E:$E,MATCH($F423,Config!$D:$D,0)),0))</f>
        <v/>
      </c>
      <c r="H423" s="16"/>
      <c r="I423" s="36" t="str">
        <f t="shared" si="1"/>
        <v/>
      </c>
      <c r="J423" s="16"/>
      <c r="K423" s="15"/>
      <c r="L423" s="15"/>
      <c r="M423" s="36" t="str">
        <f t="array" ref="M423">IF($A423="","",IF($L423="Atendido",IFERROR($I423*INDEX(Config!$B:$B,MATCH($C423,Config!$A:$A,0)),0),0))</f>
        <v/>
      </c>
      <c r="N423" s="36" t="str">
        <f t="shared" si="2"/>
        <v/>
      </c>
      <c r="O423" s="36" t="str">
        <f t="shared" si="3"/>
        <v/>
      </c>
      <c r="P423" s="15"/>
      <c r="Q423" s="37" t="str">
        <f t="shared" si="4"/>
        <v/>
      </c>
      <c r="R423" s="37" t="str">
        <f t="shared" si="5"/>
        <v/>
      </c>
      <c r="S423" s="32" t="str">
        <f t="shared" si="6"/>
        <v/>
      </c>
      <c r="T423" s="37" t="str">
        <f t="shared" si="7"/>
        <v/>
      </c>
      <c r="U423" s="37" t="str">
        <f t="array" ref="U423">IF($F423="","",IFERROR(INDEX(Config!$F:$F,MATCH($F423,Config!$D:$D,0)),0))</f>
        <v/>
      </c>
    </row>
    <row r="424" ht="15.0" customHeight="1">
      <c r="A424" s="34"/>
      <c r="B424" s="35"/>
      <c r="C424" s="15"/>
      <c r="D424" s="15"/>
      <c r="E424" s="15"/>
      <c r="F424" s="15"/>
      <c r="G424" s="36" t="str">
        <f t="array" ref="G424">IF($F424="","",IFERROR(INDEX(Config!$E:$E,MATCH($F424,Config!$D:$D,0)),0))</f>
        <v/>
      </c>
      <c r="H424" s="16"/>
      <c r="I424" s="36" t="str">
        <f t="shared" si="1"/>
        <v/>
      </c>
      <c r="J424" s="16"/>
      <c r="K424" s="15"/>
      <c r="L424" s="15"/>
      <c r="M424" s="36" t="str">
        <f t="array" ref="M424">IF($A424="","",IF($L424="Atendido",IFERROR($I424*INDEX(Config!$B:$B,MATCH($C424,Config!$A:$A,0)),0),0))</f>
        <v/>
      </c>
      <c r="N424" s="36" t="str">
        <f t="shared" si="2"/>
        <v/>
      </c>
      <c r="O424" s="36" t="str">
        <f t="shared" si="3"/>
        <v/>
      </c>
      <c r="P424" s="15"/>
      <c r="Q424" s="37" t="str">
        <f t="shared" si="4"/>
        <v/>
      </c>
      <c r="R424" s="37" t="str">
        <f t="shared" si="5"/>
        <v/>
      </c>
      <c r="S424" s="32" t="str">
        <f t="shared" si="6"/>
        <v/>
      </c>
      <c r="T424" s="37" t="str">
        <f t="shared" si="7"/>
        <v/>
      </c>
      <c r="U424" s="37" t="str">
        <f t="array" ref="U424">IF($F424="","",IFERROR(INDEX(Config!$F:$F,MATCH($F424,Config!$D:$D,0)),0))</f>
        <v/>
      </c>
    </row>
    <row r="425" ht="15.0" customHeight="1">
      <c r="A425" s="34"/>
      <c r="B425" s="35"/>
      <c r="C425" s="15"/>
      <c r="D425" s="15"/>
      <c r="E425" s="15"/>
      <c r="F425" s="15"/>
      <c r="G425" s="36" t="str">
        <f t="array" ref="G425">IF($F425="","",IFERROR(INDEX(Config!$E:$E,MATCH($F425,Config!$D:$D,0)),0))</f>
        <v/>
      </c>
      <c r="H425" s="16"/>
      <c r="I425" s="36" t="str">
        <f t="shared" si="1"/>
        <v/>
      </c>
      <c r="J425" s="16"/>
      <c r="K425" s="15"/>
      <c r="L425" s="15"/>
      <c r="M425" s="36" t="str">
        <f t="array" ref="M425">IF($A425="","",IF($L425="Atendido",IFERROR($I425*INDEX(Config!$B:$B,MATCH($C425,Config!$A:$A,0)),0),0))</f>
        <v/>
      </c>
      <c r="N425" s="36" t="str">
        <f t="shared" si="2"/>
        <v/>
      </c>
      <c r="O425" s="36" t="str">
        <f t="shared" si="3"/>
        <v/>
      </c>
      <c r="P425" s="15"/>
      <c r="Q425" s="37" t="str">
        <f t="shared" si="4"/>
        <v/>
      </c>
      <c r="R425" s="37" t="str">
        <f t="shared" si="5"/>
        <v/>
      </c>
      <c r="S425" s="32" t="str">
        <f t="shared" si="6"/>
        <v/>
      </c>
      <c r="T425" s="37" t="str">
        <f t="shared" si="7"/>
        <v/>
      </c>
      <c r="U425" s="37" t="str">
        <f t="array" ref="U425">IF($F425="","",IFERROR(INDEX(Config!$F:$F,MATCH($F425,Config!$D:$D,0)),0))</f>
        <v/>
      </c>
    </row>
    <row r="426" ht="15.0" customHeight="1">
      <c r="A426" s="34"/>
      <c r="B426" s="35"/>
      <c r="C426" s="15"/>
      <c r="D426" s="15"/>
      <c r="E426" s="15"/>
      <c r="F426" s="15"/>
      <c r="G426" s="36" t="str">
        <f t="array" ref="G426">IF($F426="","",IFERROR(INDEX(Config!$E:$E,MATCH($F426,Config!$D:$D,0)),0))</f>
        <v/>
      </c>
      <c r="H426" s="16"/>
      <c r="I426" s="36" t="str">
        <f t="shared" si="1"/>
        <v/>
      </c>
      <c r="J426" s="16"/>
      <c r="K426" s="15"/>
      <c r="L426" s="15"/>
      <c r="M426" s="36" t="str">
        <f t="array" ref="M426">IF($A426="","",IF($L426="Atendido",IFERROR($I426*INDEX(Config!$B:$B,MATCH($C426,Config!$A:$A,0)),0),0))</f>
        <v/>
      </c>
      <c r="N426" s="36" t="str">
        <f t="shared" si="2"/>
        <v/>
      </c>
      <c r="O426" s="36" t="str">
        <f t="shared" si="3"/>
        <v/>
      </c>
      <c r="P426" s="15"/>
      <c r="Q426" s="37" t="str">
        <f t="shared" si="4"/>
        <v/>
      </c>
      <c r="R426" s="37" t="str">
        <f t="shared" si="5"/>
        <v/>
      </c>
      <c r="S426" s="32" t="str">
        <f t="shared" si="6"/>
        <v/>
      </c>
      <c r="T426" s="37" t="str">
        <f t="shared" si="7"/>
        <v/>
      </c>
      <c r="U426" s="37" t="str">
        <f t="array" ref="U426">IF($F426="","",IFERROR(INDEX(Config!$F:$F,MATCH($F426,Config!$D:$D,0)),0))</f>
        <v/>
      </c>
    </row>
    <row r="427" ht="15.0" customHeight="1">
      <c r="A427" s="34"/>
      <c r="B427" s="35"/>
      <c r="C427" s="15"/>
      <c r="D427" s="15"/>
      <c r="E427" s="15"/>
      <c r="F427" s="15"/>
      <c r="G427" s="36" t="str">
        <f t="array" ref="G427">IF($F427="","",IFERROR(INDEX(Config!$E:$E,MATCH($F427,Config!$D:$D,0)),0))</f>
        <v/>
      </c>
      <c r="H427" s="16"/>
      <c r="I427" s="36" t="str">
        <f t="shared" si="1"/>
        <v/>
      </c>
      <c r="J427" s="16"/>
      <c r="K427" s="15"/>
      <c r="L427" s="15"/>
      <c r="M427" s="36" t="str">
        <f t="array" ref="M427">IF($A427="","",IF($L427="Atendido",IFERROR($I427*INDEX(Config!$B:$B,MATCH($C427,Config!$A:$A,0)),0),0))</f>
        <v/>
      </c>
      <c r="N427" s="36" t="str">
        <f t="shared" si="2"/>
        <v/>
      </c>
      <c r="O427" s="36" t="str">
        <f t="shared" si="3"/>
        <v/>
      </c>
      <c r="P427" s="15"/>
      <c r="Q427" s="37" t="str">
        <f t="shared" si="4"/>
        <v/>
      </c>
      <c r="R427" s="37" t="str">
        <f t="shared" si="5"/>
        <v/>
      </c>
      <c r="S427" s="32" t="str">
        <f t="shared" si="6"/>
        <v/>
      </c>
      <c r="T427" s="37" t="str">
        <f t="shared" si="7"/>
        <v/>
      </c>
      <c r="U427" s="37" t="str">
        <f t="array" ref="U427">IF($F427="","",IFERROR(INDEX(Config!$F:$F,MATCH($F427,Config!$D:$D,0)),0))</f>
        <v/>
      </c>
    </row>
    <row r="428" ht="15.0" customHeight="1">
      <c r="A428" s="34"/>
      <c r="B428" s="35"/>
      <c r="C428" s="15"/>
      <c r="D428" s="15"/>
      <c r="E428" s="15"/>
      <c r="F428" s="15"/>
      <c r="G428" s="36" t="str">
        <f t="array" ref="G428">IF($F428="","",IFERROR(INDEX(Config!$E:$E,MATCH($F428,Config!$D:$D,0)),0))</f>
        <v/>
      </c>
      <c r="H428" s="16"/>
      <c r="I428" s="36" t="str">
        <f t="shared" si="1"/>
        <v/>
      </c>
      <c r="J428" s="16"/>
      <c r="K428" s="15"/>
      <c r="L428" s="15"/>
      <c r="M428" s="36" t="str">
        <f t="array" ref="M428">IF($A428="","",IF($L428="Atendido",IFERROR($I428*INDEX(Config!$B:$B,MATCH($C428,Config!$A:$A,0)),0),0))</f>
        <v/>
      </c>
      <c r="N428" s="36" t="str">
        <f t="shared" si="2"/>
        <v/>
      </c>
      <c r="O428" s="36" t="str">
        <f t="shared" si="3"/>
        <v/>
      </c>
      <c r="P428" s="15"/>
      <c r="Q428" s="37" t="str">
        <f t="shared" si="4"/>
        <v/>
      </c>
      <c r="R428" s="37" t="str">
        <f t="shared" si="5"/>
        <v/>
      </c>
      <c r="S428" s="32" t="str">
        <f t="shared" si="6"/>
        <v/>
      </c>
      <c r="T428" s="37" t="str">
        <f t="shared" si="7"/>
        <v/>
      </c>
      <c r="U428" s="37" t="str">
        <f t="array" ref="U428">IF($F428="","",IFERROR(INDEX(Config!$F:$F,MATCH($F428,Config!$D:$D,0)),0))</f>
        <v/>
      </c>
    </row>
    <row r="429" ht="15.0" customHeight="1">
      <c r="A429" s="34"/>
      <c r="B429" s="35"/>
      <c r="C429" s="15"/>
      <c r="D429" s="15"/>
      <c r="E429" s="15"/>
      <c r="F429" s="15"/>
      <c r="G429" s="36" t="str">
        <f t="array" ref="G429">IF($F429="","",IFERROR(INDEX(Config!$E:$E,MATCH($F429,Config!$D:$D,0)),0))</f>
        <v/>
      </c>
      <c r="H429" s="16"/>
      <c r="I429" s="36" t="str">
        <f t="shared" si="1"/>
        <v/>
      </c>
      <c r="J429" s="16"/>
      <c r="K429" s="15"/>
      <c r="L429" s="15"/>
      <c r="M429" s="36" t="str">
        <f t="array" ref="M429">IF($A429="","",IF($L429="Atendido",IFERROR($I429*INDEX(Config!$B:$B,MATCH($C429,Config!$A:$A,0)),0),0))</f>
        <v/>
      </c>
      <c r="N429" s="36" t="str">
        <f t="shared" si="2"/>
        <v/>
      </c>
      <c r="O429" s="36" t="str">
        <f t="shared" si="3"/>
        <v/>
      </c>
      <c r="P429" s="15"/>
      <c r="Q429" s="37" t="str">
        <f t="shared" si="4"/>
        <v/>
      </c>
      <c r="R429" s="37" t="str">
        <f t="shared" si="5"/>
        <v/>
      </c>
      <c r="S429" s="32" t="str">
        <f t="shared" si="6"/>
        <v/>
      </c>
      <c r="T429" s="37" t="str">
        <f t="shared" si="7"/>
        <v/>
      </c>
      <c r="U429" s="37" t="str">
        <f t="array" ref="U429">IF($F429="","",IFERROR(INDEX(Config!$F:$F,MATCH($F429,Config!$D:$D,0)),0))</f>
        <v/>
      </c>
    </row>
    <row r="430" ht="15.0" customHeight="1">
      <c r="A430" s="34"/>
      <c r="B430" s="35"/>
      <c r="C430" s="15"/>
      <c r="D430" s="15"/>
      <c r="E430" s="15"/>
      <c r="F430" s="15"/>
      <c r="G430" s="36" t="str">
        <f t="array" ref="G430">IF($F430="","",IFERROR(INDEX(Config!$E:$E,MATCH($F430,Config!$D:$D,0)),0))</f>
        <v/>
      </c>
      <c r="H430" s="16"/>
      <c r="I430" s="36" t="str">
        <f t="shared" si="1"/>
        <v/>
      </c>
      <c r="J430" s="16"/>
      <c r="K430" s="15"/>
      <c r="L430" s="15"/>
      <c r="M430" s="36" t="str">
        <f t="array" ref="M430">IF($A430="","",IF($L430="Atendido",IFERROR($I430*INDEX(Config!$B:$B,MATCH($C430,Config!$A:$A,0)),0),0))</f>
        <v/>
      </c>
      <c r="N430" s="36" t="str">
        <f t="shared" si="2"/>
        <v/>
      </c>
      <c r="O430" s="36" t="str">
        <f t="shared" si="3"/>
        <v/>
      </c>
      <c r="P430" s="15"/>
      <c r="Q430" s="37" t="str">
        <f t="shared" si="4"/>
        <v/>
      </c>
      <c r="R430" s="37" t="str">
        <f t="shared" si="5"/>
        <v/>
      </c>
      <c r="S430" s="32" t="str">
        <f t="shared" si="6"/>
        <v/>
      </c>
      <c r="T430" s="37" t="str">
        <f t="shared" si="7"/>
        <v/>
      </c>
      <c r="U430" s="37" t="str">
        <f t="array" ref="U430">IF($F430="","",IFERROR(INDEX(Config!$F:$F,MATCH($F430,Config!$D:$D,0)),0))</f>
        <v/>
      </c>
    </row>
    <row r="431" ht="15.0" customHeight="1">
      <c r="A431" s="34"/>
      <c r="B431" s="35"/>
      <c r="C431" s="15"/>
      <c r="D431" s="15"/>
      <c r="E431" s="15"/>
      <c r="F431" s="15"/>
      <c r="G431" s="36" t="str">
        <f t="array" ref="G431">IF($F431="","",IFERROR(INDEX(Config!$E:$E,MATCH($F431,Config!$D:$D,0)),0))</f>
        <v/>
      </c>
      <c r="H431" s="16"/>
      <c r="I431" s="36" t="str">
        <f t="shared" si="1"/>
        <v/>
      </c>
      <c r="J431" s="16"/>
      <c r="K431" s="15"/>
      <c r="L431" s="15"/>
      <c r="M431" s="36" t="str">
        <f t="array" ref="M431">IF($A431="","",IF($L431="Atendido",IFERROR($I431*INDEX(Config!$B:$B,MATCH($C431,Config!$A:$A,0)),0),0))</f>
        <v/>
      </c>
      <c r="N431" s="36" t="str">
        <f t="shared" si="2"/>
        <v/>
      </c>
      <c r="O431" s="36" t="str">
        <f t="shared" si="3"/>
        <v/>
      </c>
      <c r="P431" s="15"/>
      <c r="Q431" s="37" t="str">
        <f t="shared" si="4"/>
        <v/>
      </c>
      <c r="R431" s="37" t="str">
        <f t="shared" si="5"/>
        <v/>
      </c>
      <c r="S431" s="32" t="str">
        <f t="shared" si="6"/>
        <v/>
      </c>
      <c r="T431" s="37" t="str">
        <f t="shared" si="7"/>
        <v/>
      </c>
      <c r="U431" s="37" t="str">
        <f t="array" ref="U431">IF($F431="","",IFERROR(INDEX(Config!$F:$F,MATCH($F431,Config!$D:$D,0)),0))</f>
        <v/>
      </c>
    </row>
    <row r="432" ht="15.0" customHeight="1">
      <c r="A432" s="34"/>
      <c r="B432" s="35"/>
      <c r="C432" s="15"/>
      <c r="D432" s="15"/>
      <c r="E432" s="15"/>
      <c r="F432" s="15"/>
      <c r="G432" s="36" t="str">
        <f t="array" ref="G432">IF($F432="","",IFERROR(INDEX(Config!$E:$E,MATCH($F432,Config!$D:$D,0)),0))</f>
        <v/>
      </c>
      <c r="H432" s="16"/>
      <c r="I432" s="36" t="str">
        <f t="shared" si="1"/>
        <v/>
      </c>
      <c r="J432" s="16"/>
      <c r="K432" s="15"/>
      <c r="L432" s="15"/>
      <c r="M432" s="36" t="str">
        <f t="array" ref="M432">IF($A432="","",IF($L432="Atendido",IFERROR($I432*INDEX(Config!$B:$B,MATCH($C432,Config!$A:$A,0)),0),0))</f>
        <v/>
      </c>
      <c r="N432" s="36" t="str">
        <f t="shared" si="2"/>
        <v/>
      </c>
      <c r="O432" s="36" t="str">
        <f t="shared" si="3"/>
        <v/>
      </c>
      <c r="P432" s="15"/>
      <c r="Q432" s="37" t="str">
        <f t="shared" si="4"/>
        <v/>
      </c>
      <c r="R432" s="37" t="str">
        <f t="shared" si="5"/>
        <v/>
      </c>
      <c r="S432" s="32" t="str">
        <f t="shared" si="6"/>
        <v/>
      </c>
      <c r="T432" s="37" t="str">
        <f t="shared" si="7"/>
        <v/>
      </c>
      <c r="U432" s="37" t="str">
        <f t="array" ref="U432">IF($F432="","",IFERROR(INDEX(Config!$F:$F,MATCH($F432,Config!$D:$D,0)),0))</f>
        <v/>
      </c>
    </row>
    <row r="433" ht="15.0" customHeight="1">
      <c r="A433" s="34"/>
      <c r="B433" s="35"/>
      <c r="C433" s="15"/>
      <c r="D433" s="15"/>
      <c r="E433" s="15"/>
      <c r="F433" s="15"/>
      <c r="G433" s="36" t="str">
        <f t="array" ref="G433">IF($F433="","",IFERROR(INDEX(Config!$E:$E,MATCH($F433,Config!$D:$D,0)),0))</f>
        <v/>
      </c>
      <c r="H433" s="16"/>
      <c r="I433" s="36" t="str">
        <f t="shared" si="1"/>
        <v/>
      </c>
      <c r="J433" s="16"/>
      <c r="K433" s="15"/>
      <c r="L433" s="15"/>
      <c r="M433" s="36" t="str">
        <f t="array" ref="M433">IF($A433="","",IF($L433="Atendido",IFERROR($I433*INDEX(Config!$B:$B,MATCH($C433,Config!$A:$A,0)),0),0))</f>
        <v/>
      </c>
      <c r="N433" s="36" t="str">
        <f t="shared" si="2"/>
        <v/>
      </c>
      <c r="O433" s="36" t="str">
        <f t="shared" si="3"/>
        <v/>
      </c>
      <c r="P433" s="15"/>
      <c r="Q433" s="37" t="str">
        <f t="shared" si="4"/>
        <v/>
      </c>
      <c r="R433" s="37" t="str">
        <f t="shared" si="5"/>
        <v/>
      </c>
      <c r="S433" s="32" t="str">
        <f t="shared" si="6"/>
        <v/>
      </c>
      <c r="T433" s="37" t="str">
        <f t="shared" si="7"/>
        <v/>
      </c>
      <c r="U433" s="37" t="str">
        <f t="array" ref="U433">IF($F433="","",IFERROR(INDEX(Config!$F:$F,MATCH($F433,Config!$D:$D,0)),0))</f>
        <v/>
      </c>
    </row>
    <row r="434" ht="15.0" customHeight="1">
      <c r="A434" s="34"/>
      <c r="B434" s="35"/>
      <c r="C434" s="15"/>
      <c r="D434" s="15"/>
      <c r="E434" s="15"/>
      <c r="F434" s="15"/>
      <c r="G434" s="36" t="str">
        <f t="array" ref="G434">IF($F434="","",IFERROR(INDEX(Config!$E:$E,MATCH($F434,Config!$D:$D,0)),0))</f>
        <v/>
      </c>
      <c r="H434" s="16"/>
      <c r="I434" s="36" t="str">
        <f t="shared" si="1"/>
        <v/>
      </c>
      <c r="J434" s="16"/>
      <c r="K434" s="15"/>
      <c r="L434" s="15"/>
      <c r="M434" s="36" t="str">
        <f t="array" ref="M434">IF($A434="","",IF($L434="Atendido",IFERROR($I434*INDEX(Config!$B:$B,MATCH($C434,Config!$A:$A,0)),0),0))</f>
        <v/>
      </c>
      <c r="N434" s="36" t="str">
        <f t="shared" si="2"/>
        <v/>
      </c>
      <c r="O434" s="36" t="str">
        <f t="shared" si="3"/>
        <v/>
      </c>
      <c r="P434" s="15"/>
      <c r="Q434" s="37" t="str">
        <f t="shared" si="4"/>
        <v/>
      </c>
      <c r="R434" s="37" t="str">
        <f t="shared" si="5"/>
        <v/>
      </c>
      <c r="S434" s="32" t="str">
        <f t="shared" si="6"/>
        <v/>
      </c>
      <c r="T434" s="37" t="str">
        <f t="shared" si="7"/>
        <v/>
      </c>
      <c r="U434" s="37" t="str">
        <f t="array" ref="U434">IF($F434="","",IFERROR(INDEX(Config!$F:$F,MATCH($F434,Config!$D:$D,0)),0))</f>
        <v/>
      </c>
    </row>
    <row r="435" ht="15.0" customHeight="1">
      <c r="A435" s="34"/>
      <c r="B435" s="35"/>
      <c r="C435" s="15"/>
      <c r="D435" s="15"/>
      <c r="E435" s="15"/>
      <c r="F435" s="15"/>
      <c r="G435" s="36" t="str">
        <f t="array" ref="G435">IF($F435="","",IFERROR(INDEX(Config!$E:$E,MATCH($F435,Config!$D:$D,0)),0))</f>
        <v/>
      </c>
      <c r="H435" s="16"/>
      <c r="I435" s="36" t="str">
        <f t="shared" si="1"/>
        <v/>
      </c>
      <c r="J435" s="16"/>
      <c r="K435" s="15"/>
      <c r="L435" s="15"/>
      <c r="M435" s="36" t="str">
        <f t="array" ref="M435">IF($A435="","",IF($L435="Atendido",IFERROR($I435*INDEX(Config!$B:$B,MATCH($C435,Config!$A:$A,0)),0),0))</f>
        <v/>
      </c>
      <c r="N435" s="36" t="str">
        <f t="shared" si="2"/>
        <v/>
      </c>
      <c r="O435" s="36" t="str">
        <f t="shared" si="3"/>
        <v/>
      </c>
      <c r="P435" s="15"/>
      <c r="Q435" s="37" t="str">
        <f t="shared" si="4"/>
        <v/>
      </c>
      <c r="R435" s="37" t="str">
        <f t="shared" si="5"/>
        <v/>
      </c>
      <c r="S435" s="32" t="str">
        <f t="shared" si="6"/>
        <v/>
      </c>
      <c r="T435" s="37" t="str">
        <f t="shared" si="7"/>
        <v/>
      </c>
      <c r="U435" s="37" t="str">
        <f t="array" ref="U435">IF($F435="","",IFERROR(INDEX(Config!$F:$F,MATCH($F435,Config!$D:$D,0)),0))</f>
        <v/>
      </c>
    </row>
    <row r="436" ht="15.0" customHeight="1">
      <c r="A436" s="34"/>
      <c r="B436" s="35"/>
      <c r="C436" s="15"/>
      <c r="D436" s="15"/>
      <c r="E436" s="15"/>
      <c r="F436" s="15"/>
      <c r="G436" s="36" t="str">
        <f t="array" ref="G436">IF($F436="","",IFERROR(INDEX(Config!$E:$E,MATCH($F436,Config!$D:$D,0)),0))</f>
        <v/>
      </c>
      <c r="H436" s="16"/>
      <c r="I436" s="36" t="str">
        <f t="shared" si="1"/>
        <v/>
      </c>
      <c r="J436" s="16"/>
      <c r="K436" s="15"/>
      <c r="L436" s="15"/>
      <c r="M436" s="36" t="str">
        <f t="array" ref="M436">IF($A436="","",IF($L436="Atendido",IFERROR($I436*INDEX(Config!$B:$B,MATCH($C436,Config!$A:$A,0)),0),0))</f>
        <v/>
      </c>
      <c r="N436" s="36" t="str">
        <f t="shared" si="2"/>
        <v/>
      </c>
      <c r="O436" s="36" t="str">
        <f t="shared" si="3"/>
        <v/>
      </c>
      <c r="P436" s="15"/>
      <c r="Q436" s="37" t="str">
        <f t="shared" si="4"/>
        <v/>
      </c>
      <c r="R436" s="37" t="str">
        <f t="shared" si="5"/>
        <v/>
      </c>
      <c r="S436" s="32" t="str">
        <f t="shared" si="6"/>
        <v/>
      </c>
      <c r="T436" s="37" t="str">
        <f t="shared" si="7"/>
        <v/>
      </c>
      <c r="U436" s="37" t="str">
        <f t="array" ref="U436">IF($F436="","",IFERROR(INDEX(Config!$F:$F,MATCH($F436,Config!$D:$D,0)),0))</f>
        <v/>
      </c>
    </row>
    <row r="437" ht="15.0" customHeight="1">
      <c r="A437" s="34"/>
      <c r="B437" s="35"/>
      <c r="C437" s="15"/>
      <c r="D437" s="15"/>
      <c r="E437" s="15"/>
      <c r="F437" s="15"/>
      <c r="G437" s="36" t="str">
        <f t="array" ref="G437">IF($F437="","",IFERROR(INDEX(Config!$E:$E,MATCH($F437,Config!$D:$D,0)),0))</f>
        <v/>
      </c>
      <c r="H437" s="16"/>
      <c r="I437" s="36" t="str">
        <f t="shared" si="1"/>
        <v/>
      </c>
      <c r="J437" s="16"/>
      <c r="K437" s="15"/>
      <c r="L437" s="15"/>
      <c r="M437" s="36" t="str">
        <f t="array" ref="M437">IF($A437="","",IF($L437="Atendido",IFERROR($I437*INDEX(Config!$B:$B,MATCH($C437,Config!$A:$A,0)),0),0))</f>
        <v/>
      </c>
      <c r="N437" s="36" t="str">
        <f t="shared" si="2"/>
        <v/>
      </c>
      <c r="O437" s="36" t="str">
        <f t="shared" si="3"/>
        <v/>
      </c>
      <c r="P437" s="15"/>
      <c r="Q437" s="37" t="str">
        <f t="shared" si="4"/>
        <v/>
      </c>
      <c r="R437" s="37" t="str">
        <f t="shared" si="5"/>
        <v/>
      </c>
      <c r="S437" s="32" t="str">
        <f t="shared" si="6"/>
        <v/>
      </c>
      <c r="T437" s="37" t="str">
        <f t="shared" si="7"/>
        <v/>
      </c>
      <c r="U437" s="37" t="str">
        <f t="array" ref="U437">IF($F437="","",IFERROR(INDEX(Config!$F:$F,MATCH($F437,Config!$D:$D,0)),0))</f>
        <v/>
      </c>
    </row>
    <row r="438" ht="15.0" customHeight="1">
      <c r="A438" s="34"/>
      <c r="B438" s="35"/>
      <c r="C438" s="15"/>
      <c r="D438" s="15"/>
      <c r="E438" s="15"/>
      <c r="F438" s="15"/>
      <c r="G438" s="36" t="str">
        <f t="array" ref="G438">IF($F438="","",IFERROR(INDEX(Config!$E:$E,MATCH($F438,Config!$D:$D,0)),0))</f>
        <v/>
      </c>
      <c r="H438" s="16"/>
      <c r="I438" s="36" t="str">
        <f t="shared" si="1"/>
        <v/>
      </c>
      <c r="J438" s="16"/>
      <c r="K438" s="15"/>
      <c r="L438" s="15"/>
      <c r="M438" s="36" t="str">
        <f t="array" ref="M438">IF($A438="","",IF($L438="Atendido",IFERROR($I438*INDEX(Config!$B:$B,MATCH($C438,Config!$A:$A,0)),0),0))</f>
        <v/>
      </c>
      <c r="N438" s="36" t="str">
        <f t="shared" si="2"/>
        <v/>
      </c>
      <c r="O438" s="36" t="str">
        <f t="shared" si="3"/>
        <v/>
      </c>
      <c r="P438" s="15"/>
      <c r="Q438" s="37" t="str">
        <f t="shared" si="4"/>
        <v/>
      </c>
      <c r="R438" s="37" t="str">
        <f t="shared" si="5"/>
        <v/>
      </c>
      <c r="S438" s="32" t="str">
        <f t="shared" si="6"/>
        <v/>
      </c>
      <c r="T438" s="37" t="str">
        <f t="shared" si="7"/>
        <v/>
      </c>
      <c r="U438" s="37" t="str">
        <f t="array" ref="U438">IF($F438="","",IFERROR(INDEX(Config!$F:$F,MATCH($F438,Config!$D:$D,0)),0))</f>
        <v/>
      </c>
    </row>
    <row r="439" ht="15.0" customHeight="1">
      <c r="A439" s="34"/>
      <c r="B439" s="35"/>
      <c r="C439" s="15"/>
      <c r="D439" s="15"/>
      <c r="E439" s="15"/>
      <c r="F439" s="15"/>
      <c r="G439" s="36" t="str">
        <f t="array" ref="G439">IF($F439="","",IFERROR(INDEX(Config!$E:$E,MATCH($F439,Config!$D:$D,0)),0))</f>
        <v/>
      </c>
      <c r="H439" s="16"/>
      <c r="I439" s="36" t="str">
        <f t="shared" si="1"/>
        <v/>
      </c>
      <c r="J439" s="16"/>
      <c r="K439" s="15"/>
      <c r="L439" s="15"/>
      <c r="M439" s="36" t="str">
        <f t="array" ref="M439">IF($A439="","",IF($L439="Atendido",IFERROR($I439*INDEX(Config!$B:$B,MATCH($C439,Config!$A:$A,0)),0),0))</f>
        <v/>
      </c>
      <c r="N439" s="36" t="str">
        <f t="shared" si="2"/>
        <v/>
      </c>
      <c r="O439" s="36" t="str">
        <f t="shared" si="3"/>
        <v/>
      </c>
      <c r="P439" s="15"/>
      <c r="Q439" s="37" t="str">
        <f t="shared" si="4"/>
        <v/>
      </c>
      <c r="R439" s="37" t="str">
        <f t="shared" si="5"/>
        <v/>
      </c>
      <c r="S439" s="32" t="str">
        <f t="shared" si="6"/>
        <v/>
      </c>
      <c r="T439" s="37" t="str">
        <f t="shared" si="7"/>
        <v/>
      </c>
      <c r="U439" s="37" t="str">
        <f t="array" ref="U439">IF($F439="","",IFERROR(INDEX(Config!$F:$F,MATCH($F439,Config!$D:$D,0)),0))</f>
        <v/>
      </c>
    </row>
    <row r="440" ht="15.0" customHeight="1">
      <c r="A440" s="34"/>
      <c r="B440" s="35"/>
      <c r="C440" s="15"/>
      <c r="D440" s="15"/>
      <c r="E440" s="15"/>
      <c r="F440" s="15"/>
      <c r="G440" s="36" t="str">
        <f t="array" ref="G440">IF($F440="","",IFERROR(INDEX(Config!$E:$E,MATCH($F440,Config!$D:$D,0)),0))</f>
        <v/>
      </c>
      <c r="H440" s="16"/>
      <c r="I440" s="36" t="str">
        <f t="shared" si="1"/>
        <v/>
      </c>
      <c r="J440" s="16"/>
      <c r="K440" s="15"/>
      <c r="L440" s="15"/>
      <c r="M440" s="36" t="str">
        <f t="array" ref="M440">IF($A440="","",IF($L440="Atendido",IFERROR($I440*INDEX(Config!$B:$B,MATCH($C440,Config!$A:$A,0)),0),0))</f>
        <v/>
      </c>
      <c r="N440" s="36" t="str">
        <f t="shared" si="2"/>
        <v/>
      </c>
      <c r="O440" s="36" t="str">
        <f t="shared" si="3"/>
        <v/>
      </c>
      <c r="P440" s="15"/>
      <c r="Q440" s="37" t="str">
        <f t="shared" si="4"/>
        <v/>
      </c>
      <c r="R440" s="37" t="str">
        <f t="shared" si="5"/>
        <v/>
      </c>
      <c r="S440" s="32" t="str">
        <f t="shared" si="6"/>
        <v/>
      </c>
      <c r="T440" s="37" t="str">
        <f t="shared" si="7"/>
        <v/>
      </c>
      <c r="U440" s="37" t="str">
        <f t="array" ref="U440">IF($F440="","",IFERROR(INDEX(Config!$F:$F,MATCH($F440,Config!$D:$D,0)),0))</f>
        <v/>
      </c>
    </row>
    <row r="441" ht="15.0" customHeight="1">
      <c r="A441" s="34"/>
      <c r="B441" s="35"/>
      <c r="C441" s="15"/>
      <c r="D441" s="15"/>
      <c r="E441" s="15"/>
      <c r="F441" s="15"/>
      <c r="G441" s="36" t="str">
        <f t="array" ref="G441">IF($F441="","",IFERROR(INDEX(Config!$E:$E,MATCH($F441,Config!$D:$D,0)),0))</f>
        <v/>
      </c>
      <c r="H441" s="16"/>
      <c r="I441" s="36" t="str">
        <f t="shared" si="1"/>
        <v/>
      </c>
      <c r="J441" s="16"/>
      <c r="K441" s="15"/>
      <c r="L441" s="15"/>
      <c r="M441" s="36" t="str">
        <f t="array" ref="M441">IF($A441="","",IF($L441="Atendido",IFERROR($I441*INDEX(Config!$B:$B,MATCH($C441,Config!$A:$A,0)),0),0))</f>
        <v/>
      </c>
      <c r="N441" s="36" t="str">
        <f t="shared" si="2"/>
        <v/>
      </c>
      <c r="O441" s="36" t="str">
        <f t="shared" si="3"/>
        <v/>
      </c>
      <c r="P441" s="15"/>
      <c r="Q441" s="37" t="str">
        <f t="shared" si="4"/>
        <v/>
      </c>
      <c r="R441" s="37" t="str">
        <f t="shared" si="5"/>
        <v/>
      </c>
      <c r="S441" s="32" t="str">
        <f t="shared" si="6"/>
        <v/>
      </c>
      <c r="T441" s="37" t="str">
        <f t="shared" si="7"/>
        <v/>
      </c>
      <c r="U441" s="37" t="str">
        <f t="array" ref="U441">IF($F441="","",IFERROR(INDEX(Config!$F:$F,MATCH($F441,Config!$D:$D,0)),0))</f>
        <v/>
      </c>
    </row>
    <row r="442" ht="15.0" customHeight="1">
      <c r="A442" s="34"/>
      <c r="B442" s="35"/>
      <c r="C442" s="15"/>
      <c r="D442" s="15"/>
      <c r="E442" s="15"/>
      <c r="F442" s="15"/>
      <c r="G442" s="36" t="str">
        <f t="array" ref="G442">IF($F442="","",IFERROR(INDEX(Config!$E:$E,MATCH($F442,Config!$D:$D,0)),0))</f>
        <v/>
      </c>
      <c r="H442" s="16"/>
      <c r="I442" s="36" t="str">
        <f t="shared" si="1"/>
        <v/>
      </c>
      <c r="J442" s="16"/>
      <c r="K442" s="15"/>
      <c r="L442" s="15"/>
      <c r="M442" s="36" t="str">
        <f t="array" ref="M442">IF($A442="","",IF($L442="Atendido",IFERROR($I442*INDEX(Config!$B:$B,MATCH($C442,Config!$A:$A,0)),0),0))</f>
        <v/>
      </c>
      <c r="N442" s="36" t="str">
        <f t="shared" si="2"/>
        <v/>
      </c>
      <c r="O442" s="36" t="str">
        <f t="shared" si="3"/>
        <v/>
      </c>
      <c r="P442" s="15"/>
      <c r="Q442" s="37" t="str">
        <f t="shared" si="4"/>
        <v/>
      </c>
      <c r="R442" s="37" t="str">
        <f t="shared" si="5"/>
        <v/>
      </c>
      <c r="S442" s="32" t="str">
        <f t="shared" si="6"/>
        <v/>
      </c>
      <c r="T442" s="37" t="str">
        <f t="shared" si="7"/>
        <v/>
      </c>
      <c r="U442" s="37" t="str">
        <f t="array" ref="U442">IF($F442="","",IFERROR(INDEX(Config!$F:$F,MATCH($F442,Config!$D:$D,0)),0))</f>
        <v/>
      </c>
    </row>
    <row r="443" ht="15.0" customHeight="1">
      <c r="A443" s="34"/>
      <c r="B443" s="35"/>
      <c r="C443" s="15"/>
      <c r="D443" s="15"/>
      <c r="E443" s="15"/>
      <c r="F443" s="15"/>
      <c r="G443" s="36" t="str">
        <f t="array" ref="G443">IF($F443="","",IFERROR(INDEX(Config!$E:$E,MATCH($F443,Config!$D:$D,0)),0))</f>
        <v/>
      </c>
      <c r="H443" s="16"/>
      <c r="I443" s="36" t="str">
        <f t="shared" si="1"/>
        <v/>
      </c>
      <c r="J443" s="16"/>
      <c r="K443" s="15"/>
      <c r="L443" s="15"/>
      <c r="M443" s="36" t="str">
        <f t="array" ref="M443">IF($A443="","",IF($L443="Atendido",IFERROR($I443*INDEX(Config!$B:$B,MATCH($C443,Config!$A:$A,0)),0),0))</f>
        <v/>
      </c>
      <c r="N443" s="36" t="str">
        <f t="shared" si="2"/>
        <v/>
      </c>
      <c r="O443" s="36" t="str">
        <f t="shared" si="3"/>
        <v/>
      </c>
      <c r="P443" s="15"/>
      <c r="Q443" s="37" t="str">
        <f t="shared" si="4"/>
        <v/>
      </c>
      <c r="R443" s="37" t="str">
        <f t="shared" si="5"/>
        <v/>
      </c>
      <c r="S443" s="32" t="str">
        <f t="shared" si="6"/>
        <v/>
      </c>
      <c r="T443" s="37" t="str">
        <f t="shared" si="7"/>
        <v/>
      </c>
      <c r="U443" s="37" t="str">
        <f t="array" ref="U443">IF($F443="","",IFERROR(INDEX(Config!$F:$F,MATCH($F443,Config!$D:$D,0)),0))</f>
        <v/>
      </c>
    </row>
    <row r="444" ht="15.0" customHeight="1">
      <c r="A444" s="34"/>
      <c r="B444" s="35"/>
      <c r="C444" s="15"/>
      <c r="D444" s="15"/>
      <c r="E444" s="15"/>
      <c r="F444" s="15"/>
      <c r="G444" s="36" t="str">
        <f t="array" ref="G444">IF($F444="","",IFERROR(INDEX(Config!$E:$E,MATCH($F444,Config!$D:$D,0)),0))</f>
        <v/>
      </c>
      <c r="H444" s="16"/>
      <c r="I444" s="36" t="str">
        <f t="shared" si="1"/>
        <v/>
      </c>
      <c r="J444" s="16"/>
      <c r="K444" s="15"/>
      <c r="L444" s="15"/>
      <c r="M444" s="36" t="str">
        <f t="array" ref="M444">IF($A444="","",IF($L444="Atendido",IFERROR($I444*INDEX(Config!$B:$B,MATCH($C444,Config!$A:$A,0)),0),0))</f>
        <v/>
      </c>
      <c r="N444" s="36" t="str">
        <f t="shared" si="2"/>
        <v/>
      </c>
      <c r="O444" s="36" t="str">
        <f t="shared" si="3"/>
        <v/>
      </c>
      <c r="P444" s="15"/>
      <c r="Q444" s="37" t="str">
        <f t="shared" si="4"/>
        <v/>
      </c>
      <c r="R444" s="37" t="str">
        <f t="shared" si="5"/>
        <v/>
      </c>
      <c r="S444" s="32" t="str">
        <f t="shared" si="6"/>
        <v/>
      </c>
      <c r="T444" s="37" t="str">
        <f t="shared" si="7"/>
        <v/>
      </c>
      <c r="U444" s="37" t="str">
        <f t="array" ref="U444">IF($F444="","",IFERROR(INDEX(Config!$F:$F,MATCH($F444,Config!$D:$D,0)),0))</f>
        <v/>
      </c>
    </row>
    <row r="445" ht="15.0" customHeight="1">
      <c r="A445" s="34"/>
      <c r="B445" s="35"/>
      <c r="C445" s="15"/>
      <c r="D445" s="15"/>
      <c r="E445" s="15"/>
      <c r="F445" s="15"/>
      <c r="G445" s="36" t="str">
        <f t="array" ref="G445">IF($F445="","",IFERROR(INDEX(Config!$E:$E,MATCH($F445,Config!$D:$D,0)),0))</f>
        <v/>
      </c>
      <c r="H445" s="16"/>
      <c r="I445" s="36" t="str">
        <f t="shared" si="1"/>
        <v/>
      </c>
      <c r="J445" s="16"/>
      <c r="K445" s="15"/>
      <c r="L445" s="15"/>
      <c r="M445" s="36" t="str">
        <f t="array" ref="M445">IF($A445="","",IF($L445="Atendido",IFERROR($I445*INDEX(Config!$B:$B,MATCH($C445,Config!$A:$A,0)),0),0))</f>
        <v/>
      </c>
      <c r="N445" s="36" t="str">
        <f t="shared" si="2"/>
        <v/>
      </c>
      <c r="O445" s="36" t="str">
        <f t="shared" si="3"/>
        <v/>
      </c>
      <c r="P445" s="15"/>
      <c r="Q445" s="37" t="str">
        <f t="shared" si="4"/>
        <v/>
      </c>
      <c r="R445" s="37" t="str">
        <f t="shared" si="5"/>
        <v/>
      </c>
      <c r="S445" s="32" t="str">
        <f t="shared" si="6"/>
        <v/>
      </c>
      <c r="T445" s="37" t="str">
        <f t="shared" si="7"/>
        <v/>
      </c>
      <c r="U445" s="37" t="str">
        <f t="array" ref="U445">IF($F445="","",IFERROR(INDEX(Config!$F:$F,MATCH($F445,Config!$D:$D,0)),0))</f>
        <v/>
      </c>
    </row>
    <row r="446" ht="15.0" customHeight="1">
      <c r="A446" s="34"/>
      <c r="B446" s="35"/>
      <c r="C446" s="15"/>
      <c r="D446" s="15"/>
      <c r="E446" s="15"/>
      <c r="F446" s="15"/>
      <c r="G446" s="36" t="str">
        <f t="array" ref="G446">IF($F446="","",IFERROR(INDEX(Config!$E:$E,MATCH($F446,Config!$D:$D,0)),0))</f>
        <v/>
      </c>
      <c r="H446" s="16"/>
      <c r="I446" s="36" t="str">
        <f t="shared" si="1"/>
        <v/>
      </c>
      <c r="J446" s="16"/>
      <c r="K446" s="15"/>
      <c r="L446" s="15"/>
      <c r="M446" s="36" t="str">
        <f t="array" ref="M446">IF($A446="","",IF($L446="Atendido",IFERROR($I446*INDEX(Config!$B:$B,MATCH($C446,Config!$A:$A,0)),0),0))</f>
        <v/>
      </c>
      <c r="N446" s="36" t="str">
        <f t="shared" si="2"/>
        <v/>
      </c>
      <c r="O446" s="36" t="str">
        <f t="shared" si="3"/>
        <v/>
      </c>
      <c r="P446" s="15"/>
      <c r="Q446" s="37" t="str">
        <f t="shared" si="4"/>
        <v/>
      </c>
      <c r="R446" s="37" t="str">
        <f t="shared" si="5"/>
        <v/>
      </c>
      <c r="S446" s="32" t="str">
        <f t="shared" si="6"/>
        <v/>
      </c>
      <c r="T446" s="37" t="str">
        <f t="shared" si="7"/>
        <v/>
      </c>
      <c r="U446" s="37" t="str">
        <f t="array" ref="U446">IF($F446="","",IFERROR(INDEX(Config!$F:$F,MATCH($F446,Config!$D:$D,0)),0))</f>
        <v/>
      </c>
    </row>
    <row r="447" ht="15.0" customHeight="1">
      <c r="A447" s="34"/>
      <c r="B447" s="35"/>
      <c r="C447" s="15"/>
      <c r="D447" s="15"/>
      <c r="E447" s="15"/>
      <c r="F447" s="15"/>
      <c r="G447" s="36" t="str">
        <f t="array" ref="G447">IF($F447="","",IFERROR(INDEX(Config!$E:$E,MATCH($F447,Config!$D:$D,0)),0))</f>
        <v/>
      </c>
      <c r="H447" s="16"/>
      <c r="I447" s="36" t="str">
        <f t="shared" si="1"/>
        <v/>
      </c>
      <c r="J447" s="16"/>
      <c r="K447" s="15"/>
      <c r="L447" s="15"/>
      <c r="M447" s="36" t="str">
        <f t="array" ref="M447">IF($A447="","",IF($L447="Atendido",IFERROR($I447*INDEX(Config!$B:$B,MATCH($C447,Config!$A:$A,0)),0),0))</f>
        <v/>
      </c>
      <c r="N447" s="36" t="str">
        <f t="shared" si="2"/>
        <v/>
      </c>
      <c r="O447" s="36" t="str">
        <f t="shared" si="3"/>
        <v/>
      </c>
      <c r="P447" s="15"/>
      <c r="Q447" s="37" t="str">
        <f t="shared" si="4"/>
        <v/>
      </c>
      <c r="R447" s="37" t="str">
        <f t="shared" si="5"/>
        <v/>
      </c>
      <c r="S447" s="32" t="str">
        <f t="shared" si="6"/>
        <v/>
      </c>
      <c r="T447" s="37" t="str">
        <f t="shared" si="7"/>
        <v/>
      </c>
      <c r="U447" s="37" t="str">
        <f t="array" ref="U447">IF($F447="","",IFERROR(INDEX(Config!$F:$F,MATCH($F447,Config!$D:$D,0)),0))</f>
        <v/>
      </c>
    </row>
    <row r="448" ht="15.0" customHeight="1">
      <c r="A448" s="34"/>
      <c r="B448" s="35"/>
      <c r="C448" s="15"/>
      <c r="D448" s="15"/>
      <c r="E448" s="15"/>
      <c r="F448" s="15"/>
      <c r="G448" s="36" t="str">
        <f t="array" ref="G448">IF($F448="","",IFERROR(INDEX(Config!$E:$E,MATCH($F448,Config!$D:$D,0)),0))</f>
        <v/>
      </c>
      <c r="H448" s="16"/>
      <c r="I448" s="36" t="str">
        <f t="shared" si="1"/>
        <v/>
      </c>
      <c r="J448" s="16"/>
      <c r="K448" s="15"/>
      <c r="L448" s="15"/>
      <c r="M448" s="36" t="str">
        <f t="array" ref="M448">IF($A448="","",IF($L448="Atendido",IFERROR($I448*INDEX(Config!$B:$B,MATCH($C448,Config!$A:$A,0)),0),0))</f>
        <v/>
      </c>
      <c r="N448" s="36" t="str">
        <f t="shared" si="2"/>
        <v/>
      </c>
      <c r="O448" s="36" t="str">
        <f t="shared" si="3"/>
        <v/>
      </c>
      <c r="P448" s="15"/>
      <c r="Q448" s="37" t="str">
        <f t="shared" si="4"/>
        <v/>
      </c>
      <c r="R448" s="37" t="str">
        <f t="shared" si="5"/>
        <v/>
      </c>
      <c r="S448" s="32" t="str">
        <f t="shared" si="6"/>
        <v/>
      </c>
      <c r="T448" s="37" t="str">
        <f t="shared" si="7"/>
        <v/>
      </c>
      <c r="U448" s="37" t="str">
        <f t="array" ref="U448">IF($F448="","",IFERROR(INDEX(Config!$F:$F,MATCH($F448,Config!$D:$D,0)),0))</f>
        <v/>
      </c>
    </row>
    <row r="449" ht="15.0" customHeight="1">
      <c r="A449" s="34"/>
      <c r="B449" s="35"/>
      <c r="C449" s="15"/>
      <c r="D449" s="15"/>
      <c r="E449" s="15"/>
      <c r="F449" s="15"/>
      <c r="G449" s="36" t="str">
        <f t="array" ref="G449">IF($F449="","",IFERROR(INDEX(Config!$E:$E,MATCH($F449,Config!$D:$D,0)),0))</f>
        <v/>
      </c>
      <c r="H449" s="16"/>
      <c r="I449" s="36" t="str">
        <f t="shared" si="1"/>
        <v/>
      </c>
      <c r="J449" s="16"/>
      <c r="K449" s="15"/>
      <c r="L449" s="15"/>
      <c r="M449" s="36" t="str">
        <f t="array" ref="M449">IF($A449="","",IF($L449="Atendido",IFERROR($I449*INDEX(Config!$B:$B,MATCH($C449,Config!$A:$A,0)),0),0))</f>
        <v/>
      </c>
      <c r="N449" s="36" t="str">
        <f t="shared" si="2"/>
        <v/>
      </c>
      <c r="O449" s="36" t="str">
        <f t="shared" si="3"/>
        <v/>
      </c>
      <c r="P449" s="15"/>
      <c r="Q449" s="37" t="str">
        <f t="shared" si="4"/>
        <v/>
      </c>
      <c r="R449" s="37" t="str">
        <f t="shared" si="5"/>
        <v/>
      </c>
      <c r="S449" s="32" t="str">
        <f t="shared" si="6"/>
        <v/>
      </c>
      <c r="T449" s="37" t="str">
        <f t="shared" si="7"/>
        <v/>
      </c>
      <c r="U449" s="37" t="str">
        <f t="array" ref="U449">IF($F449="","",IFERROR(INDEX(Config!$F:$F,MATCH($F449,Config!$D:$D,0)),0))</f>
        <v/>
      </c>
    </row>
    <row r="450" ht="15.0" customHeight="1">
      <c r="A450" s="34"/>
      <c r="B450" s="35"/>
      <c r="C450" s="15"/>
      <c r="D450" s="15"/>
      <c r="E450" s="15"/>
      <c r="F450" s="15"/>
      <c r="G450" s="36" t="str">
        <f t="array" ref="G450">IF($F450="","",IFERROR(INDEX(Config!$E:$E,MATCH($F450,Config!$D:$D,0)),0))</f>
        <v/>
      </c>
      <c r="H450" s="16"/>
      <c r="I450" s="36" t="str">
        <f t="shared" si="1"/>
        <v/>
      </c>
      <c r="J450" s="16"/>
      <c r="K450" s="15"/>
      <c r="L450" s="15"/>
      <c r="M450" s="36" t="str">
        <f t="array" ref="M450">IF($A450="","",IF($L450="Atendido",IFERROR($I450*INDEX(Config!$B:$B,MATCH($C450,Config!$A:$A,0)),0),0))</f>
        <v/>
      </c>
      <c r="N450" s="36" t="str">
        <f t="shared" si="2"/>
        <v/>
      </c>
      <c r="O450" s="36" t="str">
        <f t="shared" si="3"/>
        <v/>
      </c>
      <c r="P450" s="15"/>
      <c r="Q450" s="37" t="str">
        <f t="shared" si="4"/>
        <v/>
      </c>
      <c r="R450" s="37" t="str">
        <f t="shared" si="5"/>
        <v/>
      </c>
      <c r="S450" s="32" t="str">
        <f t="shared" si="6"/>
        <v/>
      </c>
      <c r="T450" s="37" t="str">
        <f t="shared" si="7"/>
        <v/>
      </c>
      <c r="U450" s="37" t="str">
        <f t="array" ref="U450">IF($F450="","",IFERROR(INDEX(Config!$F:$F,MATCH($F450,Config!$D:$D,0)),0))</f>
        <v/>
      </c>
    </row>
    <row r="451" ht="15.0" customHeight="1">
      <c r="A451" s="34"/>
      <c r="B451" s="35"/>
      <c r="C451" s="15"/>
      <c r="D451" s="15"/>
      <c r="E451" s="15"/>
      <c r="F451" s="15"/>
      <c r="G451" s="36" t="str">
        <f t="array" ref="G451">IF($F451="","",IFERROR(INDEX(Config!$E:$E,MATCH($F451,Config!$D:$D,0)),0))</f>
        <v/>
      </c>
      <c r="H451" s="16"/>
      <c r="I451" s="36" t="str">
        <f t="shared" si="1"/>
        <v/>
      </c>
      <c r="J451" s="16"/>
      <c r="K451" s="15"/>
      <c r="L451" s="15"/>
      <c r="M451" s="36" t="str">
        <f t="array" ref="M451">IF($A451="","",IF($L451="Atendido",IFERROR($I451*INDEX(Config!$B:$B,MATCH($C451,Config!$A:$A,0)),0),0))</f>
        <v/>
      </c>
      <c r="N451" s="36" t="str">
        <f t="shared" si="2"/>
        <v/>
      </c>
      <c r="O451" s="36" t="str">
        <f t="shared" si="3"/>
        <v/>
      </c>
      <c r="P451" s="15"/>
      <c r="Q451" s="37" t="str">
        <f t="shared" si="4"/>
        <v/>
      </c>
      <c r="R451" s="37" t="str">
        <f t="shared" si="5"/>
        <v/>
      </c>
      <c r="S451" s="32" t="str">
        <f t="shared" si="6"/>
        <v/>
      </c>
      <c r="T451" s="37" t="str">
        <f t="shared" si="7"/>
        <v/>
      </c>
      <c r="U451" s="37" t="str">
        <f t="array" ref="U451">IF($F451="","",IFERROR(INDEX(Config!$F:$F,MATCH($F451,Config!$D:$D,0)),0))</f>
        <v/>
      </c>
    </row>
    <row r="452" ht="15.0" customHeight="1">
      <c r="A452" s="34"/>
      <c r="B452" s="35"/>
      <c r="C452" s="15"/>
      <c r="D452" s="15"/>
      <c r="E452" s="15"/>
      <c r="F452" s="15"/>
      <c r="G452" s="36" t="str">
        <f t="array" ref="G452">IF($F452="","",IFERROR(INDEX(Config!$E:$E,MATCH($F452,Config!$D:$D,0)),0))</f>
        <v/>
      </c>
      <c r="H452" s="16"/>
      <c r="I452" s="36" t="str">
        <f t="shared" si="1"/>
        <v/>
      </c>
      <c r="J452" s="16"/>
      <c r="K452" s="15"/>
      <c r="L452" s="15"/>
      <c r="M452" s="36" t="str">
        <f t="array" ref="M452">IF($A452="","",IF($L452="Atendido",IFERROR($I452*INDEX(Config!$B:$B,MATCH($C452,Config!$A:$A,0)),0),0))</f>
        <v/>
      </c>
      <c r="N452" s="36" t="str">
        <f t="shared" si="2"/>
        <v/>
      </c>
      <c r="O452" s="36" t="str">
        <f t="shared" si="3"/>
        <v/>
      </c>
      <c r="P452" s="15"/>
      <c r="Q452" s="37" t="str">
        <f t="shared" si="4"/>
        <v/>
      </c>
      <c r="R452" s="37" t="str">
        <f t="shared" si="5"/>
        <v/>
      </c>
      <c r="S452" s="32" t="str">
        <f t="shared" si="6"/>
        <v/>
      </c>
      <c r="T452" s="37" t="str">
        <f t="shared" si="7"/>
        <v/>
      </c>
      <c r="U452" s="37" t="str">
        <f t="array" ref="U452">IF($F452="","",IFERROR(INDEX(Config!$F:$F,MATCH($F452,Config!$D:$D,0)),0))</f>
        <v/>
      </c>
    </row>
    <row r="453" ht="15.0" customHeight="1">
      <c r="A453" s="34"/>
      <c r="B453" s="35"/>
      <c r="C453" s="15"/>
      <c r="D453" s="15"/>
      <c r="E453" s="15"/>
      <c r="F453" s="15"/>
      <c r="G453" s="36" t="str">
        <f t="array" ref="G453">IF($F453="","",IFERROR(INDEX(Config!$E:$E,MATCH($F453,Config!$D:$D,0)),0))</f>
        <v/>
      </c>
      <c r="H453" s="16"/>
      <c r="I453" s="36" t="str">
        <f t="shared" si="1"/>
        <v/>
      </c>
      <c r="J453" s="16"/>
      <c r="K453" s="15"/>
      <c r="L453" s="15"/>
      <c r="M453" s="36" t="str">
        <f t="array" ref="M453">IF($A453="","",IF($L453="Atendido",IFERROR($I453*INDEX(Config!$B:$B,MATCH($C453,Config!$A:$A,0)),0),0))</f>
        <v/>
      </c>
      <c r="N453" s="36" t="str">
        <f t="shared" si="2"/>
        <v/>
      </c>
      <c r="O453" s="36" t="str">
        <f t="shared" si="3"/>
        <v/>
      </c>
      <c r="P453" s="15"/>
      <c r="Q453" s="37" t="str">
        <f t="shared" si="4"/>
        <v/>
      </c>
      <c r="R453" s="37" t="str">
        <f t="shared" si="5"/>
        <v/>
      </c>
      <c r="S453" s="32" t="str">
        <f t="shared" si="6"/>
        <v/>
      </c>
      <c r="T453" s="37" t="str">
        <f t="shared" si="7"/>
        <v/>
      </c>
      <c r="U453" s="37" t="str">
        <f t="array" ref="U453">IF($F453="","",IFERROR(INDEX(Config!$F:$F,MATCH($F453,Config!$D:$D,0)),0))</f>
        <v/>
      </c>
    </row>
    <row r="454" ht="15.0" customHeight="1">
      <c r="A454" s="34"/>
      <c r="B454" s="35"/>
      <c r="C454" s="15"/>
      <c r="D454" s="15"/>
      <c r="E454" s="15"/>
      <c r="F454" s="15"/>
      <c r="G454" s="36" t="str">
        <f t="array" ref="G454">IF($F454="","",IFERROR(INDEX(Config!$E:$E,MATCH($F454,Config!$D:$D,0)),0))</f>
        <v/>
      </c>
      <c r="H454" s="16"/>
      <c r="I454" s="36" t="str">
        <f t="shared" si="1"/>
        <v/>
      </c>
      <c r="J454" s="16"/>
      <c r="K454" s="15"/>
      <c r="L454" s="15"/>
      <c r="M454" s="36" t="str">
        <f t="array" ref="M454">IF($A454="","",IF($L454="Atendido",IFERROR($I454*INDEX(Config!$B:$B,MATCH($C454,Config!$A:$A,0)),0),0))</f>
        <v/>
      </c>
      <c r="N454" s="36" t="str">
        <f t="shared" si="2"/>
        <v/>
      </c>
      <c r="O454" s="36" t="str">
        <f t="shared" si="3"/>
        <v/>
      </c>
      <c r="P454" s="15"/>
      <c r="Q454" s="37" t="str">
        <f t="shared" si="4"/>
        <v/>
      </c>
      <c r="R454" s="37" t="str">
        <f t="shared" si="5"/>
        <v/>
      </c>
      <c r="S454" s="32" t="str">
        <f t="shared" si="6"/>
        <v/>
      </c>
      <c r="T454" s="37" t="str">
        <f t="shared" si="7"/>
        <v/>
      </c>
      <c r="U454" s="37" t="str">
        <f t="array" ref="U454">IF($F454="","",IFERROR(INDEX(Config!$F:$F,MATCH($F454,Config!$D:$D,0)),0))</f>
        <v/>
      </c>
    </row>
    <row r="455" ht="15.0" customHeight="1">
      <c r="A455" s="34"/>
      <c r="B455" s="35"/>
      <c r="C455" s="15"/>
      <c r="D455" s="15"/>
      <c r="E455" s="15"/>
      <c r="F455" s="15"/>
      <c r="G455" s="36" t="str">
        <f t="array" ref="G455">IF($F455="","",IFERROR(INDEX(Config!$E:$E,MATCH($F455,Config!$D:$D,0)),0))</f>
        <v/>
      </c>
      <c r="H455" s="16"/>
      <c r="I455" s="36" t="str">
        <f t="shared" si="1"/>
        <v/>
      </c>
      <c r="J455" s="16"/>
      <c r="K455" s="15"/>
      <c r="L455" s="15"/>
      <c r="M455" s="36" t="str">
        <f t="array" ref="M455">IF($A455="","",IF($L455="Atendido",IFERROR($I455*INDEX(Config!$B:$B,MATCH($C455,Config!$A:$A,0)),0),0))</f>
        <v/>
      </c>
      <c r="N455" s="36" t="str">
        <f t="shared" si="2"/>
        <v/>
      </c>
      <c r="O455" s="36" t="str">
        <f t="shared" si="3"/>
        <v/>
      </c>
      <c r="P455" s="15"/>
      <c r="Q455" s="37" t="str">
        <f t="shared" si="4"/>
        <v/>
      </c>
      <c r="R455" s="37" t="str">
        <f t="shared" si="5"/>
        <v/>
      </c>
      <c r="S455" s="32" t="str">
        <f t="shared" si="6"/>
        <v/>
      </c>
      <c r="T455" s="37" t="str">
        <f t="shared" si="7"/>
        <v/>
      </c>
      <c r="U455" s="37" t="str">
        <f t="array" ref="U455">IF($F455="","",IFERROR(INDEX(Config!$F:$F,MATCH($F455,Config!$D:$D,0)),0))</f>
        <v/>
      </c>
    </row>
    <row r="456" ht="15.0" customHeight="1">
      <c r="A456" s="34"/>
      <c r="B456" s="35"/>
      <c r="C456" s="15"/>
      <c r="D456" s="15"/>
      <c r="E456" s="15"/>
      <c r="F456" s="15"/>
      <c r="G456" s="36" t="str">
        <f t="array" ref="G456">IF($F456="","",IFERROR(INDEX(Config!$E:$E,MATCH($F456,Config!$D:$D,0)),0))</f>
        <v/>
      </c>
      <c r="H456" s="16"/>
      <c r="I456" s="36" t="str">
        <f t="shared" si="1"/>
        <v/>
      </c>
      <c r="J456" s="16"/>
      <c r="K456" s="15"/>
      <c r="L456" s="15"/>
      <c r="M456" s="36" t="str">
        <f t="array" ref="M456">IF($A456="","",IF($L456="Atendido",IFERROR($I456*INDEX(Config!$B:$B,MATCH($C456,Config!$A:$A,0)),0),0))</f>
        <v/>
      </c>
      <c r="N456" s="36" t="str">
        <f t="shared" si="2"/>
        <v/>
      </c>
      <c r="O456" s="36" t="str">
        <f t="shared" si="3"/>
        <v/>
      </c>
      <c r="P456" s="15"/>
      <c r="Q456" s="37" t="str">
        <f t="shared" si="4"/>
        <v/>
      </c>
      <c r="R456" s="37" t="str">
        <f t="shared" si="5"/>
        <v/>
      </c>
      <c r="S456" s="32" t="str">
        <f t="shared" si="6"/>
        <v/>
      </c>
      <c r="T456" s="37" t="str">
        <f t="shared" si="7"/>
        <v/>
      </c>
      <c r="U456" s="37" t="str">
        <f t="array" ref="U456">IF($F456="","",IFERROR(INDEX(Config!$F:$F,MATCH($F456,Config!$D:$D,0)),0))</f>
        <v/>
      </c>
    </row>
    <row r="457" ht="15.0" customHeight="1">
      <c r="A457" s="34"/>
      <c r="B457" s="35"/>
      <c r="C457" s="15"/>
      <c r="D457" s="15"/>
      <c r="E457" s="15"/>
      <c r="F457" s="15"/>
      <c r="G457" s="36" t="str">
        <f t="array" ref="G457">IF($F457="","",IFERROR(INDEX(Config!$E:$E,MATCH($F457,Config!$D:$D,0)),0))</f>
        <v/>
      </c>
      <c r="H457" s="16"/>
      <c r="I457" s="36" t="str">
        <f t="shared" si="1"/>
        <v/>
      </c>
      <c r="J457" s="16"/>
      <c r="K457" s="15"/>
      <c r="L457" s="15"/>
      <c r="M457" s="36" t="str">
        <f t="array" ref="M457">IF($A457="","",IF($L457="Atendido",IFERROR($I457*INDEX(Config!$B:$B,MATCH($C457,Config!$A:$A,0)),0),0))</f>
        <v/>
      </c>
      <c r="N457" s="36" t="str">
        <f t="shared" si="2"/>
        <v/>
      </c>
      <c r="O457" s="36" t="str">
        <f t="shared" si="3"/>
        <v/>
      </c>
      <c r="P457" s="15"/>
      <c r="Q457" s="37" t="str">
        <f t="shared" si="4"/>
        <v/>
      </c>
      <c r="R457" s="37" t="str">
        <f t="shared" si="5"/>
        <v/>
      </c>
      <c r="S457" s="32" t="str">
        <f t="shared" si="6"/>
        <v/>
      </c>
      <c r="T457" s="37" t="str">
        <f t="shared" si="7"/>
        <v/>
      </c>
      <c r="U457" s="37" t="str">
        <f t="array" ref="U457">IF($F457="","",IFERROR(INDEX(Config!$F:$F,MATCH($F457,Config!$D:$D,0)),0))</f>
        <v/>
      </c>
    </row>
    <row r="458" ht="15.0" customHeight="1">
      <c r="A458" s="34"/>
      <c r="B458" s="35"/>
      <c r="C458" s="15"/>
      <c r="D458" s="15"/>
      <c r="E458" s="15"/>
      <c r="F458" s="15"/>
      <c r="G458" s="36" t="str">
        <f t="array" ref="G458">IF($F458="","",IFERROR(INDEX(Config!$E:$E,MATCH($F458,Config!$D:$D,0)),0))</f>
        <v/>
      </c>
      <c r="H458" s="16"/>
      <c r="I458" s="36" t="str">
        <f t="shared" si="1"/>
        <v/>
      </c>
      <c r="J458" s="16"/>
      <c r="K458" s="15"/>
      <c r="L458" s="15"/>
      <c r="M458" s="36" t="str">
        <f t="array" ref="M458">IF($A458="","",IF($L458="Atendido",IFERROR($I458*INDEX(Config!$B:$B,MATCH($C458,Config!$A:$A,0)),0),0))</f>
        <v/>
      </c>
      <c r="N458" s="36" t="str">
        <f t="shared" si="2"/>
        <v/>
      </c>
      <c r="O458" s="36" t="str">
        <f t="shared" si="3"/>
        <v/>
      </c>
      <c r="P458" s="15"/>
      <c r="Q458" s="37" t="str">
        <f t="shared" si="4"/>
        <v/>
      </c>
      <c r="R458" s="37" t="str">
        <f t="shared" si="5"/>
        <v/>
      </c>
      <c r="S458" s="32" t="str">
        <f t="shared" si="6"/>
        <v/>
      </c>
      <c r="T458" s="37" t="str">
        <f t="shared" si="7"/>
        <v/>
      </c>
      <c r="U458" s="37" t="str">
        <f t="array" ref="U458">IF($F458="","",IFERROR(INDEX(Config!$F:$F,MATCH($F458,Config!$D:$D,0)),0))</f>
        <v/>
      </c>
    </row>
    <row r="459" ht="15.0" customHeight="1">
      <c r="A459" s="34"/>
      <c r="B459" s="35"/>
      <c r="C459" s="15"/>
      <c r="D459" s="15"/>
      <c r="E459" s="15"/>
      <c r="F459" s="15"/>
      <c r="G459" s="36" t="str">
        <f t="array" ref="G459">IF($F459="","",IFERROR(INDEX(Config!$E:$E,MATCH($F459,Config!$D:$D,0)),0))</f>
        <v/>
      </c>
      <c r="H459" s="16"/>
      <c r="I459" s="36" t="str">
        <f t="shared" si="1"/>
        <v/>
      </c>
      <c r="J459" s="16"/>
      <c r="K459" s="15"/>
      <c r="L459" s="15"/>
      <c r="M459" s="36" t="str">
        <f t="array" ref="M459">IF($A459="","",IF($L459="Atendido",IFERROR($I459*INDEX(Config!$B:$B,MATCH($C459,Config!$A:$A,0)),0),0))</f>
        <v/>
      </c>
      <c r="N459" s="36" t="str">
        <f t="shared" si="2"/>
        <v/>
      </c>
      <c r="O459" s="36" t="str">
        <f t="shared" si="3"/>
        <v/>
      </c>
      <c r="P459" s="15"/>
      <c r="Q459" s="37" t="str">
        <f t="shared" si="4"/>
        <v/>
      </c>
      <c r="R459" s="37" t="str">
        <f t="shared" si="5"/>
        <v/>
      </c>
      <c r="S459" s="32" t="str">
        <f t="shared" si="6"/>
        <v/>
      </c>
      <c r="T459" s="37" t="str">
        <f t="shared" si="7"/>
        <v/>
      </c>
      <c r="U459" s="37" t="str">
        <f t="array" ref="U459">IF($F459="","",IFERROR(INDEX(Config!$F:$F,MATCH($F459,Config!$D:$D,0)),0))</f>
        <v/>
      </c>
    </row>
    <row r="460" ht="15.0" customHeight="1">
      <c r="A460" s="34"/>
      <c r="B460" s="35"/>
      <c r="C460" s="15"/>
      <c r="D460" s="15"/>
      <c r="E460" s="15"/>
      <c r="F460" s="15"/>
      <c r="G460" s="36" t="str">
        <f t="array" ref="G460">IF($F460="","",IFERROR(INDEX(Config!$E:$E,MATCH($F460,Config!$D:$D,0)),0))</f>
        <v/>
      </c>
      <c r="H460" s="16"/>
      <c r="I460" s="36" t="str">
        <f t="shared" si="1"/>
        <v/>
      </c>
      <c r="J460" s="16"/>
      <c r="K460" s="15"/>
      <c r="L460" s="15"/>
      <c r="M460" s="36" t="str">
        <f t="array" ref="M460">IF($A460="","",IF($L460="Atendido",IFERROR($I460*INDEX(Config!$B:$B,MATCH($C460,Config!$A:$A,0)),0),0))</f>
        <v/>
      </c>
      <c r="N460" s="36" t="str">
        <f t="shared" si="2"/>
        <v/>
      </c>
      <c r="O460" s="36" t="str">
        <f t="shared" si="3"/>
        <v/>
      </c>
      <c r="P460" s="15"/>
      <c r="Q460" s="37" t="str">
        <f t="shared" si="4"/>
        <v/>
      </c>
      <c r="R460" s="37" t="str">
        <f t="shared" si="5"/>
        <v/>
      </c>
      <c r="S460" s="32" t="str">
        <f t="shared" si="6"/>
        <v/>
      </c>
      <c r="T460" s="37" t="str">
        <f t="shared" si="7"/>
        <v/>
      </c>
      <c r="U460" s="37" t="str">
        <f t="array" ref="U460">IF($F460="","",IFERROR(INDEX(Config!$F:$F,MATCH($F460,Config!$D:$D,0)),0))</f>
        <v/>
      </c>
    </row>
    <row r="461" ht="15.0" customHeight="1">
      <c r="A461" s="34"/>
      <c r="B461" s="35"/>
      <c r="C461" s="15"/>
      <c r="D461" s="15"/>
      <c r="E461" s="15"/>
      <c r="F461" s="15"/>
      <c r="G461" s="36" t="str">
        <f t="array" ref="G461">IF($F461="","",IFERROR(INDEX(Config!$E:$E,MATCH($F461,Config!$D:$D,0)),0))</f>
        <v/>
      </c>
      <c r="H461" s="16"/>
      <c r="I461" s="36" t="str">
        <f t="shared" si="1"/>
        <v/>
      </c>
      <c r="J461" s="16"/>
      <c r="K461" s="15"/>
      <c r="L461" s="15"/>
      <c r="M461" s="36" t="str">
        <f t="array" ref="M461">IF($A461="","",IF($L461="Atendido",IFERROR($I461*INDEX(Config!$B:$B,MATCH($C461,Config!$A:$A,0)),0),0))</f>
        <v/>
      </c>
      <c r="N461" s="36" t="str">
        <f t="shared" si="2"/>
        <v/>
      </c>
      <c r="O461" s="36" t="str">
        <f t="shared" si="3"/>
        <v/>
      </c>
      <c r="P461" s="15"/>
      <c r="Q461" s="37" t="str">
        <f t="shared" si="4"/>
        <v/>
      </c>
      <c r="R461" s="37" t="str">
        <f t="shared" si="5"/>
        <v/>
      </c>
      <c r="S461" s="32" t="str">
        <f t="shared" si="6"/>
        <v/>
      </c>
      <c r="T461" s="37" t="str">
        <f t="shared" si="7"/>
        <v/>
      </c>
      <c r="U461" s="37" t="str">
        <f t="array" ref="U461">IF($F461="","",IFERROR(INDEX(Config!$F:$F,MATCH($F461,Config!$D:$D,0)),0))</f>
        <v/>
      </c>
    </row>
    <row r="462" ht="15.0" customHeight="1">
      <c r="A462" s="34"/>
      <c r="B462" s="35"/>
      <c r="C462" s="15"/>
      <c r="D462" s="15"/>
      <c r="E462" s="15"/>
      <c r="F462" s="15"/>
      <c r="G462" s="36" t="str">
        <f t="array" ref="G462">IF($F462="","",IFERROR(INDEX(Config!$E:$E,MATCH($F462,Config!$D:$D,0)),0))</f>
        <v/>
      </c>
      <c r="H462" s="16"/>
      <c r="I462" s="36" t="str">
        <f t="shared" si="1"/>
        <v/>
      </c>
      <c r="J462" s="16"/>
      <c r="K462" s="15"/>
      <c r="L462" s="15"/>
      <c r="M462" s="36" t="str">
        <f t="array" ref="M462">IF($A462="","",IF($L462="Atendido",IFERROR($I462*INDEX(Config!$B:$B,MATCH($C462,Config!$A:$A,0)),0),0))</f>
        <v/>
      </c>
      <c r="N462" s="36" t="str">
        <f t="shared" si="2"/>
        <v/>
      </c>
      <c r="O462" s="36" t="str">
        <f t="shared" si="3"/>
        <v/>
      </c>
      <c r="P462" s="15"/>
      <c r="Q462" s="37" t="str">
        <f t="shared" si="4"/>
        <v/>
      </c>
      <c r="R462" s="37" t="str">
        <f t="shared" si="5"/>
        <v/>
      </c>
      <c r="S462" s="32" t="str">
        <f t="shared" si="6"/>
        <v/>
      </c>
      <c r="T462" s="37" t="str">
        <f t="shared" si="7"/>
        <v/>
      </c>
      <c r="U462" s="37" t="str">
        <f t="array" ref="U462">IF($F462="","",IFERROR(INDEX(Config!$F:$F,MATCH($F462,Config!$D:$D,0)),0))</f>
        <v/>
      </c>
    </row>
    <row r="463" ht="15.0" customHeight="1">
      <c r="A463" s="34"/>
      <c r="B463" s="35"/>
      <c r="C463" s="15"/>
      <c r="D463" s="15"/>
      <c r="E463" s="15"/>
      <c r="F463" s="15"/>
      <c r="G463" s="36" t="str">
        <f t="array" ref="G463">IF($F463="","",IFERROR(INDEX(Config!$E:$E,MATCH($F463,Config!$D:$D,0)),0))</f>
        <v/>
      </c>
      <c r="H463" s="16"/>
      <c r="I463" s="36" t="str">
        <f t="shared" si="1"/>
        <v/>
      </c>
      <c r="J463" s="16"/>
      <c r="K463" s="15"/>
      <c r="L463" s="15"/>
      <c r="M463" s="36" t="str">
        <f t="array" ref="M463">IF($A463="","",IF($L463="Atendido",IFERROR($I463*INDEX(Config!$B:$B,MATCH($C463,Config!$A:$A,0)),0),0))</f>
        <v/>
      </c>
      <c r="N463" s="36" t="str">
        <f t="shared" si="2"/>
        <v/>
      </c>
      <c r="O463" s="36" t="str">
        <f t="shared" si="3"/>
        <v/>
      </c>
      <c r="P463" s="15"/>
      <c r="Q463" s="37" t="str">
        <f t="shared" si="4"/>
        <v/>
      </c>
      <c r="R463" s="37" t="str">
        <f t="shared" si="5"/>
        <v/>
      </c>
      <c r="S463" s="32" t="str">
        <f t="shared" si="6"/>
        <v/>
      </c>
      <c r="T463" s="37" t="str">
        <f t="shared" si="7"/>
        <v/>
      </c>
      <c r="U463" s="37" t="str">
        <f t="array" ref="U463">IF($F463="","",IFERROR(INDEX(Config!$F:$F,MATCH($F463,Config!$D:$D,0)),0))</f>
        <v/>
      </c>
    </row>
    <row r="464" ht="15.0" customHeight="1">
      <c r="A464" s="34"/>
      <c r="B464" s="35"/>
      <c r="C464" s="15"/>
      <c r="D464" s="15"/>
      <c r="E464" s="15"/>
      <c r="F464" s="15"/>
      <c r="G464" s="36" t="str">
        <f t="array" ref="G464">IF($F464="","",IFERROR(INDEX(Config!$E:$E,MATCH($F464,Config!$D:$D,0)),0))</f>
        <v/>
      </c>
      <c r="H464" s="16"/>
      <c r="I464" s="36" t="str">
        <f t="shared" si="1"/>
        <v/>
      </c>
      <c r="J464" s="16"/>
      <c r="K464" s="15"/>
      <c r="L464" s="15"/>
      <c r="M464" s="36" t="str">
        <f t="array" ref="M464">IF($A464="","",IF($L464="Atendido",IFERROR($I464*INDEX(Config!$B:$B,MATCH($C464,Config!$A:$A,0)),0),0))</f>
        <v/>
      </c>
      <c r="N464" s="36" t="str">
        <f t="shared" si="2"/>
        <v/>
      </c>
      <c r="O464" s="36" t="str">
        <f t="shared" si="3"/>
        <v/>
      </c>
      <c r="P464" s="15"/>
      <c r="Q464" s="37" t="str">
        <f t="shared" si="4"/>
        <v/>
      </c>
      <c r="R464" s="37" t="str">
        <f t="shared" si="5"/>
        <v/>
      </c>
      <c r="S464" s="32" t="str">
        <f t="shared" si="6"/>
        <v/>
      </c>
      <c r="T464" s="37" t="str">
        <f t="shared" si="7"/>
        <v/>
      </c>
      <c r="U464" s="37" t="str">
        <f t="array" ref="U464">IF($F464="","",IFERROR(INDEX(Config!$F:$F,MATCH($F464,Config!$D:$D,0)),0))</f>
        <v/>
      </c>
    </row>
    <row r="465" ht="15.0" customHeight="1">
      <c r="A465" s="34"/>
      <c r="B465" s="35"/>
      <c r="C465" s="15"/>
      <c r="D465" s="15"/>
      <c r="E465" s="15"/>
      <c r="F465" s="15"/>
      <c r="G465" s="36" t="str">
        <f t="array" ref="G465">IF($F465="","",IFERROR(INDEX(Config!$E:$E,MATCH($F465,Config!$D:$D,0)),0))</f>
        <v/>
      </c>
      <c r="H465" s="16"/>
      <c r="I465" s="36" t="str">
        <f t="shared" si="1"/>
        <v/>
      </c>
      <c r="J465" s="16"/>
      <c r="K465" s="15"/>
      <c r="L465" s="15"/>
      <c r="M465" s="36" t="str">
        <f t="array" ref="M465">IF($A465="","",IF($L465="Atendido",IFERROR($I465*INDEX(Config!$B:$B,MATCH($C465,Config!$A:$A,0)),0),0))</f>
        <v/>
      </c>
      <c r="N465" s="36" t="str">
        <f t="shared" si="2"/>
        <v/>
      </c>
      <c r="O465" s="36" t="str">
        <f t="shared" si="3"/>
        <v/>
      </c>
      <c r="P465" s="15"/>
      <c r="Q465" s="37" t="str">
        <f t="shared" si="4"/>
        <v/>
      </c>
      <c r="R465" s="37" t="str">
        <f t="shared" si="5"/>
        <v/>
      </c>
      <c r="S465" s="32" t="str">
        <f t="shared" si="6"/>
        <v/>
      </c>
      <c r="T465" s="37" t="str">
        <f t="shared" si="7"/>
        <v/>
      </c>
      <c r="U465" s="37" t="str">
        <f t="array" ref="U465">IF($F465="","",IFERROR(INDEX(Config!$F:$F,MATCH($F465,Config!$D:$D,0)),0))</f>
        <v/>
      </c>
    </row>
    <row r="466" ht="15.0" customHeight="1">
      <c r="A466" s="34"/>
      <c r="B466" s="35"/>
      <c r="C466" s="15"/>
      <c r="D466" s="15"/>
      <c r="E466" s="15"/>
      <c r="F466" s="15"/>
      <c r="G466" s="36" t="str">
        <f t="array" ref="G466">IF($F466="","",IFERROR(INDEX(Config!$E:$E,MATCH($F466,Config!$D:$D,0)),0))</f>
        <v/>
      </c>
      <c r="H466" s="16"/>
      <c r="I466" s="36" t="str">
        <f t="shared" si="1"/>
        <v/>
      </c>
      <c r="J466" s="16"/>
      <c r="K466" s="15"/>
      <c r="L466" s="15"/>
      <c r="M466" s="36" t="str">
        <f t="array" ref="M466">IF($A466="","",IF($L466="Atendido",IFERROR($I466*INDEX(Config!$B:$B,MATCH($C466,Config!$A:$A,0)),0),0))</f>
        <v/>
      </c>
      <c r="N466" s="36" t="str">
        <f t="shared" si="2"/>
        <v/>
      </c>
      <c r="O466" s="36" t="str">
        <f t="shared" si="3"/>
        <v/>
      </c>
      <c r="P466" s="15"/>
      <c r="Q466" s="37" t="str">
        <f t="shared" si="4"/>
        <v/>
      </c>
      <c r="R466" s="37" t="str">
        <f t="shared" si="5"/>
        <v/>
      </c>
      <c r="S466" s="32" t="str">
        <f t="shared" si="6"/>
        <v/>
      </c>
      <c r="T466" s="37" t="str">
        <f t="shared" si="7"/>
        <v/>
      </c>
      <c r="U466" s="37" t="str">
        <f t="array" ref="U466">IF($F466="","",IFERROR(INDEX(Config!$F:$F,MATCH($F466,Config!$D:$D,0)),0))</f>
        <v/>
      </c>
    </row>
    <row r="467" ht="15.0" customHeight="1">
      <c r="A467" s="34"/>
      <c r="B467" s="35"/>
      <c r="C467" s="15"/>
      <c r="D467" s="15"/>
      <c r="E467" s="15"/>
      <c r="F467" s="15"/>
      <c r="G467" s="36" t="str">
        <f t="array" ref="G467">IF($F467="","",IFERROR(INDEX(Config!$E:$E,MATCH($F467,Config!$D:$D,0)),0))</f>
        <v/>
      </c>
      <c r="H467" s="16"/>
      <c r="I467" s="36" t="str">
        <f t="shared" si="1"/>
        <v/>
      </c>
      <c r="J467" s="16"/>
      <c r="K467" s="15"/>
      <c r="L467" s="15"/>
      <c r="M467" s="36" t="str">
        <f t="array" ref="M467">IF($A467="","",IF($L467="Atendido",IFERROR($I467*INDEX(Config!$B:$B,MATCH($C467,Config!$A:$A,0)),0),0))</f>
        <v/>
      </c>
      <c r="N467" s="36" t="str">
        <f t="shared" si="2"/>
        <v/>
      </c>
      <c r="O467" s="36" t="str">
        <f t="shared" si="3"/>
        <v/>
      </c>
      <c r="P467" s="15"/>
      <c r="Q467" s="37" t="str">
        <f t="shared" si="4"/>
        <v/>
      </c>
      <c r="R467" s="37" t="str">
        <f t="shared" si="5"/>
        <v/>
      </c>
      <c r="S467" s="32" t="str">
        <f t="shared" si="6"/>
        <v/>
      </c>
      <c r="T467" s="37" t="str">
        <f t="shared" si="7"/>
        <v/>
      </c>
      <c r="U467" s="37" t="str">
        <f t="array" ref="U467">IF($F467="","",IFERROR(INDEX(Config!$F:$F,MATCH($F467,Config!$D:$D,0)),0))</f>
        <v/>
      </c>
    </row>
    <row r="468" ht="15.0" customHeight="1">
      <c r="A468" s="34"/>
      <c r="B468" s="35"/>
      <c r="C468" s="15"/>
      <c r="D468" s="15"/>
      <c r="E468" s="15"/>
      <c r="F468" s="15"/>
      <c r="G468" s="36" t="str">
        <f t="array" ref="G468">IF($F468="","",IFERROR(INDEX(Config!$E:$E,MATCH($F468,Config!$D:$D,0)),0))</f>
        <v/>
      </c>
      <c r="H468" s="16"/>
      <c r="I468" s="36" t="str">
        <f t="shared" si="1"/>
        <v/>
      </c>
      <c r="J468" s="16"/>
      <c r="K468" s="15"/>
      <c r="L468" s="15"/>
      <c r="M468" s="36" t="str">
        <f t="array" ref="M468">IF($A468="","",IF($L468="Atendido",IFERROR($I468*INDEX(Config!$B:$B,MATCH($C468,Config!$A:$A,0)),0),0))</f>
        <v/>
      </c>
      <c r="N468" s="36" t="str">
        <f t="shared" si="2"/>
        <v/>
      </c>
      <c r="O468" s="36" t="str">
        <f t="shared" si="3"/>
        <v/>
      </c>
      <c r="P468" s="15"/>
      <c r="Q468" s="37" t="str">
        <f t="shared" si="4"/>
        <v/>
      </c>
      <c r="R468" s="37" t="str">
        <f t="shared" si="5"/>
        <v/>
      </c>
      <c r="S468" s="32" t="str">
        <f t="shared" si="6"/>
        <v/>
      </c>
      <c r="T468" s="37" t="str">
        <f t="shared" si="7"/>
        <v/>
      </c>
      <c r="U468" s="37" t="str">
        <f t="array" ref="U468">IF($F468="","",IFERROR(INDEX(Config!$F:$F,MATCH($F468,Config!$D:$D,0)),0))</f>
        <v/>
      </c>
    </row>
    <row r="469" ht="15.0" customHeight="1">
      <c r="A469" s="34"/>
      <c r="B469" s="35"/>
      <c r="C469" s="15"/>
      <c r="D469" s="15"/>
      <c r="E469" s="15"/>
      <c r="F469" s="15"/>
      <c r="G469" s="36" t="str">
        <f t="array" ref="G469">IF($F469="","",IFERROR(INDEX(Config!$E:$E,MATCH($F469,Config!$D:$D,0)),0))</f>
        <v/>
      </c>
      <c r="H469" s="16"/>
      <c r="I469" s="36" t="str">
        <f t="shared" si="1"/>
        <v/>
      </c>
      <c r="J469" s="16"/>
      <c r="K469" s="15"/>
      <c r="L469" s="15"/>
      <c r="M469" s="36" t="str">
        <f t="array" ref="M469">IF($A469="","",IF($L469="Atendido",IFERROR($I469*INDEX(Config!$B:$B,MATCH($C469,Config!$A:$A,0)),0),0))</f>
        <v/>
      </c>
      <c r="N469" s="36" t="str">
        <f t="shared" si="2"/>
        <v/>
      </c>
      <c r="O469" s="36" t="str">
        <f t="shared" si="3"/>
        <v/>
      </c>
      <c r="P469" s="15"/>
      <c r="Q469" s="37" t="str">
        <f t="shared" si="4"/>
        <v/>
      </c>
      <c r="R469" s="37" t="str">
        <f t="shared" si="5"/>
        <v/>
      </c>
      <c r="S469" s="32" t="str">
        <f t="shared" si="6"/>
        <v/>
      </c>
      <c r="T469" s="37" t="str">
        <f t="shared" si="7"/>
        <v/>
      </c>
      <c r="U469" s="37" t="str">
        <f t="array" ref="U469">IF($F469="","",IFERROR(INDEX(Config!$F:$F,MATCH($F469,Config!$D:$D,0)),0))</f>
        <v/>
      </c>
    </row>
    <row r="470" ht="15.0" customHeight="1">
      <c r="A470" s="34"/>
      <c r="B470" s="35"/>
      <c r="C470" s="15"/>
      <c r="D470" s="15"/>
      <c r="E470" s="15"/>
      <c r="F470" s="15"/>
      <c r="G470" s="36" t="str">
        <f t="array" ref="G470">IF($F470="","",IFERROR(INDEX(Config!$E:$E,MATCH($F470,Config!$D:$D,0)),0))</f>
        <v/>
      </c>
      <c r="H470" s="16"/>
      <c r="I470" s="36" t="str">
        <f t="shared" si="1"/>
        <v/>
      </c>
      <c r="J470" s="16"/>
      <c r="K470" s="15"/>
      <c r="L470" s="15"/>
      <c r="M470" s="36" t="str">
        <f t="array" ref="M470">IF($A470="","",IF($L470="Atendido",IFERROR($I470*INDEX(Config!$B:$B,MATCH($C470,Config!$A:$A,0)),0),0))</f>
        <v/>
      </c>
      <c r="N470" s="36" t="str">
        <f t="shared" si="2"/>
        <v/>
      </c>
      <c r="O470" s="36" t="str">
        <f t="shared" si="3"/>
        <v/>
      </c>
      <c r="P470" s="15"/>
      <c r="Q470" s="37" t="str">
        <f t="shared" si="4"/>
        <v/>
      </c>
      <c r="R470" s="37" t="str">
        <f t="shared" si="5"/>
        <v/>
      </c>
      <c r="S470" s="32" t="str">
        <f t="shared" si="6"/>
        <v/>
      </c>
      <c r="T470" s="37" t="str">
        <f t="shared" si="7"/>
        <v/>
      </c>
      <c r="U470" s="37" t="str">
        <f t="array" ref="U470">IF($F470="","",IFERROR(INDEX(Config!$F:$F,MATCH($F470,Config!$D:$D,0)),0))</f>
        <v/>
      </c>
    </row>
    <row r="471" ht="15.0" customHeight="1">
      <c r="A471" s="34"/>
      <c r="B471" s="35"/>
      <c r="C471" s="15"/>
      <c r="D471" s="15"/>
      <c r="E471" s="15"/>
      <c r="F471" s="15"/>
      <c r="G471" s="36" t="str">
        <f t="array" ref="G471">IF($F471="","",IFERROR(INDEX(Config!$E:$E,MATCH($F471,Config!$D:$D,0)),0))</f>
        <v/>
      </c>
      <c r="H471" s="16"/>
      <c r="I471" s="36" t="str">
        <f t="shared" si="1"/>
        <v/>
      </c>
      <c r="J471" s="16"/>
      <c r="K471" s="15"/>
      <c r="L471" s="15"/>
      <c r="M471" s="36" t="str">
        <f t="array" ref="M471">IF($A471="","",IF($L471="Atendido",IFERROR($I471*INDEX(Config!$B:$B,MATCH($C471,Config!$A:$A,0)),0),0))</f>
        <v/>
      </c>
      <c r="N471" s="36" t="str">
        <f t="shared" si="2"/>
        <v/>
      </c>
      <c r="O471" s="36" t="str">
        <f t="shared" si="3"/>
        <v/>
      </c>
      <c r="P471" s="15"/>
      <c r="Q471" s="37" t="str">
        <f t="shared" si="4"/>
        <v/>
      </c>
      <c r="R471" s="37" t="str">
        <f t="shared" si="5"/>
        <v/>
      </c>
      <c r="S471" s="32" t="str">
        <f t="shared" si="6"/>
        <v/>
      </c>
      <c r="T471" s="37" t="str">
        <f t="shared" si="7"/>
        <v/>
      </c>
      <c r="U471" s="37" t="str">
        <f t="array" ref="U471">IF($F471="","",IFERROR(INDEX(Config!$F:$F,MATCH($F471,Config!$D:$D,0)),0))</f>
        <v/>
      </c>
    </row>
    <row r="472" ht="15.0" customHeight="1">
      <c r="A472" s="34"/>
      <c r="B472" s="35"/>
      <c r="C472" s="15"/>
      <c r="D472" s="15"/>
      <c r="E472" s="15"/>
      <c r="F472" s="15"/>
      <c r="G472" s="36" t="str">
        <f t="array" ref="G472">IF($F472="","",IFERROR(INDEX(Config!$E:$E,MATCH($F472,Config!$D:$D,0)),0))</f>
        <v/>
      </c>
      <c r="H472" s="16"/>
      <c r="I472" s="36" t="str">
        <f t="shared" si="1"/>
        <v/>
      </c>
      <c r="J472" s="16"/>
      <c r="K472" s="15"/>
      <c r="L472" s="15"/>
      <c r="M472" s="36" t="str">
        <f t="array" ref="M472">IF($A472="","",IF($L472="Atendido",IFERROR($I472*INDEX(Config!$B:$B,MATCH($C472,Config!$A:$A,0)),0),0))</f>
        <v/>
      </c>
      <c r="N472" s="36" t="str">
        <f t="shared" si="2"/>
        <v/>
      </c>
      <c r="O472" s="36" t="str">
        <f t="shared" si="3"/>
        <v/>
      </c>
      <c r="P472" s="15"/>
      <c r="Q472" s="37" t="str">
        <f t="shared" si="4"/>
        <v/>
      </c>
      <c r="R472" s="37" t="str">
        <f t="shared" si="5"/>
        <v/>
      </c>
      <c r="S472" s="32" t="str">
        <f t="shared" si="6"/>
        <v/>
      </c>
      <c r="T472" s="37" t="str">
        <f t="shared" si="7"/>
        <v/>
      </c>
      <c r="U472" s="37" t="str">
        <f t="array" ref="U472">IF($F472="","",IFERROR(INDEX(Config!$F:$F,MATCH($F472,Config!$D:$D,0)),0))</f>
        <v/>
      </c>
    </row>
    <row r="473" ht="15.0" customHeight="1">
      <c r="A473" s="34"/>
      <c r="B473" s="35"/>
      <c r="C473" s="15"/>
      <c r="D473" s="15"/>
      <c r="E473" s="15"/>
      <c r="F473" s="15"/>
      <c r="G473" s="36" t="str">
        <f t="array" ref="G473">IF($F473="","",IFERROR(INDEX(Config!$E:$E,MATCH($F473,Config!$D:$D,0)),0))</f>
        <v/>
      </c>
      <c r="H473" s="16"/>
      <c r="I473" s="36" t="str">
        <f t="shared" si="1"/>
        <v/>
      </c>
      <c r="J473" s="16"/>
      <c r="K473" s="15"/>
      <c r="L473" s="15"/>
      <c r="M473" s="36" t="str">
        <f t="array" ref="M473">IF($A473="","",IF($L473="Atendido",IFERROR($I473*INDEX(Config!$B:$B,MATCH($C473,Config!$A:$A,0)),0),0))</f>
        <v/>
      </c>
      <c r="N473" s="36" t="str">
        <f t="shared" si="2"/>
        <v/>
      </c>
      <c r="O473" s="36" t="str">
        <f t="shared" si="3"/>
        <v/>
      </c>
      <c r="P473" s="15"/>
      <c r="Q473" s="37" t="str">
        <f t="shared" si="4"/>
        <v/>
      </c>
      <c r="R473" s="37" t="str">
        <f t="shared" si="5"/>
        <v/>
      </c>
      <c r="S473" s="32" t="str">
        <f t="shared" si="6"/>
        <v/>
      </c>
      <c r="T473" s="37" t="str">
        <f t="shared" si="7"/>
        <v/>
      </c>
      <c r="U473" s="37" t="str">
        <f t="array" ref="U473">IF($F473="","",IFERROR(INDEX(Config!$F:$F,MATCH($F473,Config!$D:$D,0)),0))</f>
        <v/>
      </c>
    </row>
    <row r="474" ht="15.0" customHeight="1">
      <c r="A474" s="34"/>
      <c r="B474" s="35"/>
      <c r="C474" s="15"/>
      <c r="D474" s="15"/>
      <c r="E474" s="15"/>
      <c r="F474" s="15"/>
      <c r="G474" s="36" t="str">
        <f t="array" ref="G474">IF($F474="","",IFERROR(INDEX(Config!$E:$E,MATCH($F474,Config!$D:$D,0)),0))</f>
        <v/>
      </c>
      <c r="H474" s="16"/>
      <c r="I474" s="36" t="str">
        <f t="shared" si="1"/>
        <v/>
      </c>
      <c r="J474" s="16"/>
      <c r="K474" s="15"/>
      <c r="L474" s="15"/>
      <c r="M474" s="36" t="str">
        <f t="array" ref="M474">IF($A474="","",IF($L474="Atendido",IFERROR($I474*INDEX(Config!$B:$B,MATCH($C474,Config!$A:$A,0)),0),0))</f>
        <v/>
      </c>
      <c r="N474" s="36" t="str">
        <f t="shared" si="2"/>
        <v/>
      </c>
      <c r="O474" s="36" t="str">
        <f t="shared" si="3"/>
        <v/>
      </c>
      <c r="P474" s="15"/>
      <c r="Q474" s="37" t="str">
        <f t="shared" si="4"/>
        <v/>
      </c>
      <c r="R474" s="37" t="str">
        <f t="shared" si="5"/>
        <v/>
      </c>
      <c r="S474" s="32" t="str">
        <f t="shared" si="6"/>
        <v/>
      </c>
      <c r="T474" s="37" t="str">
        <f t="shared" si="7"/>
        <v/>
      </c>
      <c r="U474" s="37" t="str">
        <f t="array" ref="U474">IF($F474="","",IFERROR(INDEX(Config!$F:$F,MATCH($F474,Config!$D:$D,0)),0))</f>
        <v/>
      </c>
    </row>
    <row r="475" ht="15.0" customHeight="1">
      <c r="A475" s="34"/>
      <c r="B475" s="35"/>
      <c r="C475" s="15"/>
      <c r="D475" s="15"/>
      <c r="E475" s="15"/>
      <c r="F475" s="15"/>
      <c r="G475" s="36" t="str">
        <f t="array" ref="G475">IF($F475="","",IFERROR(INDEX(Config!$E:$E,MATCH($F475,Config!$D:$D,0)),0))</f>
        <v/>
      </c>
      <c r="H475" s="16"/>
      <c r="I475" s="36" t="str">
        <f t="shared" si="1"/>
        <v/>
      </c>
      <c r="J475" s="16"/>
      <c r="K475" s="15"/>
      <c r="L475" s="15"/>
      <c r="M475" s="36" t="str">
        <f t="array" ref="M475">IF($A475="","",IF($L475="Atendido",IFERROR($I475*INDEX(Config!$B:$B,MATCH($C475,Config!$A:$A,0)),0),0))</f>
        <v/>
      </c>
      <c r="N475" s="36" t="str">
        <f t="shared" si="2"/>
        <v/>
      </c>
      <c r="O475" s="36" t="str">
        <f t="shared" si="3"/>
        <v/>
      </c>
      <c r="P475" s="15"/>
      <c r="Q475" s="37" t="str">
        <f t="shared" si="4"/>
        <v/>
      </c>
      <c r="R475" s="37" t="str">
        <f t="shared" si="5"/>
        <v/>
      </c>
      <c r="S475" s="32" t="str">
        <f t="shared" si="6"/>
        <v/>
      </c>
      <c r="T475" s="37" t="str">
        <f t="shared" si="7"/>
        <v/>
      </c>
      <c r="U475" s="37" t="str">
        <f t="array" ref="U475">IF($F475="","",IFERROR(INDEX(Config!$F:$F,MATCH($F475,Config!$D:$D,0)),0))</f>
        <v/>
      </c>
    </row>
    <row r="476" ht="15.0" customHeight="1">
      <c r="A476" s="34"/>
      <c r="B476" s="35"/>
      <c r="C476" s="15"/>
      <c r="D476" s="15"/>
      <c r="E476" s="15"/>
      <c r="F476" s="15"/>
      <c r="G476" s="36" t="str">
        <f t="array" ref="G476">IF($F476="","",IFERROR(INDEX(Config!$E:$E,MATCH($F476,Config!$D:$D,0)),0))</f>
        <v/>
      </c>
      <c r="H476" s="16"/>
      <c r="I476" s="36" t="str">
        <f t="shared" si="1"/>
        <v/>
      </c>
      <c r="J476" s="16"/>
      <c r="K476" s="15"/>
      <c r="L476" s="15"/>
      <c r="M476" s="36" t="str">
        <f t="array" ref="M476">IF($A476="","",IF($L476="Atendido",IFERROR($I476*INDEX(Config!$B:$B,MATCH($C476,Config!$A:$A,0)),0),0))</f>
        <v/>
      </c>
      <c r="N476" s="36" t="str">
        <f t="shared" si="2"/>
        <v/>
      </c>
      <c r="O476" s="36" t="str">
        <f t="shared" si="3"/>
        <v/>
      </c>
      <c r="P476" s="15"/>
      <c r="Q476" s="37" t="str">
        <f t="shared" si="4"/>
        <v/>
      </c>
      <c r="R476" s="37" t="str">
        <f t="shared" si="5"/>
        <v/>
      </c>
      <c r="S476" s="32" t="str">
        <f t="shared" si="6"/>
        <v/>
      </c>
      <c r="T476" s="37" t="str">
        <f t="shared" si="7"/>
        <v/>
      </c>
      <c r="U476" s="37" t="str">
        <f t="array" ref="U476">IF($F476="","",IFERROR(INDEX(Config!$F:$F,MATCH($F476,Config!$D:$D,0)),0))</f>
        <v/>
      </c>
    </row>
    <row r="477" ht="15.0" customHeight="1">
      <c r="A477" s="34"/>
      <c r="B477" s="35"/>
      <c r="C477" s="15"/>
      <c r="D477" s="15"/>
      <c r="E477" s="15"/>
      <c r="F477" s="15"/>
      <c r="G477" s="36" t="str">
        <f t="array" ref="G477">IF($F477="","",IFERROR(INDEX(Config!$E:$E,MATCH($F477,Config!$D:$D,0)),0))</f>
        <v/>
      </c>
      <c r="H477" s="16"/>
      <c r="I477" s="36" t="str">
        <f t="shared" si="1"/>
        <v/>
      </c>
      <c r="J477" s="16"/>
      <c r="K477" s="15"/>
      <c r="L477" s="15"/>
      <c r="M477" s="36" t="str">
        <f t="array" ref="M477">IF($A477="","",IF($L477="Atendido",IFERROR($I477*INDEX(Config!$B:$B,MATCH($C477,Config!$A:$A,0)),0),0))</f>
        <v/>
      </c>
      <c r="N477" s="36" t="str">
        <f t="shared" si="2"/>
        <v/>
      </c>
      <c r="O477" s="36" t="str">
        <f t="shared" si="3"/>
        <v/>
      </c>
      <c r="P477" s="15"/>
      <c r="Q477" s="37" t="str">
        <f t="shared" si="4"/>
        <v/>
      </c>
      <c r="R477" s="37" t="str">
        <f t="shared" si="5"/>
        <v/>
      </c>
      <c r="S477" s="32" t="str">
        <f t="shared" si="6"/>
        <v/>
      </c>
      <c r="T477" s="37" t="str">
        <f t="shared" si="7"/>
        <v/>
      </c>
      <c r="U477" s="37" t="str">
        <f t="array" ref="U477">IF($F477="","",IFERROR(INDEX(Config!$F:$F,MATCH($F477,Config!$D:$D,0)),0))</f>
        <v/>
      </c>
    </row>
    <row r="478" ht="15.0" customHeight="1">
      <c r="A478" s="34"/>
      <c r="B478" s="35"/>
      <c r="C478" s="15"/>
      <c r="D478" s="15"/>
      <c r="E478" s="15"/>
      <c r="F478" s="15"/>
      <c r="G478" s="36" t="str">
        <f t="array" ref="G478">IF($F478="","",IFERROR(INDEX(Config!$E:$E,MATCH($F478,Config!$D:$D,0)),0))</f>
        <v/>
      </c>
      <c r="H478" s="16"/>
      <c r="I478" s="36" t="str">
        <f t="shared" si="1"/>
        <v/>
      </c>
      <c r="J478" s="16"/>
      <c r="K478" s="15"/>
      <c r="L478" s="15"/>
      <c r="M478" s="36" t="str">
        <f t="array" ref="M478">IF($A478="","",IF($L478="Atendido",IFERROR($I478*INDEX(Config!$B:$B,MATCH($C478,Config!$A:$A,0)),0),0))</f>
        <v/>
      </c>
      <c r="N478" s="36" t="str">
        <f t="shared" si="2"/>
        <v/>
      </c>
      <c r="O478" s="36" t="str">
        <f t="shared" si="3"/>
        <v/>
      </c>
      <c r="P478" s="15"/>
      <c r="Q478" s="37" t="str">
        <f t="shared" si="4"/>
        <v/>
      </c>
      <c r="R478" s="37" t="str">
        <f t="shared" si="5"/>
        <v/>
      </c>
      <c r="S478" s="32" t="str">
        <f t="shared" si="6"/>
        <v/>
      </c>
      <c r="T478" s="37" t="str">
        <f t="shared" si="7"/>
        <v/>
      </c>
      <c r="U478" s="37" t="str">
        <f t="array" ref="U478">IF($F478="","",IFERROR(INDEX(Config!$F:$F,MATCH($F478,Config!$D:$D,0)),0))</f>
        <v/>
      </c>
    </row>
    <row r="479" ht="15.0" customHeight="1">
      <c r="A479" s="34"/>
      <c r="B479" s="35"/>
      <c r="C479" s="15"/>
      <c r="D479" s="15"/>
      <c r="E479" s="15"/>
      <c r="F479" s="15"/>
      <c r="G479" s="36" t="str">
        <f t="array" ref="G479">IF($F479="","",IFERROR(INDEX(Config!$E:$E,MATCH($F479,Config!$D:$D,0)),0))</f>
        <v/>
      </c>
      <c r="H479" s="16"/>
      <c r="I479" s="36" t="str">
        <f t="shared" si="1"/>
        <v/>
      </c>
      <c r="J479" s="16"/>
      <c r="K479" s="15"/>
      <c r="L479" s="15"/>
      <c r="M479" s="36" t="str">
        <f t="array" ref="M479">IF($A479="","",IF($L479="Atendido",IFERROR($I479*INDEX(Config!$B:$B,MATCH($C479,Config!$A:$A,0)),0),0))</f>
        <v/>
      </c>
      <c r="N479" s="36" t="str">
        <f t="shared" si="2"/>
        <v/>
      </c>
      <c r="O479" s="36" t="str">
        <f t="shared" si="3"/>
        <v/>
      </c>
      <c r="P479" s="15"/>
      <c r="Q479" s="37" t="str">
        <f t="shared" si="4"/>
        <v/>
      </c>
      <c r="R479" s="37" t="str">
        <f t="shared" si="5"/>
        <v/>
      </c>
      <c r="S479" s="32" t="str">
        <f t="shared" si="6"/>
        <v/>
      </c>
      <c r="T479" s="37" t="str">
        <f t="shared" si="7"/>
        <v/>
      </c>
      <c r="U479" s="37" t="str">
        <f t="array" ref="U479">IF($F479="","",IFERROR(INDEX(Config!$F:$F,MATCH($F479,Config!$D:$D,0)),0))</f>
        <v/>
      </c>
    </row>
    <row r="480" ht="15.0" customHeight="1">
      <c r="A480" s="34"/>
      <c r="B480" s="35"/>
      <c r="C480" s="15"/>
      <c r="D480" s="15"/>
      <c r="E480" s="15"/>
      <c r="F480" s="15"/>
      <c r="G480" s="36" t="str">
        <f t="array" ref="G480">IF($F480="","",IFERROR(INDEX(Config!$E:$E,MATCH($F480,Config!$D:$D,0)),0))</f>
        <v/>
      </c>
      <c r="H480" s="16"/>
      <c r="I480" s="36" t="str">
        <f t="shared" si="1"/>
        <v/>
      </c>
      <c r="J480" s="16"/>
      <c r="K480" s="15"/>
      <c r="L480" s="15"/>
      <c r="M480" s="36" t="str">
        <f t="array" ref="M480">IF($A480="","",IF($L480="Atendido",IFERROR($I480*INDEX(Config!$B:$B,MATCH($C480,Config!$A:$A,0)),0),0))</f>
        <v/>
      </c>
      <c r="N480" s="36" t="str">
        <f t="shared" si="2"/>
        <v/>
      </c>
      <c r="O480" s="36" t="str">
        <f t="shared" si="3"/>
        <v/>
      </c>
      <c r="P480" s="15"/>
      <c r="Q480" s="37" t="str">
        <f t="shared" si="4"/>
        <v/>
      </c>
      <c r="R480" s="37" t="str">
        <f t="shared" si="5"/>
        <v/>
      </c>
      <c r="S480" s="32" t="str">
        <f t="shared" si="6"/>
        <v/>
      </c>
      <c r="T480" s="37" t="str">
        <f t="shared" si="7"/>
        <v/>
      </c>
      <c r="U480" s="37" t="str">
        <f t="array" ref="U480">IF($F480="","",IFERROR(INDEX(Config!$F:$F,MATCH($F480,Config!$D:$D,0)),0))</f>
        <v/>
      </c>
    </row>
    <row r="481" ht="15.0" customHeight="1">
      <c r="A481" s="34"/>
      <c r="B481" s="35"/>
      <c r="C481" s="15"/>
      <c r="D481" s="15"/>
      <c r="E481" s="15"/>
      <c r="F481" s="15"/>
      <c r="G481" s="36" t="str">
        <f t="array" ref="G481">IF($F481="","",IFERROR(INDEX(Config!$E:$E,MATCH($F481,Config!$D:$D,0)),0))</f>
        <v/>
      </c>
      <c r="H481" s="16"/>
      <c r="I481" s="36" t="str">
        <f t="shared" si="1"/>
        <v/>
      </c>
      <c r="J481" s="16"/>
      <c r="K481" s="15"/>
      <c r="L481" s="15"/>
      <c r="M481" s="36" t="str">
        <f t="array" ref="M481">IF($A481="","",IF($L481="Atendido",IFERROR($I481*INDEX(Config!$B:$B,MATCH($C481,Config!$A:$A,0)),0),0))</f>
        <v/>
      </c>
      <c r="N481" s="36" t="str">
        <f t="shared" si="2"/>
        <v/>
      </c>
      <c r="O481" s="36" t="str">
        <f t="shared" si="3"/>
        <v/>
      </c>
      <c r="P481" s="15"/>
      <c r="Q481" s="37" t="str">
        <f t="shared" si="4"/>
        <v/>
      </c>
      <c r="R481" s="37" t="str">
        <f t="shared" si="5"/>
        <v/>
      </c>
      <c r="S481" s="32" t="str">
        <f t="shared" si="6"/>
        <v/>
      </c>
      <c r="T481" s="37" t="str">
        <f t="shared" si="7"/>
        <v/>
      </c>
      <c r="U481" s="37" t="str">
        <f t="array" ref="U481">IF($F481="","",IFERROR(INDEX(Config!$F:$F,MATCH($F481,Config!$D:$D,0)),0))</f>
        <v/>
      </c>
    </row>
    <row r="482" ht="15.0" customHeight="1">
      <c r="A482" s="34"/>
      <c r="B482" s="35"/>
      <c r="C482" s="15"/>
      <c r="D482" s="15"/>
      <c r="E482" s="15"/>
      <c r="F482" s="15"/>
      <c r="G482" s="36" t="str">
        <f t="array" ref="G482">IF($F482="","",IFERROR(INDEX(Config!$E:$E,MATCH($F482,Config!$D:$D,0)),0))</f>
        <v/>
      </c>
      <c r="H482" s="16"/>
      <c r="I482" s="36" t="str">
        <f t="shared" si="1"/>
        <v/>
      </c>
      <c r="J482" s="16"/>
      <c r="K482" s="15"/>
      <c r="L482" s="15"/>
      <c r="M482" s="36" t="str">
        <f t="array" ref="M482">IF($A482="","",IF($L482="Atendido",IFERROR($I482*INDEX(Config!$B:$B,MATCH($C482,Config!$A:$A,0)),0),0))</f>
        <v/>
      </c>
      <c r="N482" s="36" t="str">
        <f t="shared" si="2"/>
        <v/>
      </c>
      <c r="O482" s="36" t="str">
        <f t="shared" si="3"/>
        <v/>
      </c>
      <c r="P482" s="15"/>
      <c r="Q482" s="37" t="str">
        <f t="shared" si="4"/>
        <v/>
      </c>
      <c r="R482" s="37" t="str">
        <f t="shared" si="5"/>
        <v/>
      </c>
      <c r="S482" s="32" t="str">
        <f t="shared" si="6"/>
        <v/>
      </c>
      <c r="T482" s="37" t="str">
        <f t="shared" si="7"/>
        <v/>
      </c>
      <c r="U482" s="37" t="str">
        <f t="array" ref="U482">IF($F482="","",IFERROR(INDEX(Config!$F:$F,MATCH($F482,Config!$D:$D,0)),0))</f>
        <v/>
      </c>
    </row>
    <row r="483" ht="15.0" customHeight="1">
      <c r="A483" s="34"/>
      <c r="B483" s="35"/>
      <c r="C483" s="15"/>
      <c r="D483" s="15"/>
      <c r="E483" s="15"/>
      <c r="F483" s="15"/>
      <c r="G483" s="36" t="str">
        <f t="array" ref="G483">IF($F483="","",IFERROR(INDEX(Config!$E:$E,MATCH($F483,Config!$D:$D,0)),0))</f>
        <v/>
      </c>
      <c r="H483" s="16"/>
      <c r="I483" s="36" t="str">
        <f t="shared" si="1"/>
        <v/>
      </c>
      <c r="J483" s="16"/>
      <c r="K483" s="15"/>
      <c r="L483" s="15"/>
      <c r="M483" s="36" t="str">
        <f t="array" ref="M483">IF($A483="","",IF($L483="Atendido",IFERROR($I483*INDEX(Config!$B:$B,MATCH($C483,Config!$A:$A,0)),0),0))</f>
        <v/>
      </c>
      <c r="N483" s="36" t="str">
        <f t="shared" si="2"/>
        <v/>
      </c>
      <c r="O483" s="36" t="str">
        <f t="shared" si="3"/>
        <v/>
      </c>
      <c r="P483" s="15"/>
      <c r="Q483" s="37" t="str">
        <f t="shared" si="4"/>
        <v/>
      </c>
      <c r="R483" s="37" t="str">
        <f t="shared" si="5"/>
        <v/>
      </c>
      <c r="S483" s="32" t="str">
        <f t="shared" si="6"/>
        <v/>
      </c>
      <c r="T483" s="37" t="str">
        <f t="shared" si="7"/>
        <v/>
      </c>
      <c r="U483" s="37" t="str">
        <f t="array" ref="U483">IF($F483="","",IFERROR(INDEX(Config!$F:$F,MATCH($F483,Config!$D:$D,0)),0))</f>
        <v/>
      </c>
    </row>
    <row r="484" ht="15.0" customHeight="1">
      <c r="A484" s="34"/>
      <c r="B484" s="35"/>
      <c r="C484" s="15"/>
      <c r="D484" s="15"/>
      <c r="E484" s="15"/>
      <c r="F484" s="15"/>
      <c r="G484" s="36" t="str">
        <f t="array" ref="G484">IF($F484="","",IFERROR(INDEX(Config!$E:$E,MATCH($F484,Config!$D:$D,0)),0))</f>
        <v/>
      </c>
      <c r="H484" s="16"/>
      <c r="I484" s="36" t="str">
        <f t="shared" si="1"/>
        <v/>
      </c>
      <c r="J484" s="16"/>
      <c r="K484" s="15"/>
      <c r="L484" s="15"/>
      <c r="M484" s="36" t="str">
        <f t="array" ref="M484">IF($A484="","",IF($L484="Atendido",IFERROR($I484*INDEX(Config!$B:$B,MATCH($C484,Config!$A:$A,0)),0),0))</f>
        <v/>
      </c>
      <c r="N484" s="36" t="str">
        <f t="shared" si="2"/>
        <v/>
      </c>
      <c r="O484" s="36" t="str">
        <f t="shared" si="3"/>
        <v/>
      </c>
      <c r="P484" s="15"/>
      <c r="Q484" s="37" t="str">
        <f t="shared" si="4"/>
        <v/>
      </c>
      <c r="R484" s="37" t="str">
        <f t="shared" si="5"/>
        <v/>
      </c>
      <c r="S484" s="32" t="str">
        <f t="shared" si="6"/>
        <v/>
      </c>
      <c r="T484" s="37" t="str">
        <f t="shared" si="7"/>
        <v/>
      </c>
      <c r="U484" s="37" t="str">
        <f t="array" ref="U484">IF($F484="","",IFERROR(INDEX(Config!$F:$F,MATCH($F484,Config!$D:$D,0)),0))</f>
        <v/>
      </c>
    </row>
    <row r="485" ht="15.0" customHeight="1">
      <c r="A485" s="34"/>
      <c r="B485" s="35"/>
      <c r="C485" s="15"/>
      <c r="D485" s="15"/>
      <c r="E485" s="15"/>
      <c r="F485" s="15"/>
      <c r="G485" s="36" t="str">
        <f t="array" ref="G485">IF($F485="","",IFERROR(INDEX(Config!$E:$E,MATCH($F485,Config!$D:$D,0)),0))</f>
        <v/>
      </c>
      <c r="H485" s="16"/>
      <c r="I485" s="36" t="str">
        <f t="shared" si="1"/>
        <v/>
      </c>
      <c r="J485" s="16"/>
      <c r="K485" s="15"/>
      <c r="L485" s="15"/>
      <c r="M485" s="36" t="str">
        <f t="array" ref="M485">IF($A485="","",IF($L485="Atendido",IFERROR($I485*INDEX(Config!$B:$B,MATCH($C485,Config!$A:$A,0)),0),0))</f>
        <v/>
      </c>
      <c r="N485" s="36" t="str">
        <f t="shared" si="2"/>
        <v/>
      </c>
      <c r="O485" s="36" t="str">
        <f t="shared" si="3"/>
        <v/>
      </c>
      <c r="P485" s="15"/>
      <c r="Q485" s="37" t="str">
        <f t="shared" si="4"/>
        <v/>
      </c>
      <c r="R485" s="37" t="str">
        <f t="shared" si="5"/>
        <v/>
      </c>
      <c r="S485" s="32" t="str">
        <f t="shared" si="6"/>
        <v/>
      </c>
      <c r="T485" s="37" t="str">
        <f t="shared" si="7"/>
        <v/>
      </c>
      <c r="U485" s="37" t="str">
        <f t="array" ref="U485">IF($F485="","",IFERROR(INDEX(Config!$F:$F,MATCH($F485,Config!$D:$D,0)),0))</f>
        <v/>
      </c>
    </row>
    <row r="486" ht="15.0" customHeight="1">
      <c r="A486" s="34"/>
      <c r="B486" s="35"/>
      <c r="C486" s="15"/>
      <c r="D486" s="15"/>
      <c r="E486" s="15"/>
      <c r="F486" s="15"/>
      <c r="G486" s="36" t="str">
        <f t="array" ref="G486">IF($F486="","",IFERROR(INDEX(Config!$E:$E,MATCH($F486,Config!$D:$D,0)),0))</f>
        <v/>
      </c>
      <c r="H486" s="16"/>
      <c r="I486" s="36" t="str">
        <f t="shared" si="1"/>
        <v/>
      </c>
      <c r="J486" s="16"/>
      <c r="K486" s="15"/>
      <c r="L486" s="15"/>
      <c r="M486" s="36" t="str">
        <f t="array" ref="M486">IF($A486="","",IF($L486="Atendido",IFERROR($I486*INDEX(Config!$B:$B,MATCH($C486,Config!$A:$A,0)),0),0))</f>
        <v/>
      </c>
      <c r="N486" s="36" t="str">
        <f t="shared" si="2"/>
        <v/>
      </c>
      <c r="O486" s="36" t="str">
        <f t="shared" si="3"/>
        <v/>
      </c>
      <c r="P486" s="15"/>
      <c r="Q486" s="37" t="str">
        <f t="shared" si="4"/>
        <v/>
      </c>
      <c r="R486" s="37" t="str">
        <f t="shared" si="5"/>
        <v/>
      </c>
      <c r="S486" s="32" t="str">
        <f t="shared" si="6"/>
        <v/>
      </c>
      <c r="T486" s="37" t="str">
        <f t="shared" si="7"/>
        <v/>
      </c>
      <c r="U486" s="37" t="str">
        <f t="array" ref="U486">IF($F486="","",IFERROR(INDEX(Config!$F:$F,MATCH($F486,Config!$D:$D,0)),0))</f>
        <v/>
      </c>
    </row>
    <row r="487" ht="15.0" customHeight="1">
      <c r="A487" s="34"/>
      <c r="B487" s="35"/>
      <c r="C487" s="15"/>
      <c r="D487" s="15"/>
      <c r="E487" s="15"/>
      <c r="F487" s="15"/>
      <c r="G487" s="36" t="str">
        <f t="array" ref="G487">IF($F487="","",IFERROR(INDEX(Config!$E:$E,MATCH($F487,Config!$D:$D,0)),0))</f>
        <v/>
      </c>
      <c r="H487" s="16"/>
      <c r="I487" s="36" t="str">
        <f t="shared" si="1"/>
        <v/>
      </c>
      <c r="J487" s="16"/>
      <c r="K487" s="15"/>
      <c r="L487" s="15"/>
      <c r="M487" s="36" t="str">
        <f t="array" ref="M487">IF($A487="","",IF($L487="Atendido",IFERROR($I487*INDEX(Config!$B:$B,MATCH($C487,Config!$A:$A,0)),0),0))</f>
        <v/>
      </c>
      <c r="N487" s="36" t="str">
        <f t="shared" si="2"/>
        <v/>
      </c>
      <c r="O487" s="36" t="str">
        <f t="shared" si="3"/>
        <v/>
      </c>
      <c r="P487" s="15"/>
      <c r="Q487" s="37" t="str">
        <f t="shared" si="4"/>
        <v/>
      </c>
      <c r="R487" s="37" t="str">
        <f t="shared" si="5"/>
        <v/>
      </c>
      <c r="S487" s="32" t="str">
        <f t="shared" si="6"/>
        <v/>
      </c>
      <c r="T487" s="37" t="str">
        <f t="shared" si="7"/>
        <v/>
      </c>
      <c r="U487" s="37" t="str">
        <f t="array" ref="U487">IF($F487="","",IFERROR(INDEX(Config!$F:$F,MATCH($F487,Config!$D:$D,0)),0))</f>
        <v/>
      </c>
    </row>
    <row r="488" ht="15.0" customHeight="1">
      <c r="A488" s="34"/>
      <c r="B488" s="35"/>
      <c r="C488" s="15"/>
      <c r="D488" s="15"/>
      <c r="E488" s="15"/>
      <c r="F488" s="15"/>
      <c r="G488" s="36" t="str">
        <f t="array" ref="G488">IF($F488="","",IFERROR(INDEX(Config!$E:$E,MATCH($F488,Config!$D:$D,0)),0))</f>
        <v/>
      </c>
      <c r="H488" s="16"/>
      <c r="I488" s="36" t="str">
        <f t="shared" si="1"/>
        <v/>
      </c>
      <c r="J488" s="16"/>
      <c r="K488" s="15"/>
      <c r="L488" s="15"/>
      <c r="M488" s="36" t="str">
        <f t="array" ref="M488">IF($A488="","",IF($L488="Atendido",IFERROR($I488*INDEX(Config!$B:$B,MATCH($C488,Config!$A:$A,0)),0),0))</f>
        <v/>
      </c>
      <c r="N488" s="36" t="str">
        <f t="shared" si="2"/>
        <v/>
      </c>
      <c r="O488" s="36" t="str">
        <f t="shared" si="3"/>
        <v/>
      </c>
      <c r="P488" s="15"/>
      <c r="Q488" s="37" t="str">
        <f t="shared" si="4"/>
        <v/>
      </c>
      <c r="R488" s="37" t="str">
        <f t="shared" si="5"/>
        <v/>
      </c>
      <c r="S488" s="32" t="str">
        <f t="shared" si="6"/>
        <v/>
      </c>
      <c r="T488" s="37" t="str">
        <f t="shared" si="7"/>
        <v/>
      </c>
      <c r="U488" s="37" t="str">
        <f t="array" ref="U488">IF($F488="","",IFERROR(INDEX(Config!$F:$F,MATCH($F488,Config!$D:$D,0)),0))</f>
        <v/>
      </c>
    </row>
    <row r="489" ht="15.0" customHeight="1">
      <c r="A489" s="34"/>
      <c r="B489" s="35"/>
      <c r="C489" s="15"/>
      <c r="D489" s="15"/>
      <c r="E489" s="15"/>
      <c r="F489" s="15"/>
      <c r="G489" s="36" t="str">
        <f t="array" ref="G489">IF($F489="","",IFERROR(INDEX(Config!$E:$E,MATCH($F489,Config!$D:$D,0)),0))</f>
        <v/>
      </c>
      <c r="H489" s="16"/>
      <c r="I489" s="36" t="str">
        <f t="shared" si="1"/>
        <v/>
      </c>
      <c r="J489" s="16"/>
      <c r="K489" s="15"/>
      <c r="L489" s="15"/>
      <c r="M489" s="36" t="str">
        <f t="array" ref="M489">IF($A489="","",IF($L489="Atendido",IFERROR($I489*INDEX(Config!$B:$B,MATCH($C489,Config!$A:$A,0)),0),0))</f>
        <v/>
      </c>
      <c r="N489" s="36" t="str">
        <f t="shared" si="2"/>
        <v/>
      </c>
      <c r="O489" s="36" t="str">
        <f t="shared" si="3"/>
        <v/>
      </c>
      <c r="P489" s="15"/>
      <c r="Q489" s="37" t="str">
        <f t="shared" si="4"/>
        <v/>
      </c>
      <c r="R489" s="37" t="str">
        <f t="shared" si="5"/>
        <v/>
      </c>
      <c r="S489" s="32" t="str">
        <f t="shared" si="6"/>
        <v/>
      </c>
      <c r="T489" s="37" t="str">
        <f t="shared" si="7"/>
        <v/>
      </c>
      <c r="U489" s="37" t="str">
        <f t="array" ref="U489">IF($F489="","",IFERROR(INDEX(Config!$F:$F,MATCH($F489,Config!$D:$D,0)),0))</f>
        <v/>
      </c>
    </row>
    <row r="490" ht="15.0" customHeight="1">
      <c r="A490" s="34"/>
      <c r="B490" s="35"/>
      <c r="C490" s="15"/>
      <c r="D490" s="15"/>
      <c r="E490" s="15"/>
      <c r="F490" s="15"/>
      <c r="G490" s="36" t="str">
        <f t="array" ref="G490">IF($F490="","",IFERROR(INDEX(Config!$E:$E,MATCH($F490,Config!$D:$D,0)),0))</f>
        <v/>
      </c>
      <c r="H490" s="16"/>
      <c r="I490" s="36" t="str">
        <f t="shared" si="1"/>
        <v/>
      </c>
      <c r="J490" s="16"/>
      <c r="K490" s="15"/>
      <c r="L490" s="15"/>
      <c r="M490" s="36" t="str">
        <f t="array" ref="M490">IF($A490="","",IF($L490="Atendido",IFERROR($I490*INDEX(Config!$B:$B,MATCH($C490,Config!$A:$A,0)),0),0))</f>
        <v/>
      </c>
      <c r="N490" s="36" t="str">
        <f t="shared" si="2"/>
        <v/>
      </c>
      <c r="O490" s="36" t="str">
        <f t="shared" si="3"/>
        <v/>
      </c>
      <c r="P490" s="15"/>
      <c r="Q490" s="37" t="str">
        <f t="shared" si="4"/>
        <v/>
      </c>
      <c r="R490" s="37" t="str">
        <f t="shared" si="5"/>
        <v/>
      </c>
      <c r="S490" s="32" t="str">
        <f t="shared" si="6"/>
        <v/>
      </c>
      <c r="T490" s="37" t="str">
        <f t="shared" si="7"/>
        <v/>
      </c>
      <c r="U490" s="37" t="str">
        <f t="array" ref="U490">IF($F490="","",IFERROR(INDEX(Config!$F:$F,MATCH($F490,Config!$D:$D,0)),0))</f>
        <v/>
      </c>
    </row>
    <row r="491" ht="15.0" customHeight="1">
      <c r="A491" s="34"/>
      <c r="B491" s="35"/>
      <c r="C491" s="15"/>
      <c r="D491" s="15"/>
      <c r="E491" s="15"/>
      <c r="F491" s="15"/>
      <c r="G491" s="36" t="str">
        <f t="array" ref="G491">IF($F491="","",IFERROR(INDEX(Config!$E:$E,MATCH($F491,Config!$D:$D,0)),0))</f>
        <v/>
      </c>
      <c r="H491" s="16"/>
      <c r="I491" s="36" t="str">
        <f t="shared" si="1"/>
        <v/>
      </c>
      <c r="J491" s="16"/>
      <c r="K491" s="15"/>
      <c r="L491" s="15"/>
      <c r="M491" s="36" t="str">
        <f t="array" ref="M491">IF($A491="","",IF($L491="Atendido",IFERROR($I491*INDEX(Config!$B:$B,MATCH($C491,Config!$A:$A,0)),0),0))</f>
        <v/>
      </c>
      <c r="N491" s="36" t="str">
        <f t="shared" si="2"/>
        <v/>
      </c>
      <c r="O491" s="36" t="str">
        <f t="shared" si="3"/>
        <v/>
      </c>
      <c r="P491" s="15"/>
      <c r="Q491" s="37" t="str">
        <f t="shared" si="4"/>
        <v/>
      </c>
      <c r="R491" s="37" t="str">
        <f t="shared" si="5"/>
        <v/>
      </c>
      <c r="S491" s="32" t="str">
        <f t="shared" si="6"/>
        <v/>
      </c>
      <c r="T491" s="37" t="str">
        <f t="shared" si="7"/>
        <v/>
      </c>
      <c r="U491" s="37" t="str">
        <f t="array" ref="U491">IF($F491="","",IFERROR(INDEX(Config!$F:$F,MATCH($F491,Config!$D:$D,0)),0))</f>
        <v/>
      </c>
    </row>
    <row r="492" ht="15.0" customHeight="1">
      <c r="A492" s="34"/>
      <c r="B492" s="35"/>
      <c r="C492" s="15"/>
      <c r="D492" s="15"/>
      <c r="E492" s="15"/>
      <c r="F492" s="15"/>
      <c r="G492" s="36" t="str">
        <f t="array" ref="G492">IF($F492="","",IFERROR(INDEX(Config!$E:$E,MATCH($F492,Config!$D:$D,0)),0))</f>
        <v/>
      </c>
      <c r="H492" s="16"/>
      <c r="I492" s="36" t="str">
        <f t="shared" si="1"/>
        <v/>
      </c>
      <c r="J492" s="16"/>
      <c r="K492" s="15"/>
      <c r="L492" s="15"/>
      <c r="M492" s="36" t="str">
        <f t="array" ref="M492">IF($A492="","",IF($L492="Atendido",IFERROR($I492*INDEX(Config!$B:$B,MATCH($C492,Config!$A:$A,0)),0),0))</f>
        <v/>
      </c>
      <c r="N492" s="36" t="str">
        <f t="shared" si="2"/>
        <v/>
      </c>
      <c r="O492" s="36" t="str">
        <f t="shared" si="3"/>
        <v/>
      </c>
      <c r="P492" s="15"/>
      <c r="Q492" s="37" t="str">
        <f t="shared" si="4"/>
        <v/>
      </c>
      <c r="R492" s="37" t="str">
        <f t="shared" si="5"/>
        <v/>
      </c>
      <c r="S492" s="32" t="str">
        <f t="shared" si="6"/>
        <v/>
      </c>
      <c r="T492" s="37" t="str">
        <f t="shared" si="7"/>
        <v/>
      </c>
      <c r="U492" s="37" t="str">
        <f t="array" ref="U492">IF($F492="","",IFERROR(INDEX(Config!$F:$F,MATCH($F492,Config!$D:$D,0)),0))</f>
        <v/>
      </c>
    </row>
    <row r="493" ht="15.0" customHeight="1">
      <c r="A493" s="34"/>
      <c r="B493" s="35"/>
      <c r="C493" s="15"/>
      <c r="D493" s="15"/>
      <c r="E493" s="15"/>
      <c r="F493" s="15"/>
      <c r="G493" s="36" t="str">
        <f t="array" ref="G493">IF($F493="","",IFERROR(INDEX(Config!$E:$E,MATCH($F493,Config!$D:$D,0)),0))</f>
        <v/>
      </c>
      <c r="H493" s="16"/>
      <c r="I493" s="36" t="str">
        <f t="shared" si="1"/>
        <v/>
      </c>
      <c r="J493" s="16"/>
      <c r="K493" s="15"/>
      <c r="L493" s="15"/>
      <c r="M493" s="36" t="str">
        <f t="array" ref="M493">IF($A493="","",IF($L493="Atendido",IFERROR($I493*INDEX(Config!$B:$B,MATCH($C493,Config!$A:$A,0)),0),0))</f>
        <v/>
      </c>
      <c r="N493" s="36" t="str">
        <f t="shared" si="2"/>
        <v/>
      </c>
      <c r="O493" s="36" t="str">
        <f t="shared" si="3"/>
        <v/>
      </c>
      <c r="P493" s="15"/>
      <c r="Q493" s="37" t="str">
        <f t="shared" si="4"/>
        <v/>
      </c>
      <c r="R493" s="37" t="str">
        <f t="shared" si="5"/>
        <v/>
      </c>
      <c r="S493" s="32" t="str">
        <f t="shared" si="6"/>
        <v/>
      </c>
      <c r="T493" s="37" t="str">
        <f t="shared" si="7"/>
        <v/>
      </c>
      <c r="U493" s="37" t="str">
        <f t="array" ref="U493">IF($F493="","",IFERROR(INDEX(Config!$F:$F,MATCH($F493,Config!$D:$D,0)),0))</f>
        <v/>
      </c>
    </row>
    <row r="494" ht="15.0" customHeight="1">
      <c r="A494" s="34"/>
      <c r="B494" s="35"/>
      <c r="C494" s="15"/>
      <c r="D494" s="15"/>
      <c r="E494" s="15"/>
      <c r="F494" s="15"/>
      <c r="G494" s="36" t="str">
        <f t="array" ref="G494">IF($F494="","",IFERROR(INDEX(Config!$E:$E,MATCH($F494,Config!$D:$D,0)),0))</f>
        <v/>
      </c>
      <c r="H494" s="16"/>
      <c r="I494" s="36" t="str">
        <f t="shared" si="1"/>
        <v/>
      </c>
      <c r="J494" s="16"/>
      <c r="K494" s="15"/>
      <c r="L494" s="15"/>
      <c r="M494" s="36" t="str">
        <f t="array" ref="M494">IF($A494="","",IF($L494="Atendido",IFERROR($I494*INDEX(Config!$B:$B,MATCH($C494,Config!$A:$A,0)),0),0))</f>
        <v/>
      </c>
      <c r="N494" s="36" t="str">
        <f t="shared" si="2"/>
        <v/>
      </c>
      <c r="O494" s="36" t="str">
        <f t="shared" si="3"/>
        <v/>
      </c>
      <c r="P494" s="15"/>
      <c r="Q494" s="37" t="str">
        <f t="shared" si="4"/>
        <v/>
      </c>
      <c r="R494" s="37" t="str">
        <f t="shared" si="5"/>
        <v/>
      </c>
      <c r="S494" s="32" t="str">
        <f t="shared" si="6"/>
        <v/>
      </c>
      <c r="T494" s="37" t="str">
        <f t="shared" si="7"/>
        <v/>
      </c>
      <c r="U494" s="37" t="str">
        <f t="array" ref="U494">IF($F494="","",IFERROR(INDEX(Config!$F:$F,MATCH($F494,Config!$D:$D,0)),0))</f>
        <v/>
      </c>
    </row>
    <row r="495" ht="15.0" customHeight="1">
      <c r="A495" s="34"/>
      <c r="B495" s="35"/>
      <c r="C495" s="15"/>
      <c r="D495" s="15"/>
      <c r="E495" s="15"/>
      <c r="F495" s="15"/>
      <c r="G495" s="36" t="str">
        <f t="array" ref="G495">IF($F495="","",IFERROR(INDEX(Config!$E:$E,MATCH($F495,Config!$D:$D,0)),0))</f>
        <v/>
      </c>
      <c r="H495" s="16"/>
      <c r="I495" s="36" t="str">
        <f t="shared" si="1"/>
        <v/>
      </c>
      <c r="J495" s="16"/>
      <c r="K495" s="15"/>
      <c r="L495" s="15"/>
      <c r="M495" s="36" t="str">
        <f t="array" ref="M495">IF($A495="","",IF($L495="Atendido",IFERROR($I495*INDEX(Config!$B:$B,MATCH($C495,Config!$A:$A,0)),0),0))</f>
        <v/>
      </c>
      <c r="N495" s="36" t="str">
        <f t="shared" si="2"/>
        <v/>
      </c>
      <c r="O495" s="36" t="str">
        <f t="shared" si="3"/>
        <v/>
      </c>
      <c r="P495" s="15"/>
      <c r="Q495" s="37" t="str">
        <f t="shared" si="4"/>
        <v/>
      </c>
      <c r="R495" s="37" t="str">
        <f t="shared" si="5"/>
        <v/>
      </c>
      <c r="S495" s="32" t="str">
        <f t="shared" si="6"/>
        <v/>
      </c>
      <c r="T495" s="37" t="str">
        <f t="shared" si="7"/>
        <v/>
      </c>
      <c r="U495" s="37" t="str">
        <f t="array" ref="U495">IF($F495="","",IFERROR(INDEX(Config!$F:$F,MATCH($F495,Config!$D:$D,0)),0))</f>
        <v/>
      </c>
    </row>
    <row r="496" ht="15.0" customHeight="1">
      <c r="A496" s="34"/>
      <c r="B496" s="35"/>
      <c r="C496" s="15"/>
      <c r="D496" s="15"/>
      <c r="E496" s="15"/>
      <c r="F496" s="15"/>
      <c r="G496" s="36" t="str">
        <f t="array" ref="G496">IF($F496="","",IFERROR(INDEX(Config!$E:$E,MATCH($F496,Config!$D:$D,0)),0))</f>
        <v/>
      </c>
      <c r="H496" s="16"/>
      <c r="I496" s="36" t="str">
        <f t="shared" si="1"/>
        <v/>
      </c>
      <c r="J496" s="16"/>
      <c r="K496" s="15"/>
      <c r="L496" s="15"/>
      <c r="M496" s="36" t="str">
        <f t="array" ref="M496">IF($A496="","",IF($L496="Atendido",IFERROR($I496*INDEX(Config!$B:$B,MATCH($C496,Config!$A:$A,0)),0),0))</f>
        <v/>
      </c>
      <c r="N496" s="36" t="str">
        <f t="shared" si="2"/>
        <v/>
      </c>
      <c r="O496" s="36" t="str">
        <f t="shared" si="3"/>
        <v/>
      </c>
      <c r="P496" s="15"/>
      <c r="Q496" s="37" t="str">
        <f t="shared" si="4"/>
        <v/>
      </c>
      <c r="R496" s="37" t="str">
        <f t="shared" si="5"/>
        <v/>
      </c>
      <c r="S496" s="32" t="str">
        <f t="shared" si="6"/>
        <v/>
      </c>
      <c r="T496" s="37" t="str">
        <f t="shared" si="7"/>
        <v/>
      </c>
      <c r="U496" s="37" t="str">
        <f t="array" ref="U496">IF($F496="","",IFERROR(INDEX(Config!$F:$F,MATCH($F496,Config!$D:$D,0)),0))</f>
        <v/>
      </c>
    </row>
    <row r="497" ht="15.0" customHeight="1">
      <c r="A497" s="34"/>
      <c r="B497" s="35"/>
      <c r="C497" s="15"/>
      <c r="D497" s="15"/>
      <c r="E497" s="15"/>
      <c r="F497" s="15"/>
      <c r="G497" s="36" t="str">
        <f t="array" ref="G497">IF($F497="","",IFERROR(INDEX(Config!$E:$E,MATCH($F497,Config!$D:$D,0)),0))</f>
        <v/>
      </c>
      <c r="H497" s="16"/>
      <c r="I497" s="36" t="str">
        <f t="shared" si="1"/>
        <v/>
      </c>
      <c r="J497" s="16"/>
      <c r="K497" s="15"/>
      <c r="L497" s="15"/>
      <c r="M497" s="36" t="str">
        <f t="array" ref="M497">IF($A497="","",IF($L497="Atendido",IFERROR($I497*INDEX(Config!$B:$B,MATCH($C497,Config!$A:$A,0)),0),0))</f>
        <v/>
      </c>
      <c r="N497" s="36" t="str">
        <f t="shared" si="2"/>
        <v/>
      </c>
      <c r="O497" s="36" t="str">
        <f t="shared" si="3"/>
        <v/>
      </c>
      <c r="P497" s="15"/>
      <c r="Q497" s="37" t="str">
        <f t="shared" si="4"/>
        <v/>
      </c>
      <c r="R497" s="37" t="str">
        <f t="shared" si="5"/>
        <v/>
      </c>
      <c r="S497" s="32" t="str">
        <f t="shared" si="6"/>
        <v/>
      </c>
      <c r="T497" s="37" t="str">
        <f t="shared" si="7"/>
        <v/>
      </c>
      <c r="U497" s="37" t="str">
        <f t="array" ref="U497">IF($F497="","",IFERROR(INDEX(Config!$F:$F,MATCH($F497,Config!$D:$D,0)),0))</f>
        <v/>
      </c>
    </row>
    <row r="498" ht="15.0" customHeight="1">
      <c r="A498" s="34"/>
      <c r="B498" s="35"/>
      <c r="C498" s="15"/>
      <c r="D498" s="15"/>
      <c r="E498" s="15"/>
      <c r="F498" s="15"/>
      <c r="G498" s="36" t="str">
        <f t="array" ref="G498">IF($F498="","",IFERROR(INDEX(Config!$E:$E,MATCH($F498,Config!$D:$D,0)),0))</f>
        <v/>
      </c>
      <c r="H498" s="16"/>
      <c r="I498" s="36" t="str">
        <f t="shared" si="1"/>
        <v/>
      </c>
      <c r="J498" s="16"/>
      <c r="K498" s="15"/>
      <c r="L498" s="15"/>
      <c r="M498" s="36" t="str">
        <f t="array" ref="M498">IF($A498="","",IF($L498="Atendido",IFERROR($I498*INDEX(Config!$B:$B,MATCH($C498,Config!$A:$A,0)),0),0))</f>
        <v/>
      </c>
      <c r="N498" s="36" t="str">
        <f t="shared" si="2"/>
        <v/>
      </c>
      <c r="O498" s="36" t="str">
        <f t="shared" si="3"/>
        <v/>
      </c>
      <c r="P498" s="15"/>
      <c r="Q498" s="37" t="str">
        <f t="shared" si="4"/>
        <v/>
      </c>
      <c r="R498" s="37" t="str">
        <f t="shared" si="5"/>
        <v/>
      </c>
      <c r="S498" s="32" t="str">
        <f t="shared" si="6"/>
        <v/>
      </c>
      <c r="T498" s="37" t="str">
        <f t="shared" si="7"/>
        <v/>
      </c>
      <c r="U498" s="37" t="str">
        <f t="array" ref="U498">IF($F498="","",IFERROR(INDEX(Config!$F:$F,MATCH($F498,Config!$D:$D,0)),0))</f>
        <v/>
      </c>
    </row>
    <row r="499" ht="15.0" customHeight="1">
      <c r="A499" s="34"/>
      <c r="B499" s="35"/>
      <c r="C499" s="15"/>
      <c r="D499" s="15"/>
      <c r="E499" s="15"/>
      <c r="F499" s="15"/>
      <c r="G499" s="36" t="str">
        <f t="array" ref="G499">IF($F499="","",IFERROR(INDEX(Config!$E:$E,MATCH($F499,Config!$D:$D,0)),0))</f>
        <v/>
      </c>
      <c r="H499" s="16"/>
      <c r="I499" s="36" t="str">
        <f t="shared" si="1"/>
        <v/>
      </c>
      <c r="J499" s="16"/>
      <c r="K499" s="15"/>
      <c r="L499" s="15"/>
      <c r="M499" s="36" t="str">
        <f t="array" ref="M499">IF($A499="","",IF($L499="Atendido",IFERROR($I499*INDEX(Config!$B:$B,MATCH($C499,Config!$A:$A,0)),0),0))</f>
        <v/>
      </c>
      <c r="N499" s="36" t="str">
        <f t="shared" si="2"/>
        <v/>
      </c>
      <c r="O499" s="36" t="str">
        <f t="shared" si="3"/>
        <v/>
      </c>
      <c r="P499" s="15"/>
      <c r="Q499" s="37" t="str">
        <f t="shared" si="4"/>
        <v/>
      </c>
      <c r="R499" s="37" t="str">
        <f t="shared" si="5"/>
        <v/>
      </c>
      <c r="S499" s="32" t="str">
        <f t="shared" si="6"/>
        <v/>
      </c>
      <c r="T499" s="37" t="str">
        <f t="shared" si="7"/>
        <v/>
      </c>
      <c r="U499" s="37" t="str">
        <f t="array" ref="U499">IF($F499="","",IFERROR(INDEX(Config!$F:$F,MATCH($F499,Config!$D:$D,0)),0))</f>
        <v/>
      </c>
    </row>
    <row r="500" ht="15.0" customHeight="1">
      <c r="A500" s="34"/>
      <c r="B500" s="35"/>
      <c r="C500" s="15"/>
      <c r="D500" s="15"/>
      <c r="E500" s="15"/>
      <c r="F500" s="15"/>
      <c r="G500" s="36" t="str">
        <f t="array" ref="G500">IF($F500="","",IFERROR(INDEX(Config!$E:$E,MATCH($F500,Config!$D:$D,0)),0))</f>
        <v/>
      </c>
      <c r="H500" s="16"/>
      <c r="I500" s="36" t="str">
        <f t="shared" si="1"/>
        <v/>
      </c>
      <c r="J500" s="16"/>
      <c r="K500" s="15"/>
      <c r="L500" s="15"/>
      <c r="M500" s="36" t="str">
        <f t="array" ref="M500">IF($A500="","",IF($L500="Atendido",IFERROR($I500*INDEX(Config!$B:$B,MATCH($C500,Config!$A:$A,0)),0),0))</f>
        <v/>
      </c>
      <c r="N500" s="36" t="str">
        <f t="shared" si="2"/>
        <v/>
      </c>
      <c r="O500" s="36" t="str">
        <f t="shared" si="3"/>
        <v/>
      </c>
      <c r="P500" s="15"/>
      <c r="Q500" s="37" t="str">
        <f t="shared" si="4"/>
        <v/>
      </c>
      <c r="R500" s="37" t="str">
        <f t="shared" si="5"/>
        <v/>
      </c>
      <c r="S500" s="32" t="str">
        <f t="shared" si="6"/>
        <v/>
      </c>
      <c r="T500" s="37" t="str">
        <f t="shared" si="7"/>
        <v/>
      </c>
      <c r="U500" s="37" t="str">
        <f t="array" ref="U500">IF($F500="","",IFERROR(INDEX(Config!$F:$F,MATCH($F500,Config!$D:$D,0)),0))</f>
        <v/>
      </c>
    </row>
    <row r="501" ht="15.0" customHeight="1">
      <c r="A501" s="34"/>
      <c r="B501" s="35"/>
      <c r="C501" s="15"/>
      <c r="D501" s="15"/>
      <c r="E501" s="15"/>
      <c r="F501" s="15"/>
      <c r="G501" s="36" t="str">
        <f t="array" ref="G501">IF($F501="","",IFERROR(INDEX(Config!$E:$E,MATCH($F501,Config!$D:$D,0)),0))</f>
        <v/>
      </c>
      <c r="H501" s="16"/>
      <c r="I501" s="36" t="str">
        <f t="shared" si="1"/>
        <v/>
      </c>
      <c r="J501" s="16"/>
      <c r="K501" s="15"/>
      <c r="L501" s="15"/>
      <c r="M501" s="36" t="str">
        <f t="array" ref="M501">IF($A501="","",IF($L501="Atendido",IFERROR($I501*INDEX(Config!$B:$B,MATCH($C501,Config!$A:$A,0)),0),0))</f>
        <v/>
      </c>
      <c r="N501" s="36" t="str">
        <f t="shared" si="2"/>
        <v/>
      </c>
      <c r="O501" s="36" t="str">
        <f t="shared" si="3"/>
        <v/>
      </c>
      <c r="P501" s="15"/>
      <c r="Q501" s="37" t="str">
        <f t="shared" si="4"/>
        <v/>
      </c>
      <c r="R501" s="37" t="str">
        <f t="shared" si="5"/>
        <v/>
      </c>
      <c r="S501" s="32" t="str">
        <f t="shared" si="6"/>
        <v/>
      </c>
      <c r="T501" s="37" t="str">
        <f t="shared" si="7"/>
        <v/>
      </c>
      <c r="U501" s="37" t="str">
        <f t="array" ref="U501">IF($F501="","",IFERROR(INDEX(Config!$F:$F,MATCH($F501,Config!$D:$D,0)),0))</f>
        <v/>
      </c>
    </row>
    <row r="502" ht="15.0" customHeight="1">
      <c r="A502" s="34"/>
      <c r="B502" s="35"/>
      <c r="C502" s="15"/>
      <c r="D502" s="15"/>
      <c r="E502" s="15"/>
      <c r="F502" s="15"/>
      <c r="G502" s="36" t="str">
        <f t="array" ref="G502">IF($F502="","",IFERROR(INDEX(Config!$E:$E,MATCH($F502,Config!$D:$D,0)),0))</f>
        <v/>
      </c>
      <c r="H502" s="16"/>
      <c r="I502" s="36" t="str">
        <f t="shared" si="1"/>
        <v/>
      </c>
      <c r="J502" s="16"/>
      <c r="K502" s="15"/>
      <c r="L502" s="15"/>
      <c r="M502" s="36" t="str">
        <f t="array" ref="M502">IF($A502="","",IF($L502="Atendido",IFERROR($I502*INDEX(Config!$B:$B,MATCH($C502,Config!$A:$A,0)),0),0))</f>
        <v/>
      </c>
      <c r="N502" s="36" t="str">
        <f t="shared" si="2"/>
        <v/>
      </c>
      <c r="O502" s="36" t="str">
        <f t="shared" si="3"/>
        <v/>
      </c>
      <c r="P502" s="15"/>
      <c r="Q502" s="37" t="str">
        <f t="shared" si="4"/>
        <v/>
      </c>
      <c r="R502" s="37" t="str">
        <f t="shared" si="5"/>
        <v/>
      </c>
      <c r="S502" s="32" t="str">
        <f t="shared" si="6"/>
        <v/>
      </c>
      <c r="T502" s="37" t="str">
        <f t="shared" si="7"/>
        <v/>
      </c>
      <c r="U502" s="37" t="str">
        <f t="array" ref="U502">IF($F502="","",IFERROR(INDEX(Config!$F:$F,MATCH($F502,Config!$D:$D,0)),0))</f>
        <v/>
      </c>
    </row>
    <row r="503" ht="15.0" customHeight="1">
      <c r="A503" s="34"/>
      <c r="B503" s="35"/>
      <c r="C503" s="15"/>
      <c r="D503" s="15"/>
      <c r="E503" s="15"/>
      <c r="F503" s="15"/>
      <c r="G503" s="36" t="str">
        <f t="array" ref="G503">IF($F503="","",IFERROR(INDEX(Config!$E:$E,MATCH($F503,Config!$D:$D,0)),0))</f>
        <v/>
      </c>
      <c r="H503" s="16"/>
      <c r="I503" s="36" t="str">
        <f t="shared" si="1"/>
        <v/>
      </c>
      <c r="J503" s="16"/>
      <c r="K503" s="15"/>
      <c r="L503" s="15"/>
      <c r="M503" s="36" t="str">
        <f t="array" ref="M503">IF($A503="","",IF($L503="Atendido",IFERROR($I503*INDEX(Config!$B:$B,MATCH($C503,Config!$A:$A,0)),0),0))</f>
        <v/>
      </c>
      <c r="N503" s="36" t="str">
        <f t="shared" si="2"/>
        <v/>
      </c>
      <c r="O503" s="36" t="str">
        <f t="shared" si="3"/>
        <v/>
      </c>
      <c r="P503" s="15"/>
      <c r="Q503" s="37" t="str">
        <f t="shared" si="4"/>
        <v/>
      </c>
      <c r="R503" s="37" t="str">
        <f t="shared" si="5"/>
        <v/>
      </c>
      <c r="S503" s="32" t="str">
        <f t="shared" si="6"/>
        <v/>
      </c>
      <c r="T503" s="37" t="str">
        <f t="shared" si="7"/>
        <v/>
      </c>
      <c r="U503" s="37" t="str">
        <f t="array" ref="U503">IF($F503="","",IFERROR(INDEX(Config!$F:$F,MATCH($F503,Config!$D:$D,0)),0))</f>
        <v/>
      </c>
    </row>
    <row r="504" ht="15.0" customHeight="1">
      <c r="A504" s="34"/>
      <c r="B504" s="35"/>
      <c r="C504" s="15"/>
      <c r="D504" s="15"/>
      <c r="E504" s="15"/>
      <c r="F504" s="15"/>
      <c r="G504" s="36" t="str">
        <f t="array" ref="G504">IF($F504="","",IFERROR(INDEX(Config!$E:$E,MATCH($F504,Config!$D:$D,0)),0))</f>
        <v/>
      </c>
      <c r="H504" s="16"/>
      <c r="I504" s="36" t="str">
        <f t="shared" si="1"/>
        <v/>
      </c>
      <c r="J504" s="16"/>
      <c r="K504" s="15"/>
      <c r="L504" s="15"/>
      <c r="M504" s="36" t="str">
        <f t="array" ref="M504">IF($A504="","",IF($L504="Atendido",IFERROR($I504*INDEX(Config!$B:$B,MATCH($C504,Config!$A:$A,0)),0),0))</f>
        <v/>
      </c>
      <c r="N504" s="36" t="str">
        <f t="shared" si="2"/>
        <v/>
      </c>
      <c r="O504" s="36" t="str">
        <f t="shared" si="3"/>
        <v/>
      </c>
      <c r="P504" s="15"/>
      <c r="Q504" s="37" t="str">
        <f t="shared" si="4"/>
        <v/>
      </c>
      <c r="R504" s="37" t="str">
        <f t="shared" si="5"/>
        <v/>
      </c>
      <c r="S504" s="32" t="str">
        <f t="shared" si="6"/>
        <v/>
      </c>
      <c r="T504" s="37" t="str">
        <f t="shared" si="7"/>
        <v/>
      </c>
      <c r="U504" s="37" t="str">
        <f t="array" ref="U504">IF($F504="","",IFERROR(INDEX(Config!$F:$F,MATCH($F504,Config!$D:$D,0)),0))</f>
        <v/>
      </c>
    </row>
    <row r="505" ht="15.0" customHeight="1">
      <c r="A505" s="34"/>
      <c r="B505" s="35"/>
      <c r="C505" s="15"/>
      <c r="D505" s="15"/>
      <c r="E505" s="15"/>
      <c r="F505" s="15"/>
      <c r="G505" s="36" t="str">
        <f t="array" ref="G505">IF($F505="","",IFERROR(INDEX(Config!$E:$E,MATCH($F505,Config!$D:$D,0)),0))</f>
        <v/>
      </c>
      <c r="H505" s="16"/>
      <c r="I505" s="36" t="str">
        <f t="shared" si="1"/>
        <v/>
      </c>
      <c r="J505" s="16"/>
      <c r="K505" s="15"/>
      <c r="L505" s="15"/>
      <c r="M505" s="36" t="str">
        <f t="array" ref="M505">IF($A505="","",IF($L505="Atendido",IFERROR($I505*INDEX(Config!$B:$B,MATCH($C505,Config!$A:$A,0)),0),0))</f>
        <v/>
      </c>
      <c r="N505" s="36" t="str">
        <f t="shared" si="2"/>
        <v/>
      </c>
      <c r="O505" s="36" t="str">
        <f t="shared" si="3"/>
        <v/>
      </c>
      <c r="P505" s="15"/>
      <c r="Q505" s="37" t="str">
        <f t="shared" si="4"/>
        <v/>
      </c>
      <c r="R505" s="37" t="str">
        <f t="shared" si="5"/>
        <v/>
      </c>
      <c r="S505" s="32" t="str">
        <f t="shared" si="6"/>
        <v/>
      </c>
      <c r="T505" s="37" t="str">
        <f t="shared" si="7"/>
        <v/>
      </c>
      <c r="U505" s="37" t="str">
        <f t="array" ref="U505">IF($F505="","",IFERROR(INDEX(Config!$F:$F,MATCH($F505,Config!$D:$D,0)),0))</f>
        <v/>
      </c>
    </row>
    <row r="506" ht="15.0" customHeight="1">
      <c r="A506" s="34"/>
      <c r="B506" s="35"/>
      <c r="C506" s="15"/>
      <c r="D506" s="15"/>
      <c r="E506" s="15"/>
      <c r="F506" s="15"/>
      <c r="G506" s="36" t="str">
        <f t="array" ref="G506">IF($F506="","",IFERROR(INDEX(Config!$E:$E,MATCH($F506,Config!$D:$D,0)),0))</f>
        <v/>
      </c>
      <c r="H506" s="16"/>
      <c r="I506" s="36" t="str">
        <f t="shared" si="1"/>
        <v/>
      </c>
      <c r="J506" s="16"/>
      <c r="K506" s="15"/>
      <c r="L506" s="15"/>
      <c r="M506" s="36" t="str">
        <f t="array" ref="M506">IF($A506="","",IF($L506="Atendido",IFERROR($I506*INDEX(Config!$B:$B,MATCH($C506,Config!$A:$A,0)),0),0))</f>
        <v/>
      </c>
      <c r="N506" s="36" t="str">
        <f t="shared" si="2"/>
        <v/>
      </c>
      <c r="O506" s="36" t="str">
        <f t="shared" si="3"/>
        <v/>
      </c>
      <c r="P506" s="15"/>
      <c r="Q506" s="37" t="str">
        <f t="shared" si="4"/>
        <v/>
      </c>
      <c r="R506" s="37" t="str">
        <f t="shared" si="5"/>
        <v/>
      </c>
      <c r="S506" s="32" t="str">
        <f t="shared" si="6"/>
        <v/>
      </c>
      <c r="T506" s="37" t="str">
        <f t="shared" si="7"/>
        <v/>
      </c>
      <c r="U506" s="37" t="str">
        <f t="array" ref="U506">IF($F506="","",IFERROR(INDEX(Config!$F:$F,MATCH($F506,Config!$D:$D,0)),0))</f>
        <v/>
      </c>
    </row>
    <row r="507" ht="15.0" customHeight="1">
      <c r="A507" s="34"/>
      <c r="B507" s="35"/>
      <c r="C507" s="15"/>
      <c r="D507" s="15"/>
      <c r="E507" s="15"/>
      <c r="F507" s="15"/>
      <c r="G507" s="36" t="str">
        <f t="array" ref="G507">IF($F507="","",IFERROR(INDEX(Config!$E:$E,MATCH($F507,Config!$D:$D,0)),0))</f>
        <v/>
      </c>
      <c r="H507" s="16"/>
      <c r="I507" s="36" t="str">
        <f t="shared" si="1"/>
        <v/>
      </c>
      <c r="J507" s="16"/>
      <c r="K507" s="15"/>
      <c r="L507" s="15"/>
      <c r="M507" s="36" t="str">
        <f t="array" ref="M507">IF($A507="","",IF($L507="Atendido",IFERROR($I507*INDEX(Config!$B:$B,MATCH($C507,Config!$A:$A,0)),0),0))</f>
        <v/>
      </c>
      <c r="N507" s="36" t="str">
        <f t="shared" si="2"/>
        <v/>
      </c>
      <c r="O507" s="36" t="str">
        <f t="shared" si="3"/>
        <v/>
      </c>
      <c r="P507" s="15"/>
      <c r="Q507" s="37" t="str">
        <f t="shared" si="4"/>
        <v/>
      </c>
      <c r="R507" s="37" t="str">
        <f t="shared" si="5"/>
        <v/>
      </c>
      <c r="S507" s="32" t="str">
        <f t="shared" si="6"/>
        <v/>
      </c>
      <c r="T507" s="37" t="str">
        <f t="shared" si="7"/>
        <v/>
      </c>
      <c r="U507" s="37" t="str">
        <f t="array" ref="U507">IF($F507="","",IFERROR(INDEX(Config!$F:$F,MATCH($F507,Config!$D:$D,0)),0))</f>
        <v/>
      </c>
    </row>
    <row r="508" ht="15.0" customHeight="1">
      <c r="A508" s="34"/>
      <c r="B508" s="35"/>
      <c r="C508" s="15"/>
      <c r="D508" s="15"/>
      <c r="E508" s="15"/>
      <c r="F508" s="15"/>
      <c r="G508" s="36" t="str">
        <f t="array" ref="G508">IF($F508="","",IFERROR(INDEX(Config!$E:$E,MATCH($F508,Config!$D:$D,0)),0))</f>
        <v/>
      </c>
      <c r="H508" s="16"/>
      <c r="I508" s="36" t="str">
        <f t="shared" si="1"/>
        <v/>
      </c>
      <c r="J508" s="16"/>
      <c r="K508" s="15"/>
      <c r="L508" s="15"/>
      <c r="M508" s="36" t="str">
        <f t="array" ref="M508">IF($A508="","",IF($L508="Atendido",IFERROR($I508*INDEX(Config!$B:$B,MATCH($C508,Config!$A:$A,0)),0),0))</f>
        <v/>
      </c>
      <c r="N508" s="36" t="str">
        <f t="shared" si="2"/>
        <v/>
      </c>
      <c r="O508" s="36" t="str">
        <f t="shared" si="3"/>
        <v/>
      </c>
      <c r="P508" s="15"/>
      <c r="Q508" s="37" t="str">
        <f t="shared" si="4"/>
        <v/>
      </c>
      <c r="R508" s="37" t="str">
        <f t="shared" si="5"/>
        <v/>
      </c>
      <c r="S508" s="32" t="str">
        <f t="shared" si="6"/>
        <v/>
      </c>
      <c r="T508" s="37" t="str">
        <f t="shared" si="7"/>
        <v/>
      </c>
      <c r="U508" s="37" t="str">
        <f t="array" ref="U508">IF($F508="","",IFERROR(INDEX(Config!$F:$F,MATCH($F508,Config!$D:$D,0)),0))</f>
        <v/>
      </c>
    </row>
    <row r="509" ht="15.0" customHeight="1">
      <c r="A509" s="34"/>
      <c r="B509" s="35"/>
      <c r="C509" s="15"/>
      <c r="D509" s="15"/>
      <c r="E509" s="15"/>
      <c r="F509" s="15"/>
      <c r="G509" s="36" t="str">
        <f t="array" ref="G509">IF($F509="","",IFERROR(INDEX(Config!$E:$E,MATCH($F509,Config!$D:$D,0)),0))</f>
        <v/>
      </c>
      <c r="H509" s="16"/>
      <c r="I509" s="36" t="str">
        <f t="shared" si="1"/>
        <v/>
      </c>
      <c r="J509" s="16"/>
      <c r="K509" s="15"/>
      <c r="L509" s="15"/>
      <c r="M509" s="36" t="str">
        <f t="array" ref="M509">IF($A509="","",IF($L509="Atendido",IFERROR($I509*INDEX(Config!$B:$B,MATCH($C509,Config!$A:$A,0)),0),0))</f>
        <v/>
      </c>
      <c r="N509" s="36" t="str">
        <f t="shared" si="2"/>
        <v/>
      </c>
      <c r="O509" s="36" t="str">
        <f t="shared" si="3"/>
        <v/>
      </c>
      <c r="P509" s="15"/>
      <c r="Q509" s="37" t="str">
        <f t="shared" si="4"/>
        <v/>
      </c>
      <c r="R509" s="37" t="str">
        <f t="shared" si="5"/>
        <v/>
      </c>
      <c r="S509" s="32" t="str">
        <f t="shared" si="6"/>
        <v/>
      </c>
      <c r="T509" s="37" t="str">
        <f t="shared" si="7"/>
        <v/>
      </c>
      <c r="U509" s="37" t="str">
        <f t="array" ref="U509">IF($F509="","",IFERROR(INDEX(Config!$F:$F,MATCH($F509,Config!$D:$D,0)),0))</f>
        <v/>
      </c>
    </row>
    <row r="510" ht="15.0" customHeight="1">
      <c r="A510" s="34"/>
      <c r="B510" s="35"/>
      <c r="C510" s="15"/>
      <c r="D510" s="15"/>
      <c r="E510" s="15"/>
      <c r="F510" s="15"/>
      <c r="G510" s="36" t="str">
        <f t="array" ref="G510">IF($F510="","",IFERROR(INDEX(Config!$E:$E,MATCH($F510,Config!$D:$D,0)),0))</f>
        <v/>
      </c>
      <c r="H510" s="16"/>
      <c r="I510" s="36" t="str">
        <f t="shared" si="1"/>
        <v/>
      </c>
      <c r="J510" s="16"/>
      <c r="K510" s="15"/>
      <c r="L510" s="15"/>
      <c r="M510" s="36" t="str">
        <f t="array" ref="M510">IF($A510="","",IF($L510="Atendido",IFERROR($I510*INDEX(Config!$B:$B,MATCH($C510,Config!$A:$A,0)),0),0))</f>
        <v/>
      </c>
      <c r="N510" s="36" t="str">
        <f t="shared" si="2"/>
        <v/>
      </c>
      <c r="O510" s="36" t="str">
        <f t="shared" si="3"/>
        <v/>
      </c>
      <c r="P510" s="15"/>
      <c r="Q510" s="37" t="str">
        <f t="shared" si="4"/>
        <v/>
      </c>
      <c r="R510" s="37" t="str">
        <f t="shared" si="5"/>
        <v/>
      </c>
      <c r="S510" s="32" t="str">
        <f t="shared" si="6"/>
        <v/>
      </c>
      <c r="T510" s="37" t="str">
        <f t="shared" si="7"/>
        <v/>
      </c>
      <c r="U510" s="37" t="str">
        <f t="array" ref="U510">IF($F510="","",IFERROR(INDEX(Config!$F:$F,MATCH($F510,Config!$D:$D,0)),0))</f>
        <v/>
      </c>
    </row>
    <row r="511" ht="15.0" customHeight="1">
      <c r="A511" s="34"/>
      <c r="B511" s="35"/>
      <c r="C511" s="15"/>
      <c r="D511" s="15"/>
      <c r="E511" s="15"/>
      <c r="F511" s="15"/>
      <c r="G511" s="36" t="str">
        <f t="array" ref="G511">IF($F511="","",IFERROR(INDEX(Config!$E:$E,MATCH($F511,Config!$D:$D,0)),0))</f>
        <v/>
      </c>
      <c r="H511" s="16"/>
      <c r="I511" s="36" t="str">
        <f t="shared" si="1"/>
        <v/>
      </c>
      <c r="J511" s="16"/>
      <c r="K511" s="15"/>
      <c r="L511" s="15"/>
      <c r="M511" s="36" t="str">
        <f t="array" ref="M511">IF($A511="","",IF($L511="Atendido",IFERROR($I511*INDEX(Config!$B:$B,MATCH($C511,Config!$A:$A,0)),0),0))</f>
        <v/>
      </c>
      <c r="N511" s="36" t="str">
        <f t="shared" si="2"/>
        <v/>
      </c>
      <c r="O511" s="36" t="str">
        <f t="shared" si="3"/>
        <v/>
      </c>
      <c r="P511" s="15"/>
      <c r="Q511" s="37" t="str">
        <f t="shared" si="4"/>
        <v/>
      </c>
      <c r="R511" s="37" t="str">
        <f t="shared" si="5"/>
        <v/>
      </c>
      <c r="S511" s="32" t="str">
        <f t="shared" si="6"/>
        <v/>
      </c>
      <c r="T511" s="37" t="str">
        <f t="shared" si="7"/>
        <v/>
      </c>
      <c r="U511" s="37" t="str">
        <f t="array" ref="U511">IF($F511="","",IFERROR(INDEX(Config!$F:$F,MATCH($F511,Config!$D:$D,0)),0))</f>
        <v/>
      </c>
    </row>
    <row r="512" ht="15.0" customHeight="1">
      <c r="A512" s="34"/>
      <c r="B512" s="35"/>
      <c r="C512" s="15"/>
      <c r="D512" s="15"/>
      <c r="E512" s="15"/>
      <c r="F512" s="15"/>
      <c r="G512" s="36" t="str">
        <f t="array" ref="G512">IF($F512="","",IFERROR(INDEX(Config!$E:$E,MATCH($F512,Config!$D:$D,0)),0))</f>
        <v/>
      </c>
      <c r="H512" s="16"/>
      <c r="I512" s="36" t="str">
        <f t="shared" si="1"/>
        <v/>
      </c>
      <c r="J512" s="16"/>
      <c r="K512" s="15"/>
      <c r="L512" s="15"/>
      <c r="M512" s="36" t="str">
        <f t="array" ref="M512">IF($A512="","",IF($L512="Atendido",IFERROR($I512*INDEX(Config!$B:$B,MATCH($C512,Config!$A:$A,0)),0),0))</f>
        <v/>
      </c>
      <c r="N512" s="36" t="str">
        <f t="shared" si="2"/>
        <v/>
      </c>
      <c r="O512" s="36" t="str">
        <f t="shared" si="3"/>
        <v/>
      </c>
      <c r="P512" s="15"/>
      <c r="Q512" s="37" t="str">
        <f t="shared" si="4"/>
        <v/>
      </c>
      <c r="R512" s="37" t="str">
        <f t="shared" si="5"/>
        <v/>
      </c>
      <c r="S512" s="32" t="str">
        <f t="shared" si="6"/>
        <v/>
      </c>
      <c r="T512" s="37" t="str">
        <f t="shared" si="7"/>
        <v/>
      </c>
      <c r="U512" s="37" t="str">
        <f t="array" ref="U512">IF($F512="","",IFERROR(INDEX(Config!$F:$F,MATCH($F512,Config!$D:$D,0)),0))</f>
        <v/>
      </c>
    </row>
    <row r="513" ht="15.0" customHeight="1">
      <c r="A513" s="34"/>
      <c r="B513" s="35"/>
      <c r="C513" s="15"/>
      <c r="D513" s="15"/>
      <c r="E513" s="15"/>
      <c r="F513" s="15"/>
      <c r="G513" s="36" t="str">
        <f t="array" ref="G513">IF($F513="","",IFERROR(INDEX(Config!$E:$E,MATCH($F513,Config!$D:$D,0)),0))</f>
        <v/>
      </c>
      <c r="H513" s="16"/>
      <c r="I513" s="36" t="str">
        <f t="shared" si="1"/>
        <v/>
      </c>
      <c r="J513" s="16"/>
      <c r="K513" s="15"/>
      <c r="L513" s="15"/>
      <c r="M513" s="36" t="str">
        <f t="array" ref="M513">IF($A513="","",IF($L513="Atendido",IFERROR($I513*INDEX(Config!$B:$B,MATCH($C513,Config!$A:$A,0)),0),0))</f>
        <v/>
      </c>
      <c r="N513" s="36" t="str">
        <f t="shared" si="2"/>
        <v/>
      </c>
      <c r="O513" s="36" t="str">
        <f t="shared" si="3"/>
        <v/>
      </c>
      <c r="P513" s="15"/>
      <c r="Q513" s="37" t="str">
        <f t="shared" si="4"/>
        <v/>
      </c>
      <c r="R513" s="37" t="str">
        <f t="shared" si="5"/>
        <v/>
      </c>
      <c r="S513" s="32" t="str">
        <f t="shared" si="6"/>
        <v/>
      </c>
      <c r="T513" s="37" t="str">
        <f t="shared" si="7"/>
        <v/>
      </c>
      <c r="U513" s="37" t="str">
        <f t="array" ref="U513">IF($F513="","",IFERROR(INDEX(Config!$F:$F,MATCH($F513,Config!$D:$D,0)),0))</f>
        <v/>
      </c>
    </row>
    <row r="514" ht="15.0" customHeight="1">
      <c r="A514" s="34"/>
      <c r="B514" s="35"/>
      <c r="C514" s="15"/>
      <c r="D514" s="15"/>
      <c r="E514" s="15"/>
      <c r="F514" s="15"/>
      <c r="G514" s="36" t="str">
        <f t="array" ref="G514">IF($F514="","",IFERROR(INDEX(Config!$E:$E,MATCH($F514,Config!$D:$D,0)),0))</f>
        <v/>
      </c>
      <c r="H514" s="16"/>
      <c r="I514" s="36" t="str">
        <f t="shared" si="1"/>
        <v/>
      </c>
      <c r="J514" s="16"/>
      <c r="K514" s="15"/>
      <c r="L514" s="15"/>
      <c r="M514" s="36" t="str">
        <f t="array" ref="M514">IF($A514="","",IF($L514="Atendido",IFERROR($I514*INDEX(Config!$B:$B,MATCH($C514,Config!$A:$A,0)),0),0))</f>
        <v/>
      </c>
      <c r="N514" s="36" t="str">
        <f t="shared" si="2"/>
        <v/>
      </c>
      <c r="O514" s="36" t="str">
        <f t="shared" si="3"/>
        <v/>
      </c>
      <c r="P514" s="15"/>
      <c r="Q514" s="37" t="str">
        <f t="shared" si="4"/>
        <v/>
      </c>
      <c r="R514" s="37" t="str">
        <f t="shared" si="5"/>
        <v/>
      </c>
      <c r="S514" s="32" t="str">
        <f t="shared" si="6"/>
        <v/>
      </c>
      <c r="T514" s="37" t="str">
        <f t="shared" si="7"/>
        <v/>
      </c>
      <c r="U514" s="37" t="str">
        <f t="array" ref="U514">IF($F514="","",IFERROR(INDEX(Config!$F:$F,MATCH($F514,Config!$D:$D,0)),0))</f>
        <v/>
      </c>
    </row>
    <row r="515" ht="15.0" customHeight="1">
      <c r="A515" s="34"/>
      <c r="B515" s="35"/>
      <c r="C515" s="15"/>
      <c r="D515" s="15"/>
      <c r="E515" s="15"/>
      <c r="F515" s="15"/>
      <c r="G515" s="36" t="str">
        <f t="array" ref="G515">IF($F515="","",IFERROR(INDEX(Config!$E:$E,MATCH($F515,Config!$D:$D,0)),0))</f>
        <v/>
      </c>
      <c r="H515" s="16"/>
      <c r="I515" s="36" t="str">
        <f t="shared" si="1"/>
        <v/>
      </c>
      <c r="J515" s="16"/>
      <c r="K515" s="15"/>
      <c r="L515" s="15"/>
      <c r="M515" s="36" t="str">
        <f t="array" ref="M515">IF($A515="","",IF($L515="Atendido",IFERROR($I515*INDEX(Config!$B:$B,MATCH($C515,Config!$A:$A,0)),0),0))</f>
        <v/>
      </c>
      <c r="N515" s="36" t="str">
        <f t="shared" si="2"/>
        <v/>
      </c>
      <c r="O515" s="36" t="str">
        <f t="shared" si="3"/>
        <v/>
      </c>
      <c r="P515" s="15"/>
      <c r="Q515" s="37" t="str">
        <f t="shared" si="4"/>
        <v/>
      </c>
      <c r="R515" s="37" t="str">
        <f t="shared" si="5"/>
        <v/>
      </c>
      <c r="S515" s="32" t="str">
        <f t="shared" si="6"/>
        <v/>
      </c>
      <c r="T515" s="37" t="str">
        <f t="shared" si="7"/>
        <v/>
      </c>
      <c r="U515" s="37" t="str">
        <f t="array" ref="U515">IF($F515="","",IFERROR(INDEX(Config!$F:$F,MATCH($F515,Config!$D:$D,0)),0))</f>
        <v/>
      </c>
    </row>
    <row r="516" ht="15.0" customHeight="1">
      <c r="A516" s="34"/>
      <c r="B516" s="35"/>
      <c r="C516" s="15"/>
      <c r="D516" s="15"/>
      <c r="E516" s="15"/>
      <c r="F516" s="15"/>
      <c r="G516" s="36" t="str">
        <f t="array" ref="G516">IF($F516="","",IFERROR(INDEX(Config!$E:$E,MATCH($F516,Config!$D:$D,0)),0))</f>
        <v/>
      </c>
      <c r="H516" s="16"/>
      <c r="I516" s="36" t="str">
        <f t="shared" si="1"/>
        <v/>
      </c>
      <c r="J516" s="16"/>
      <c r="K516" s="15"/>
      <c r="L516" s="15"/>
      <c r="M516" s="36" t="str">
        <f t="array" ref="M516">IF($A516="","",IF($L516="Atendido",IFERROR($I516*INDEX(Config!$B:$B,MATCH($C516,Config!$A:$A,0)),0),0))</f>
        <v/>
      </c>
      <c r="N516" s="36" t="str">
        <f t="shared" si="2"/>
        <v/>
      </c>
      <c r="O516" s="36" t="str">
        <f t="shared" si="3"/>
        <v/>
      </c>
      <c r="P516" s="15"/>
      <c r="Q516" s="37" t="str">
        <f t="shared" si="4"/>
        <v/>
      </c>
      <c r="R516" s="37" t="str">
        <f t="shared" si="5"/>
        <v/>
      </c>
      <c r="S516" s="32" t="str">
        <f t="shared" si="6"/>
        <v/>
      </c>
      <c r="T516" s="37" t="str">
        <f t="shared" si="7"/>
        <v/>
      </c>
      <c r="U516" s="37" t="str">
        <f t="array" ref="U516">IF($F516="","",IFERROR(INDEX(Config!$F:$F,MATCH($F516,Config!$D:$D,0)),0))</f>
        <v/>
      </c>
    </row>
    <row r="517" ht="15.0" customHeight="1">
      <c r="A517" s="34"/>
      <c r="B517" s="35"/>
      <c r="C517" s="15"/>
      <c r="D517" s="15"/>
      <c r="E517" s="15"/>
      <c r="F517" s="15"/>
      <c r="G517" s="36" t="str">
        <f t="array" ref="G517">IF($F517="","",IFERROR(INDEX(Config!$E:$E,MATCH($F517,Config!$D:$D,0)),0))</f>
        <v/>
      </c>
      <c r="H517" s="16"/>
      <c r="I517" s="36" t="str">
        <f t="shared" si="1"/>
        <v/>
      </c>
      <c r="J517" s="16"/>
      <c r="K517" s="15"/>
      <c r="L517" s="15"/>
      <c r="M517" s="36" t="str">
        <f t="array" ref="M517">IF($A517="","",IF($L517="Atendido",IFERROR($I517*INDEX(Config!$B:$B,MATCH($C517,Config!$A:$A,0)),0),0))</f>
        <v/>
      </c>
      <c r="N517" s="36" t="str">
        <f t="shared" si="2"/>
        <v/>
      </c>
      <c r="O517" s="36" t="str">
        <f t="shared" si="3"/>
        <v/>
      </c>
      <c r="P517" s="15"/>
      <c r="Q517" s="37" t="str">
        <f t="shared" si="4"/>
        <v/>
      </c>
      <c r="R517" s="37" t="str">
        <f t="shared" si="5"/>
        <v/>
      </c>
      <c r="S517" s="32" t="str">
        <f t="shared" si="6"/>
        <v/>
      </c>
      <c r="T517" s="37" t="str">
        <f t="shared" si="7"/>
        <v/>
      </c>
      <c r="U517" s="37" t="str">
        <f t="array" ref="U517">IF($F517="","",IFERROR(INDEX(Config!$F:$F,MATCH($F517,Config!$D:$D,0)),0))</f>
        <v/>
      </c>
    </row>
    <row r="518" ht="15.0" customHeight="1">
      <c r="A518" s="34"/>
      <c r="B518" s="35"/>
      <c r="C518" s="15"/>
      <c r="D518" s="15"/>
      <c r="E518" s="15"/>
      <c r="F518" s="15"/>
      <c r="G518" s="36" t="str">
        <f t="array" ref="G518">IF($F518="","",IFERROR(INDEX(Config!$E:$E,MATCH($F518,Config!$D:$D,0)),0))</f>
        <v/>
      </c>
      <c r="H518" s="16"/>
      <c r="I518" s="36" t="str">
        <f t="shared" si="1"/>
        <v/>
      </c>
      <c r="J518" s="16"/>
      <c r="K518" s="15"/>
      <c r="L518" s="15"/>
      <c r="M518" s="36" t="str">
        <f t="array" ref="M518">IF($A518="","",IF($L518="Atendido",IFERROR($I518*INDEX(Config!$B:$B,MATCH($C518,Config!$A:$A,0)),0),0))</f>
        <v/>
      </c>
      <c r="N518" s="36" t="str">
        <f t="shared" si="2"/>
        <v/>
      </c>
      <c r="O518" s="36" t="str">
        <f t="shared" si="3"/>
        <v/>
      </c>
      <c r="P518" s="15"/>
      <c r="Q518" s="37" t="str">
        <f t="shared" si="4"/>
        <v/>
      </c>
      <c r="R518" s="37" t="str">
        <f t="shared" si="5"/>
        <v/>
      </c>
      <c r="S518" s="32" t="str">
        <f t="shared" si="6"/>
        <v/>
      </c>
      <c r="T518" s="37" t="str">
        <f t="shared" si="7"/>
        <v/>
      </c>
      <c r="U518" s="37" t="str">
        <f t="array" ref="U518">IF($F518="","",IFERROR(INDEX(Config!$F:$F,MATCH($F518,Config!$D:$D,0)),0))</f>
        <v/>
      </c>
    </row>
    <row r="519" ht="15.0" customHeight="1">
      <c r="A519" s="34"/>
      <c r="B519" s="35"/>
      <c r="C519" s="15"/>
      <c r="D519" s="15"/>
      <c r="E519" s="15"/>
      <c r="F519" s="15"/>
      <c r="G519" s="36" t="str">
        <f t="array" ref="G519">IF($F519="","",IFERROR(INDEX(Config!$E:$E,MATCH($F519,Config!$D:$D,0)),0))</f>
        <v/>
      </c>
      <c r="H519" s="16"/>
      <c r="I519" s="36" t="str">
        <f t="shared" si="1"/>
        <v/>
      </c>
      <c r="J519" s="16"/>
      <c r="K519" s="15"/>
      <c r="L519" s="15"/>
      <c r="M519" s="36" t="str">
        <f t="array" ref="M519">IF($A519="","",IF($L519="Atendido",IFERROR($I519*INDEX(Config!$B:$B,MATCH($C519,Config!$A:$A,0)),0),0))</f>
        <v/>
      </c>
      <c r="N519" s="36" t="str">
        <f t="shared" si="2"/>
        <v/>
      </c>
      <c r="O519" s="36" t="str">
        <f t="shared" si="3"/>
        <v/>
      </c>
      <c r="P519" s="15"/>
      <c r="Q519" s="37" t="str">
        <f t="shared" si="4"/>
        <v/>
      </c>
      <c r="R519" s="37" t="str">
        <f t="shared" si="5"/>
        <v/>
      </c>
      <c r="S519" s="32" t="str">
        <f t="shared" si="6"/>
        <v/>
      </c>
      <c r="T519" s="37" t="str">
        <f t="shared" si="7"/>
        <v/>
      </c>
      <c r="U519" s="37" t="str">
        <f t="array" ref="U519">IF($F519="","",IFERROR(INDEX(Config!$F:$F,MATCH($F519,Config!$D:$D,0)),0))</f>
        <v/>
      </c>
    </row>
    <row r="520" ht="15.0" customHeight="1">
      <c r="A520" s="34"/>
      <c r="B520" s="35"/>
      <c r="C520" s="15"/>
      <c r="D520" s="15"/>
      <c r="E520" s="15"/>
      <c r="F520" s="15"/>
      <c r="G520" s="36" t="str">
        <f t="array" ref="G520">IF($F520="","",IFERROR(INDEX(Config!$E:$E,MATCH($F520,Config!$D:$D,0)),0))</f>
        <v/>
      </c>
      <c r="H520" s="16"/>
      <c r="I520" s="36" t="str">
        <f t="shared" si="1"/>
        <v/>
      </c>
      <c r="J520" s="16"/>
      <c r="K520" s="15"/>
      <c r="L520" s="15"/>
      <c r="M520" s="36" t="str">
        <f t="array" ref="M520">IF($A520="","",IF($L520="Atendido",IFERROR($I520*INDEX(Config!$B:$B,MATCH($C520,Config!$A:$A,0)),0),0))</f>
        <v/>
      </c>
      <c r="N520" s="36" t="str">
        <f t="shared" si="2"/>
        <v/>
      </c>
      <c r="O520" s="36" t="str">
        <f t="shared" si="3"/>
        <v/>
      </c>
      <c r="P520" s="15"/>
      <c r="Q520" s="37" t="str">
        <f t="shared" si="4"/>
        <v/>
      </c>
      <c r="R520" s="37" t="str">
        <f t="shared" si="5"/>
        <v/>
      </c>
      <c r="S520" s="32" t="str">
        <f t="shared" si="6"/>
        <v/>
      </c>
      <c r="T520" s="37" t="str">
        <f t="shared" si="7"/>
        <v/>
      </c>
      <c r="U520" s="37" t="str">
        <f t="array" ref="U520">IF($F520="","",IFERROR(INDEX(Config!$F:$F,MATCH($F520,Config!$D:$D,0)),0))</f>
        <v/>
      </c>
    </row>
    <row r="521" ht="15.0" customHeight="1">
      <c r="A521" s="34"/>
      <c r="B521" s="35"/>
      <c r="C521" s="15"/>
      <c r="D521" s="15"/>
      <c r="E521" s="15"/>
      <c r="F521" s="15"/>
      <c r="G521" s="36" t="str">
        <f t="array" ref="G521">IF($F521="","",IFERROR(INDEX(Config!$E:$E,MATCH($F521,Config!$D:$D,0)),0))</f>
        <v/>
      </c>
      <c r="H521" s="16"/>
      <c r="I521" s="36" t="str">
        <f t="shared" si="1"/>
        <v/>
      </c>
      <c r="J521" s="16"/>
      <c r="K521" s="15"/>
      <c r="L521" s="15"/>
      <c r="M521" s="36" t="str">
        <f t="array" ref="M521">IF($A521="","",IF($L521="Atendido",IFERROR($I521*INDEX(Config!$B:$B,MATCH($C521,Config!$A:$A,0)),0),0))</f>
        <v/>
      </c>
      <c r="N521" s="36" t="str">
        <f t="shared" si="2"/>
        <v/>
      </c>
      <c r="O521" s="36" t="str">
        <f t="shared" si="3"/>
        <v/>
      </c>
      <c r="P521" s="15"/>
      <c r="Q521" s="37" t="str">
        <f t="shared" si="4"/>
        <v/>
      </c>
      <c r="R521" s="37" t="str">
        <f t="shared" si="5"/>
        <v/>
      </c>
      <c r="S521" s="32" t="str">
        <f t="shared" si="6"/>
        <v/>
      </c>
      <c r="T521" s="37" t="str">
        <f t="shared" si="7"/>
        <v/>
      </c>
      <c r="U521" s="37" t="str">
        <f t="array" ref="U521">IF($F521="","",IFERROR(INDEX(Config!$F:$F,MATCH($F521,Config!$D:$D,0)),0))</f>
        <v/>
      </c>
    </row>
    <row r="522" ht="15.0" customHeight="1">
      <c r="A522" s="34"/>
      <c r="B522" s="35"/>
      <c r="C522" s="15"/>
      <c r="D522" s="15"/>
      <c r="E522" s="15"/>
      <c r="F522" s="15"/>
      <c r="G522" s="36" t="str">
        <f t="array" ref="G522">IF($F522="","",IFERROR(INDEX(Config!$E:$E,MATCH($F522,Config!$D:$D,0)),0))</f>
        <v/>
      </c>
      <c r="H522" s="16"/>
      <c r="I522" s="36" t="str">
        <f t="shared" si="1"/>
        <v/>
      </c>
      <c r="J522" s="16"/>
      <c r="K522" s="15"/>
      <c r="L522" s="15"/>
      <c r="M522" s="36" t="str">
        <f t="array" ref="M522">IF($A522="","",IF($L522="Atendido",IFERROR($I522*INDEX(Config!$B:$B,MATCH($C522,Config!$A:$A,0)),0),0))</f>
        <v/>
      </c>
      <c r="N522" s="36" t="str">
        <f t="shared" si="2"/>
        <v/>
      </c>
      <c r="O522" s="36" t="str">
        <f t="shared" si="3"/>
        <v/>
      </c>
      <c r="P522" s="15"/>
      <c r="Q522" s="37" t="str">
        <f t="shared" si="4"/>
        <v/>
      </c>
      <c r="R522" s="37" t="str">
        <f t="shared" si="5"/>
        <v/>
      </c>
      <c r="S522" s="32" t="str">
        <f t="shared" si="6"/>
        <v/>
      </c>
      <c r="T522" s="37" t="str">
        <f t="shared" si="7"/>
        <v/>
      </c>
      <c r="U522" s="37" t="str">
        <f t="array" ref="U522">IF($F522="","",IFERROR(INDEX(Config!$F:$F,MATCH($F522,Config!$D:$D,0)),0))</f>
        <v/>
      </c>
    </row>
    <row r="523" ht="15.0" customHeight="1">
      <c r="A523" s="34"/>
      <c r="B523" s="35"/>
      <c r="C523" s="15"/>
      <c r="D523" s="15"/>
      <c r="E523" s="15"/>
      <c r="F523" s="15"/>
      <c r="G523" s="36" t="str">
        <f t="array" ref="G523">IF($F523="","",IFERROR(INDEX(Config!$E:$E,MATCH($F523,Config!$D:$D,0)),0))</f>
        <v/>
      </c>
      <c r="H523" s="16"/>
      <c r="I523" s="36" t="str">
        <f t="shared" si="1"/>
        <v/>
      </c>
      <c r="J523" s="16"/>
      <c r="K523" s="15"/>
      <c r="L523" s="15"/>
      <c r="M523" s="36" t="str">
        <f t="array" ref="M523">IF($A523="","",IF($L523="Atendido",IFERROR($I523*INDEX(Config!$B:$B,MATCH($C523,Config!$A:$A,0)),0),0))</f>
        <v/>
      </c>
      <c r="N523" s="36" t="str">
        <f t="shared" si="2"/>
        <v/>
      </c>
      <c r="O523" s="36" t="str">
        <f t="shared" si="3"/>
        <v/>
      </c>
      <c r="P523" s="15"/>
      <c r="Q523" s="37" t="str">
        <f t="shared" si="4"/>
        <v/>
      </c>
      <c r="R523" s="37" t="str">
        <f t="shared" si="5"/>
        <v/>
      </c>
      <c r="S523" s="32" t="str">
        <f t="shared" si="6"/>
        <v/>
      </c>
      <c r="T523" s="37" t="str">
        <f t="shared" si="7"/>
        <v/>
      </c>
      <c r="U523" s="37" t="str">
        <f t="array" ref="U523">IF($F523="","",IFERROR(INDEX(Config!$F:$F,MATCH($F523,Config!$D:$D,0)),0))</f>
        <v/>
      </c>
    </row>
    <row r="524" ht="15.0" customHeight="1">
      <c r="A524" s="34"/>
      <c r="B524" s="35"/>
      <c r="C524" s="15"/>
      <c r="D524" s="15"/>
      <c r="E524" s="15"/>
      <c r="F524" s="15"/>
      <c r="G524" s="36" t="str">
        <f t="array" ref="G524">IF($F524="","",IFERROR(INDEX(Config!$E:$E,MATCH($F524,Config!$D:$D,0)),0))</f>
        <v/>
      </c>
      <c r="H524" s="16"/>
      <c r="I524" s="36" t="str">
        <f t="shared" si="1"/>
        <v/>
      </c>
      <c r="J524" s="16"/>
      <c r="K524" s="15"/>
      <c r="L524" s="15"/>
      <c r="M524" s="36" t="str">
        <f t="array" ref="M524">IF($A524="","",IF($L524="Atendido",IFERROR($I524*INDEX(Config!$B:$B,MATCH($C524,Config!$A:$A,0)),0),0))</f>
        <v/>
      </c>
      <c r="N524" s="36" t="str">
        <f t="shared" si="2"/>
        <v/>
      </c>
      <c r="O524" s="36" t="str">
        <f t="shared" si="3"/>
        <v/>
      </c>
      <c r="P524" s="15"/>
      <c r="Q524" s="37" t="str">
        <f t="shared" si="4"/>
        <v/>
      </c>
      <c r="R524" s="37" t="str">
        <f t="shared" si="5"/>
        <v/>
      </c>
      <c r="S524" s="32" t="str">
        <f t="shared" si="6"/>
        <v/>
      </c>
      <c r="T524" s="37" t="str">
        <f t="shared" si="7"/>
        <v/>
      </c>
      <c r="U524" s="37" t="str">
        <f t="array" ref="U524">IF($F524="","",IFERROR(INDEX(Config!$F:$F,MATCH($F524,Config!$D:$D,0)),0))</f>
        <v/>
      </c>
    </row>
    <row r="525" ht="15.0" customHeight="1">
      <c r="A525" s="34"/>
      <c r="B525" s="35"/>
      <c r="C525" s="15"/>
      <c r="D525" s="15"/>
      <c r="E525" s="15"/>
      <c r="F525" s="15"/>
      <c r="G525" s="36" t="str">
        <f t="array" ref="G525">IF($F525="","",IFERROR(INDEX(Config!$E:$E,MATCH($F525,Config!$D:$D,0)),0))</f>
        <v/>
      </c>
      <c r="H525" s="16"/>
      <c r="I525" s="36" t="str">
        <f t="shared" si="1"/>
        <v/>
      </c>
      <c r="J525" s="16"/>
      <c r="K525" s="15"/>
      <c r="L525" s="15"/>
      <c r="M525" s="36" t="str">
        <f t="array" ref="M525">IF($A525="","",IF($L525="Atendido",IFERROR($I525*INDEX(Config!$B:$B,MATCH($C525,Config!$A:$A,0)),0),0))</f>
        <v/>
      </c>
      <c r="N525" s="36" t="str">
        <f t="shared" si="2"/>
        <v/>
      </c>
      <c r="O525" s="36" t="str">
        <f t="shared" si="3"/>
        <v/>
      </c>
      <c r="P525" s="15"/>
      <c r="Q525" s="37" t="str">
        <f t="shared" si="4"/>
        <v/>
      </c>
      <c r="R525" s="37" t="str">
        <f t="shared" si="5"/>
        <v/>
      </c>
      <c r="S525" s="32" t="str">
        <f t="shared" si="6"/>
        <v/>
      </c>
      <c r="T525" s="37" t="str">
        <f t="shared" si="7"/>
        <v/>
      </c>
      <c r="U525" s="37" t="str">
        <f t="array" ref="U525">IF($F525="","",IFERROR(INDEX(Config!$F:$F,MATCH($F525,Config!$D:$D,0)),0))</f>
        <v/>
      </c>
    </row>
    <row r="526" ht="15.0" customHeight="1">
      <c r="A526" s="34"/>
      <c r="B526" s="35"/>
      <c r="C526" s="15"/>
      <c r="D526" s="15"/>
      <c r="E526" s="15"/>
      <c r="F526" s="15"/>
      <c r="G526" s="36" t="str">
        <f t="array" ref="G526">IF($F526="","",IFERROR(INDEX(Config!$E:$E,MATCH($F526,Config!$D:$D,0)),0))</f>
        <v/>
      </c>
      <c r="H526" s="16"/>
      <c r="I526" s="36" t="str">
        <f t="shared" si="1"/>
        <v/>
      </c>
      <c r="J526" s="16"/>
      <c r="K526" s="15"/>
      <c r="L526" s="15"/>
      <c r="M526" s="36" t="str">
        <f t="array" ref="M526">IF($A526="","",IF($L526="Atendido",IFERROR($I526*INDEX(Config!$B:$B,MATCH($C526,Config!$A:$A,0)),0),0))</f>
        <v/>
      </c>
      <c r="N526" s="36" t="str">
        <f t="shared" si="2"/>
        <v/>
      </c>
      <c r="O526" s="36" t="str">
        <f t="shared" si="3"/>
        <v/>
      </c>
      <c r="P526" s="15"/>
      <c r="Q526" s="37" t="str">
        <f t="shared" si="4"/>
        <v/>
      </c>
      <c r="R526" s="37" t="str">
        <f t="shared" si="5"/>
        <v/>
      </c>
      <c r="S526" s="32" t="str">
        <f t="shared" si="6"/>
        <v/>
      </c>
      <c r="T526" s="37" t="str">
        <f t="shared" si="7"/>
        <v/>
      </c>
      <c r="U526" s="37" t="str">
        <f t="array" ref="U526">IF($F526="","",IFERROR(INDEX(Config!$F:$F,MATCH($F526,Config!$D:$D,0)),0))</f>
        <v/>
      </c>
    </row>
    <row r="527" ht="15.0" customHeight="1">
      <c r="A527" s="34"/>
      <c r="B527" s="35"/>
      <c r="C527" s="15"/>
      <c r="D527" s="15"/>
      <c r="E527" s="15"/>
      <c r="F527" s="15"/>
      <c r="G527" s="36" t="str">
        <f t="array" ref="G527">IF($F527="","",IFERROR(INDEX(Config!$E:$E,MATCH($F527,Config!$D:$D,0)),0))</f>
        <v/>
      </c>
      <c r="H527" s="16"/>
      <c r="I527" s="36" t="str">
        <f t="shared" si="1"/>
        <v/>
      </c>
      <c r="J527" s="16"/>
      <c r="K527" s="15"/>
      <c r="L527" s="15"/>
      <c r="M527" s="36" t="str">
        <f t="array" ref="M527">IF($A527="","",IF($L527="Atendido",IFERROR($I527*INDEX(Config!$B:$B,MATCH($C527,Config!$A:$A,0)),0),0))</f>
        <v/>
      </c>
      <c r="N527" s="36" t="str">
        <f t="shared" si="2"/>
        <v/>
      </c>
      <c r="O527" s="36" t="str">
        <f t="shared" si="3"/>
        <v/>
      </c>
      <c r="P527" s="15"/>
      <c r="Q527" s="37" t="str">
        <f t="shared" si="4"/>
        <v/>
      </c>
      <c r="R527" s="37" t="str">
        <f t="shared" si="5"/>
        <v/>
      </c>
      <c r="S527" s="32" t="str">
        <f t="shared" si="6"/>
        <v/>
      </c>
      <c r="T527" s="37" t="str">
        <f t="shared" si="7"/>
        <v/>
      </c>
      <c r="U527" s="37" t="str">
        <f t="array" ref="U527">IF($F527="","",IFERROR(INDEX(Config!$F:$F,MATCH($F527,Config!$D:$D,0)),0))</f>
        <v/>
      </c>
    </row>
    <row r="528" ht="15.0" customHeight="1">
      <c r="A528" s="34"/>
      <c r="B528" s="35"/>
      <c r="C528" s="15"/>
      <c r="D528" s="15"/>
      <c r="E528" s="15"/>
      <c r="F528" s="15"/>
      <c r="G528" s="36" t="str">
        <f t="array" ref="G528">IF($F528="","",IFERROR(INDEX(Config!$E:$E,MATCH($F528,Config!$D:$D,0)),0))</f>
        <v/>
      </c>
      <c r="H528" s="16"/>
      <c r="I528" s="36" t="str">
        <f t="shared" si="1"/>
        <v/>
      </c>
      <c r="J528" s="16"/>
      <c r="K528" s="15"/>
      <c r="L528" s="15"/>
      <c r="M528" s="36" t="str">
        <f t="array" ref="M528">IF($A528="","",IF($L528="Atendido",IFERROR($I528*INDEX(Config!$B:$B,MATCH($C528,Config!$A:$A,0)),0),0))</f>
        <v/>
      </c>
      <c r="N528" s="36" t="str">
        <f t="shared" si="2"/>
        <v/>
      </c>
      <c r="O528" s="36" t="str">
        <f t="shared" si="3"/>
        <v/>
      </c>
      <c r="P528" s="15"/>
      <c r="Q528" s="37" t="str">
        <f t="shared" si="4"/>
        <v/>
      </c>
      <c r="R528" s="37" t="str">
        <f t="shared" si="5"/>
        <v/>
      </c>
      <c r="S528" s="32" t="str">
        <f t="shared" si="6"/>
        <v/>
      </c>
      <c r="T528" s="37" t="str">
        <f t="shared" si="7"/>
        <v/>
      </c>
      <c r="U528" s="37" t="str">
        <f t="array" ref="U528">IF($F528="","",IFERROR(INDEX(Config!$F:$F,MATCH($F528,Config!$D:$D,0)),0))</f>
        <v/>
      </c>
    </row>
    <row r="529" ht="15.0" customHeight="1">
      <c r="A529" s="34"/>
      <c r="B529" s="35"/>
      <c r="C529" s="15"/>
      <c r="D529" s="15"/>
      <c r="E529" s="15"/>
      <c r="F529" s="15"/>
      <c r="G529" s="36" t="str">
        <f t="array" ref="G529">IF($F529="","",IFERROR(INDEX(Config!$E:$E,MATCH($F529,Config!$D:$D,0)),0))</f>
        <v/>
      </c>
      <c r="H529" s="16"/>
      <c r="I529" s="36" t="str">
        <f t="shared" si="1"/>
        <v/>
      </c>
      <c r="J529" s="16"/>
      <c r="K529" s="15"/>
      <c r="L529" s="15"/>
      <c r="M529" s="36" t="str">
        <f t="array" ref="M529">IF($A529="","",IF($L529="Atendido",IFERROR($I529*INDEX(Config!$B:$B,MATCH($C529,Config!$A:$A,0)),0),0))</f>
        <v/>
      </c>
      <c r="N529" s="36" t="str">
        <f t="shared" si="2"/>
        <v/>
      </c>
      <c r="O529" s="36" t="str">
        <f t="shared" si="3"/>
        <v/>
      </c>
      <c r="P529" s="15"/>
      <c r="Q529" s="37" t="str">
        <f t="shared" si="4"/>
        <v/>
      </c>
      <c r="R529" s="37" t="str">
        <f t="shared" si="5"/>
        <v/>
      </c>
      <c r="S529" s="32" t="str">
        <f t="shared" si="6"/>
        <v/>
      </c>
      <c r="T529" s="37" t="str">
        <f t="shared" si="7"/>
        <v/>
      </c>
      <c r="U529" s="37" t="str">
        <f t="array" ref="U529">IF($F529="","",IFERROR(INDEX(Config!$F:$F,MATCH($F529,Config!$D:$D,0)),0))</f>
        <v/>
      </c>
    </row>
    <row r="530" ht="15.0" customHeight="1">
      <c r="A530" s="34"/>
      <c r="B530" s="35"/>
      <c r="C530" s="15"/>
      <c r="D530" s="15"/>
      <c r="E530" s="15"/>
      <c r="F530" s="15"/>
      <c r="G530" s="36" t="str">
        <f t="array" ref="G530">IF($F530="","",IFERROR(INDEX(Config!$E:$E,MATCH($F530,Config!$D:$D,0)),0))</f>
        <v/>
      </c>
      <c r="H530" s="16"/>
      <c r="I530" s="36" t="str">
        <f t="shared" si="1"/>
        <v/>
      </c>
      <c r="J530" s="16"/>
      <c r="K530" s="15"/>
      <c r="L530" s="15"/>
      <c r="M530" s="36" t="str">
        <f t="array" ref="M530">IF($A530="","",IF($L530="Atendido",IFERROR($I530*INDEX(Config!$B:$B,MATCH($C530,Config!$A:$A,0)),0),0))</f>
        <v/>
      </c>
      <c r="N530" s="36" t="str">
        <f t="shared" si="2"/>
        <v/>
      </c>
      <c r="O530" s="36" t="str">
        <f t="shared" si="3"/>
        <v/>
      </c>
      <c r="P530" s="15"/>
      <c r="Q530" s="37" t="str">
        <f t="shared" si="4"/>
        <v/>
      </c>
      <c r="R530" s="37" t="str">
        <f t="shared" si="5"/>
        <v/>
      </c>
      <c r="S530" s="32" t="str">
        <f t="shared" si="6"/>
        <v/>
      </c>
      <c r="T530" s="37" t="str">
        <f t="shared" si="7"/>
        <v/>
      </c>
      <c r="U530" s="37" t="str">
        <f t="array" ref="U530">IF($F530="","",IFERROR(INDEX(Config!$F:$F,MATCH($F530,Config!$D:$D,0)),0))</f>
        <v/>
      </c>
    </row>
    <row r="531" ht="15.0" customHeight="1">
      <c r="A531" s="34"/>
      <c r="B531" s="35"/>
      <c r="C531" s="15"/>
      <c r="D531" s="15"/>
      <c r="E531" s="15"/>
      <c r="F531" s="15"/>
      <c r="G531" s="36" t="str">
        <f t="array" ref="G531">IF($F531="","",IFERROR(INDEX(Config!$E:$E,MATCH($F531,Config!$D:$D,0)),0))</f>
        <v/>
      </c>
      <c r="H531" s="16"/>
      <c r="I531" s="36" t="str">
        <f t="shared" si="1"/>
        <v/>
      </c>
      <c r="J531" s="16"/>
      <c r="K531" s="15"/>
      <c r="L531" s="15"/>
      <c r="M531" s="36" t="str">
        <f t="array" ref="M531">IF($A531="","",IF($L531="Atendido",IFERROR($I531*INDEX(Config!$B:$B,MATCH($C531,Config!$A:$A,0)),0),0))</f>
        <v/>
      </c>
      <c r="N531" s="36" t="str">
        <f t="shared" si="2"/>
        <v/>
      </c>
      <c r="O531" s="36" t="str">
        <f t="shared" si="3"/>
        <v/>
      </c>
      <c r="P531" s="15"/>
      <c r="Q531" s="37" t="str">
        <f t="shared" si="4"/>
        <v/>
      </c>
      <c r="R531" s="37" t="str">
        <f t="shared" si="5"/>
        <v/>
      </c>
      <c r="S531" s="32" t="str">
        <f t="shared" si="6"/>
        <v/>
      </c>
      <c r="T531" s="37" t="str">
        <f t="shared" si="7"/>
        <v/>
      </c>
      <c r="U531" s="37" t="str">
        <f t="array" ref="U531">IF($F531="","",IFERROR(INDEX(Config!$F:$F,MATCH($F531,Config!$D:$D,0)),0))</f>
        <v/>
      </c>
    </row>
    <row r="532" ht="15.0" customHeight="1">
      <c r="A532" s="34"/>
      <c r="B532" s="35"/>
      <c r="C532" s="15"/>
      <c r="D532" s="15"/>
      <c r="E532" s="15"/>
      <c r="F532" s="15"/>
      <c r="G532" s="36" t="str">
        <f t="array" ref="G532">IF($F532="","",IFERROR(INDEX(Config!$E:$E,MATCH($F532,Config!$D:$D,0)),0))</f>
        <v/>
      </c>
      <c r="H532" s="16"/>
      <c r="I532" s="36" t="str">
        <f t="shared" si="1"/>
        <v/>
      </c>
      <c r="J532" s="16"/>
      <c r="K532" s="15"/>
      <c r="L532" s="15"/>
      <c r="M532" s="36" t="str">
        <f t="array" ref="M532">IF($A532="","",IF($L532="Atendido",IFERROR($I532*INDEX(Config!$B:$B,MATCH($C532,Config!$A:$A,0)),0),0))</f>
        <v/>
      </c>
      <c r="N532" s="36" t="str">
        <f t="shared" si="2"/>
        <v/>
      </c>
      <c r="O532" s="36" t="str">
        <f t="shared" si="3"/>
        <v/>
      </c>
      <c r="P532" s="15"/>
      <c r="Q532" s="37" t="str">
        <f t="shared" si="4"/>
        <v/>
      </c>
      <c r="R532" s="37" t="str">
        <f t="shared" si="5"/>
        <v/>
      </c>
      <c r="S532" s="32" t="str">
        <f t="shared" si="6"/>
        <v/>
      </c>
      <c r="T532" s="37" t="str">
        <f t="shared" si="7"/>
        <v/>
      </c>
      <c r="U532" s="37" t="str">
        <f t="array" ref="U532">IF($F532="","",IFERROR(INDEX(Config!$F:$F,MATCH($F532,Config!$D:$D,0)),0))</f>
        <v/>
      </c>
    </row>
    <row r="533" ht="15.0" customHeight="1">
      <c r="A533" s="34"/>
      <c r="B533" s="35"/>
      <c r="C533" s="15"/>
      <c r="D533" s="15"/>
      <c r="E533" s="15"/>
      <c r="F533" s="15"/>
      <c r="G533" s="36" t="str">
        <f t="array" ref="G533">IF($F533="","",IFERROR(INDEX(Config!$E:$E,MATCH($F533,Config!$D:$D,0)),0))</f>
        <v/>
      </c>
      <c r="H533" s="16"/>
      <c r="I533" s="36" t="str">
        <f t="shared" si="1"/>
        <v/>
      </c>
      <c r="J533" s="16"/>
      <c r="K533" s="15"/>
      <c r="L533" s="15"/>
      <c r="M533" s="36" t="str">
        <f t="array" ref="M533">IF($A533="","",IF($L533="Atendido",IFERROR($I533*INDEX(Config!$B:$B,MATCH($C533,Config!$A:$A,0)),0),0))</f>
        <v/>
      </c>
      <c r="N533" s="36" t="str">
        <f t="shared" si="2"/>
        <v/>
      </c>
      <c r="O533" s="36" t="str">
        <f t="shared" si="3"/>
        <v/>
      </c>
      <c r="P533" s="15"/>
      <c r="Q533" s="37" t="str">
        <f t="shared" si="4"/>
        <v/>
      </c>
      <c r="R533" s="37" t="str">
        <f t="shared" si="5"/>
        <v/>
      </c>
      <c r="S533" s="32" t="str">
        <f t="shared" si="6"/>
        <v/>
      </c>
      <c r="T533" s="37" t="str">
        <f t="shared" si="7"/>
        <v/>
      </c>
      <c r="U533" s="37" t="str">
        <f t="array" ref="U533">IF($F533="","",IFERROR(INDEX(Config!$F:$F,MATCH($F533,Config!$D:$D,0)),0))</f>
        <v/>
      </c>
    </row>
    <row r="534" ht="15.0" customHeight="1">
      <c r="A534" s="34"/>
      <c r="B534" s="35"/>
      <c r="C534" s="15"/>
      <c r="D534" s="15"/>
      <c r="E534" s="15"/>
      <c r="F534" s="15"/>
      <c r="G534" s="36" t="str">
        <f t="array" ref="G534">IF($F534="","",IFERROR(INDEX(Config!$E:$E,MATCH($F534,Config!$D:$D,0)),0))</f>
        <v/>
      </c>
      <c r="H534" s="16"/>
      <c r="I534" s="36" t="str">
        <f t="shared" si="1"/>
        <v/>
      </c>
      <c r="J534" s="16"/>
      <c r="K534" s="15"/>
      <c r="L534" s="15"/>
      <c r="M534" s="36" t="str">
        <f t="array" ref="M534">IF($A534="","",IF($L534="Atendido",IFERROR($I534*INDEX(Config!$B:$B,MATCH($C534,Config!$A:$A,0)),0),0))</f>
        <v/>
      </c>
      <c r="N534" s="36" t="str">
        <f t="shared" si="2"/>
        <v/>
      </c>
      <c r="O534" s="36" t="str">
        <f t="shared" si="3"/>
        <v/>
      </c>
      <c r="P534" s="15"/>
      <c r="Q534" s="37" t="str">
        <f t="shared" si="4"/>
        <v/>
      </c>
      <c r="R534" s="37" t="str">
        <f t="shared" si="5"/>
        <v/>
      </c>
      <c r="S534" s="32" t="str">
        <f t="shared" si="6"/>
        <v/>
      </c>
      <c r="T534" s="37" t="str">
        <f t="shared" si="7"/>
        <v/>
      </c>
      <c r="U534" s="37" t="str">
        <f t="array" ref="U534">IF($F534="","",IFERROR(INDEX(Config!$F:$F,MATCH($F534,Config!$D:$D,0)),0))</f>
        <v/>
      </c>
    </row>
    <row r="535" ht="15.0" customHeight="1">
      <c r="A535" s="34"/>
      <c r="B535" s="35"/>
      <c r="C535" s="15"/>
      <c r="D535" s="15"/>
      <c r="E535" s="15"/>
      <c r="F535" s="15"/>
      <c r="G535" s="36" t="str">
        <f t="array" ref="G535">IF($F535="","",IFERROR(INDEX(Config!$E:$E,MATCH($F535,Config!$D:$D,0)),0))</f>
        <v/>
      </c>
      <c r="H535" s="16"/>
      <c r="I535" s="36" t="str">
        <f t="shared" si="1"/>
        <v/>
      </c>
      <c r="J535" s="16"/>
      <c r="K535" s="15"/>
      <c r="L535" s="15"/>
      <c r="M535" s="36" t="str">
        <f t="array" ref="M535">IF($A535="","",IF($L535="Atendido",IFERROR($I535*INDEX(Config!$B:$B,MATCH($C535,Config!$A:$A,0)),0),0))</f>
        <v/>
      </c>
      <c r="N535" s="36" t="str">
        <f t="shared" si="2"/>
        <v/>
      </c>
      <c r="O535" s="36" t="str">
        <f t="shared" si="3"/>
        <v/>
      </c>
      <c r="P535" s="15"/>
      <c r="Q535" s="37" t="str">
        <f t="shared" si="4"/>
        <v/>
      </c>
      <c r="R535" s="37" t="str">
        <f t="shared" si="5"/>
        <v/>
      </c>
      <c r="S535" s="32" t="str">
        <f t="shared" si="6"/>
        <v/>
      </c>
      <c r="T535" s="37" t="str">
        <f t="shared" si="7"/>
        <v/>
      </c>
      <c r="U535" s="37" t="str">
        <f t="array" ref="U535">IF($F535="","",IFERROR(INDEX(Config!$F:$F,MATCH($F535,Config!$D:$D,0)),0))</f>
        <v/>
      </c>
    </row>
    <row r="536" ht="15.0" customHeight="1">
      <c r="A536" s="34"/>
      <c r="B536" s="35"/>
      <c r="C536" s="15"/>
      <c r="D536" s="15"/>
      <c r="E536" s="15"/>
      <c r="F536" s="15"/>
      <c r="G536" s="36" t="str">
        <f t="array" ref="G536">IF($F536="","",IFERROR(INDEX(Config!$E:$E,MATCH($F536,Config!$D:$D,0)),0))</f>
        <v/>
      </c>
      <c r="H536" s="16"/>
      <c r="I536" s="36" t="str">
        <f t="shared" si="1"/>
        <v/>
      </c>
      <c r="J536" s="16"/>
      <c r="K536" s="15"/>
      <c r="L536" s="15"/>
      <c r="M536" s="36" t="str">
        <f t="array" ref="M536">IF($A536="","",IF($L536="Atendido",IFERROR($I536*INDEX(Config!$B:$B,MATCH($C536,Config!$A:$A,0)),0),0))</f>
        <v/>
      </c>
      <c r="N536" s="36" t="str">
        <f t="shared" si="2"/>
        <v/>
      </c>
      <c r="O536" s="36" t="str">
        <f t="shared" si="3"/>
        <v/>
      </c>
      <c r="P536" s="15"/>
      <c r="Q536" s="37" t="str">
        <f t="shared" si="4"/>
        <v/>
      </c>
      <c r="R536" s="37" t="str">
        <f t="shared" si="5"/>
        <v/>
      </c>
      <c r="S536" s="32" t="str">
        <f t="shared" si="6"/>
        <v/>
      </c>
      <c r="T536" s="37" t="str">
        <f t="shared" si="7"/>
        <v/>
      </c>
      <c r="U536" s="37" t="str">
        <f t="array" ref="U536">IF($F536="","",IFERROR(INDEX(Config!$F:$F,MATCH($F536,Config!$D:$D,0)),0))</f>
        <v/>
      </c>
    </row>
    <row r="537" ht="15.0" customHeight="1">
      <c r="A537" s="34"/>
      <c r="B537" s="35"/>
      <c r="C537" s="15"/>
      <c r="D537" s="15"/>
      <c r="E537" s="15"/>
      <c r="F537" s="15"/>
      <c r="G537" s="36" t="str">
        <f t="array" ref="G537">IF($F537="","",IFERROR(INDEX(Config!$E:$E,MATCH($F537,Config!$D:$D,0)),0))</f>
        <v/>
      </c>
      <c r="H537" s="16"/>
      <c r="I537" s="36" t="str">
        <f t="shared" si="1"/>
        <v/>
      </c>
      <c r="J537" s="16"/>
      <c r="K537" s="15"/>
      <c r="L537" s="15"/>
      <c r="M537" s="36" t="str">
        <f t="array" ref="M537">IF($A537="","",IF($L537="Atendido",IFERROR($I537*INDEX(Config!$B:$B,MATCH($C537,Config!$A:$A,0)),0),0))</f>
        <v/>
      </c>
      <c r="N537" s="36" t="str">
        <f t="shared" si="2"/>
        <v/>
      </c>
      <c r="O537" s="36" t="str">
        <f t="shared" si="3"/>
        <v/>
      </c>
      <c r="P537" s="15"/>
      <c r="Q537" s="37" t="str">
        <f t="shared" si="4"/>
        <v/>
      </c>
      <c r="R537" s="37" t="str">
        <f t="shared" si="5"/>
        <v/>
      </c>
      <c r="S537" s="32" t="str">
        <f t="shared" si="6"/>
        <v/>
      </c>
      <c r="T537" s="37" t="str">
        <f t="shared" si="7"/>
        <v/>
      </c>
      <c r="U537" s="37" t="str">
        <f t="array" ref="U537">IF($F537="","",IFERROR(INDEX(Config!$F:$F,MATCH($F537,Config!$D:$D,0)),0))</f>
        <v/>
      </c>
    </row>
    <row r="538" ht="15.0" customHeight="1">
      <c r="A538" s="34"/>
      <c r="B538" s="35"/>
      <c r="C538" s="15"/>
      <c r="D538" s="15"/>
      <c r="E538" s="15"/>
      <c r="F538" s="15"/>
      <c r="G538" s="36" t="str">
        <f t="array" ref="G538">IF($F538="","",IFERROR(INDEX(Config!$E:$E,MATCH($F538,Config!$D:$D,0)),0))</f>
        <v/>
      </c>
      <c r="H538" s="16"/>
      <c r="I538" s="36" t="str">
        <f t="shared" si="1"/>
        <v/>
      </c>
      <c r="J538" s="16"/>
      <c r="K538" s="15"/>
      <c r="L538" s="15"/>
      <c r="M538" s="36" t="str">
        <f t="array" ref="M538">IF($A538="","",IF($L538="Atendido",IFERROR($I538*INDEX(Config!$B:$B,MATCH($C538,Config!$A:$A,0)),0),0))</f>
        <v/>
      </c>
      <c r="N538" s="36" t="str">
        <f t="shared" si="2"/>
        <v/>
      </c>
      <c r="O538" s="36" t="str">
        <f t="shared" si="3"/>
        <v/>
      </c>
      <c r="P538" s="15"/>
      <c r="Q538" s="37" t="str">
        <f t="shared" si="4"/>
        <v/>
      </c>
      <c r="R538" s="37" t="str">
        <f t="shared" si="5"/>
        <v/>
      </c>
      <c r="S538" s="32" t="str">
        <f t="shared" si="6"/>
        <v/>
      </c>
      <c r="T538" s="37" t="str">
        <f t="shared" si="7"/>
        <v/>
      </c>
      <c r="U538" s="37" t="str">
        <f t="array" ref="U538">IF($F538="","",IFERROR(INDEX(Config!$F:$F,MATCH($F538,Config!$D:$D,0)),0))</f>
        <v/>
      </c>
    </row>
    <row r="539" ht="15.0" customHeight="1">
      <c r="A539" s="34"/>
      <c r="B539" s="35"/>
      <c r="C539" s="15"/>
      <c r="D539" s="15"/>
      <c r="E539" s="15"/>
      <c r="F539" s="15"/>
      <c r="G539" s="36" t="str">
        <f t="array" ref="G539">IF($F539="","",IFERROR(INDEX(Config!$E:$E,MATCH($F539,Config!$D:$D,0)),0))</f>
        <v/>
      </c>
      <c r="H539" s="16"/>
      <c r="I539" s="36" t="str">
        <f t="shared" si="1"/>
        <v/>
      </c>
      <c r="J539" s="16"/>
      <c r="K539" s="15"/>
      <c r="L539" s="15"/>
      <c r="M539" s="36" t="str">
        <f t="array" ref="M539">IF($A539="","",IF($L539="Atendido",IFERROR($I539*INDEX(Config!$B:$B,MATCH($C539,Config!$A:$A,0)),0),0))</f>
        <v/>
      </c>
      <c r="N539" s="36" t="str">
        <f t="shared" si="2"/>
        <v/>
      </c>
      <c r="O539" s="36" t="str">
        <f t="shared" si="3"/>
        <v/>
      </c>
      <c r="P539" s="15"/>
      <c r="Q539" s="37" t="str">
        <f t="shared" si="4"/>
        <v/>
      </c>
      <c r="R539" s="37" t="str">
        <f t="shared" si="5"/>
        <v/>
      </c>
      <c r="S539" s="32" t="str">
        <f t="shared" si="6"/>
        <v/>
      </c>
      <c r="T539" s="37" t="str">
        <f t="shared" si="7"/>
        <v/>
      </c>
      <c r="U539" s="37" t="str">
        <f t="array" ref="U539">IF($F539="","",IFERROR(INDEX(Config!$F:$F,MATCH($F539,Config!$D:$D,0)),0))</f>
        <v/>
      </c>
    </row>
    <row r="540" ht="15.0" customHeight="1">
      <c r="A540" s="34"/>
      <c r="B540" s="35"/>
      <c r="C540" s="15"/>
      <c r="D540" s="15"/>
      <c r="E540" s="15"/>
      <c r="F540" s="15"/>
      <c r="G540" s="36" t="str">
        <f t="array" ref="G540">IF($F540="","",IFERROR(INDEX(Config!$E:$E,MATCH($F540,Config!$D:$D,0)),0))</f>
        <v/>
      </c>
      <c r="H540" s="16"/>
      <c r="I540" s="36" t="str">
        <f t="shared" si="1"/>
        <v/>
      </c>
      <c r="J540" s="16"/>
      <c r="K540" s="15"/>
      <c r="L540" s="15"/>
      <c r="M540" s="36" t="str">
        <f t="array" ref="M540">IF($A540="","",IF($L540="Atendido",IFERROR($I540*INDEX(Config!$B:$B,MATCH($C540,Config!$A:$A,0)),0),0))</f>
        <v/>
      </c>
      <c r="N540" s="36" t="str">
        <f t="shared" si="2"/>
        <v/>
      </c>
      <c r="O540" s="36" t="str">
        <f t="shared" si="3"/>
        <v/>
      </c>
      <c r="P540" s="15"/>
      <c r="Q540" s="37" t="str">
        <f t="shared" si="4"/>
        <v/>
      </c>
      <c r="R540" s="37" t="str">
        <f t="shared" si="5"/>
        <v/>
      </c>
      <c r="S540" s="32" t="str">
        <f t="shared" si="6"/>
        <v/>
      </c>
      <c r="T540" s="37" t="str">
        <f t="shared" si="7"/>
        <v/>
      </c>
      <c r="U540" s="37" t="str">
        <f t="array" ref="U540">IF($F540="","",IFERROR(INDEX(Config!$F:$F,MATCH($F540,Config!$D:$D,0)),0))</f>
        <v/>
      </c>
    </row>
    <row r="541" ht="15.0" customHeight="1">
      <c r="A541" s="34"/>
      <c r="B541" s="35"/>
      <c r="C541" s="15"/>
      <c r="D541" s="15"/>
      <c r="E541" s="15"/>
      <c r="F541" s="15"/>
      <c r="G541" s="36" t="str">
        <f t="array" ref="G541">IF($F541="","",IFERROR(INDEX(Config!$E:$E,MATCH($F541,Config!$D:$D,0)),0))</f>
        <v/>
      </c>
      <c r="H541" s="16"/>
      <c r="I541" s="36" t="str">
        <f t="shared" si="1"/>
        <v/>
      </c>
      <c r="J541" s="16"/>
      <c r="K541" s="15"/>
      <c r="L541" s="15"/>
      <c r="M541" s="36" t="str">
        <f t="array" ref="M541">IF($A541="","",IF($L541="Atendido",IFERROR($I541*INDEX(Config!$B:$B,MATCH($C541,Config!$A:$A,0)),0),0))</f>
        <v/>
      </c>
      <c r="N541" s="36" t="str">
        <f t="shared" si="2"/>
        <v/>
      </c>
      <c r="O541" s="36" t="str">
        <f t="shared" si="3"/>
        <v/>
      </c>
      <c r="P541" s="15"/>
      <c r="Q541" s="37" t="str">
        <f t="shared" si="4"/>
        <v/>
      </c>
      <c r="R541" s="37" t="str">
        <f t="shared" si="5"/>
        <v/>
      </c>
      <c r="S541" s="32" t="str">
        <f t="shared" si="6"/>
        <v/>
      </c>
      <c r="T541" s="37" t="str">
        <f t="shared" si="7"/>
        <v/>
      </c>
      <c r="U541" s="37" t="str">
        <f t="array" ref="U541">IF($F541="","",IFERROR(INDEX(Config!$F:$F,MATCH($F541,Config!$D:$D,0)),0))</f>
        <v/>
      </c>
    </row>
    <row r="542" ht="15.0" customHeight="1">
      <c r="A542" s="34"/>
      <c r="B542" s="35"/>
      <c r="C542" s="15"/>
      <c r="D542" s="15"/>
      <c r="E542" s="15"/>
      <c r="F542" s="15"/>
      <c r="G542" s="36" t="str">
        <f t="array" ref="G542">IF($F542="","",IFERROR(INDEX(Config!$E:$E,MATCH($F542,Config!$D:$D,0)),0))</f>
        <v/>
      </c>
      <c r="H542" s="16"/>
      <c r="I542" s="36" t="str">
        <f t="shared" si="1"/>
        <v/>
      </c>
      <c r="J542" s="16"/>
      <c r="K542" s="15"/>
      <c r="L542" s="15"/>
      <c r="M542" s="36" t="str">
        <f t="array" ref="M542">IF($A542="","",IF($L542="Atendido",IFERROR($I542*INDEX(Config!$B:$B,MATCH($C542,Config!$A:$A,0)),0),0))</f>
        <v/>
      </c>
      <c r="N542" s="36" t="str">
        <f t="shared" si="2"/>
        <v/>
      </c>
      <c r="O542" s="36" t="str">
        <f t="shared" si="3"/>
        <v/>
      </c>
      <c r="P542" s="15"/>
      <c r="Q542" s="37" t="str">
        <f t="shared" si="4"/>
        <v/>
      </c>
      <c r="R542" s="37" t="str">
        <f t="shared" si="5"/>
        <v/>
      </c>
      <c r="S542" s="32" t="str">
        <f t="shared" si="6"/>
        <v/>
      </c>
      <c r="T542" s="37" t="str">
        <f t="shared" si="7"/>
        <v/>
      </c>
      <c r="U542" s="37" t="str">
        <f t="array" ref="U542">IF($F542="","",IFERROR(INDEX(Config!$F:$F,MATCH($F542,Config!$D:$D,0)),0))</f>
        <v/>
      </c>
    </row>
    <row r="543" ht="15.0" customHeight="1">
      <c r="A543" s="34"/>
      <c r="B543" s="35"/>
      <c r="C543" s="15"/>
      <c r="D543" s="15"/>
      <c r="E543" s="15"/>
      <c r="F543" s="15"/>
      <c r="G543" s="36" t="str">
        <f t="array" ref="G543">IF($F543="","",IFERROR(INDEX(Config!$E:$E,MATCH($F543,Config!$D:$D,0)),0))</f>
        <v/>
      </c>
      <c r="H543" s="16"/>
      <c r="I543" s="36" t="str">
        <f t="shared" si="1"/>
        <v/>
      </c>
      <c r="J543" s="16"/>
      <c r="K543" s="15"/>
      <c r="L543" s="15"/>
      <c r="M543" s="36" t="str">
        <f t="array" ref="M543">IF($A543="","",IF($L543="Atendido",IFERROR($I543*INDEX(Config!$B:$B,MATCH($C543,Config!$A:$A,0)),0),0))</f>
        <v/>
      </c>
      <c r="N543" s="36" t="str">
        <f t="shared" si="2"/>
        <v/>
      </c>
      <c r="O543" s="36" t="str">
        <f t="shared" si="3"/>
        <v/>
      </c>
      <c r="P543" s="15"/>
      <c r="Q543" s="37" t="str">
        <f t="shared" si="4"/>
        <v/>
      </c>
      <c r="R543" s="37" t="str">
        <f t="shared" si="5"/>
        <v/>
      </c>
      <c r="S543" s="32" t="str">
        <f t="shared" si="6"/>
        <v/>
      </c>
      <c r="T543" s="37" t="str">
        <f t="shared" si="7"/>
        <v/>
      </c>
      <c r="U543" s="37" t="str">
        <f t="array" ref="U543">IF($F543="","",IFERROR(INDEX(Config!$F:$F,MATCH($F543,Config!$D:$D,0)),0))</f>
        <v/>
      </c>
    </row>
    <row r="544" ht="15.0" customHeight="1">
      <c r="A544" s="34"/>
      <c r="B544" s="35"/>
      <c r="C544" s="15"/>
      <c r="D544" s="15"/>
      <c r="E544" s="15"/>
      <c r="F544" s="15"/>
      <c r="G544" s="36" t="str">
        <f t="array" ref="G544">IF($F544="","",IFERROR(INDEX(Config!$E:$E,MATCH($F544,Config!$D:$D,0)),0))</f>
        <v/>
      </c>
      <c r="H544" s="16"/>
      <c r="I544" s="36" t="str">
        <f t="shared" si="1"/>
        <v/>
      </c>
      <c r="J544" s="16"/>
      <c r="K544" s="15"/>
      <c r="L544" s="15"/>
      <c r="M544" s="36" t="str">
        <f t="array" ref="M544">IF($A544="","",IF($L544="Atendido",IFERROR($I544*INDEX(Config!$B:$B,MATCH($C544,Config!$A:$A,0)),0),0))</f>
        <v/>
      </c>
      <c r="N544" s="36" t="str">
        <f t="shared" si="2"/>
        <v/>
      </c>
      <c r="O544" s="36" t="str">
        <f t="shared" si="3"/>
        <v/>
      </c>
      <c r="P544" s="15"/>
      <c r="Q544" s="37" t="str">
        <f t="shared" si="4"/>
        <v/>
      </c>
      <c r="R544" s="37" t="str">
        <f t="shared" si="5"/>
        <v/>
      </c>
      <c r="S544" s="32" t="str">
        <f t="shared" si="6"/>
        <v/>
      </c>
      <c r="T544" s="37" t="str">
        <f t="shared" si="7"/>
        <v/>
      </c>
      <c r="U544" s="37" t="str">
        <f t="array" ref="U544">IF($F544="","",IFERROR(INDEX(Config!$F:$F,MATCH($F544,Config!$D:$D,0)),0))</f>
        <v/>
      </c>
    </row>
    <row r="545" ht="15.0" customHeight="1">
      <c r="A545" s="34"/>
      <c r="B545" s="35"/>
      <c r="C545" s="15"/>
      <c r="D545" s="15"/>
      <c r="E545" s="15"/>
      <c r="F545" s="15"/>
      <c r="G545" s="36" t="str">
        <f t="array" ref="G545">IF($F545="","",IFERROR(INDEX(Config!$E:$E,MATCH($F545,Config!$D:$D,0)),0))</f>
        <v/>
      </c>
      <c r="H545" s="16"/>
      <c r="I545" s="36" t="str">
        <f t="shared" si="1"/>
        <v/>
      </c>
      <c r="J545" s="16"/>
      <c r="K545" s="15"/>
      <c r="L545" s="15"/>
      <c r="M545" s="36" t="str">
        <f t="array" ref="M545">IF($A545="","",IF($L545="Atendido",IFERROR($I545*INDEX(Config!$B:$B,MATCH($C545,Config!$A:$A,0)),0),0))</f>
        <v/>
      </c>
      <c r="N545" s="36" t="str">
        <f t="shared" si="2"/>
        <v/>
      </c>
      <c r="O545" s="36" t="str">
        <f t="shared" si="3"/>
        <v/>
      </c>
      <c r="P545" s="15"/>
      <c r="Q545" s="37" t="str">
        <f t="shared" si="4"/>
        <v/>
      </c>
      <c r="R545" s="37" t="str">
        <f t="shared" si="5"/>
        <v/>
      </c>
      <c r="S545" s="32" t="str">
        <f t="shared" si="6"/>
        <v/>
      </c>
      <c r="T545" s="37" t="str">
        <f t="shared" si="7"/>
        <v/>
      </c>
      <c r="U545" s="37" t="str">
        <f t="array" ref="U545">IF($F545="","",IFERROR(INDEX(Config!$F:$F,MATCH($F545,Config!$D:$D,0)),0))</f>
        <v/>
      </c>
    </row>
    <row r="546" ht="15.0" customHeight="1">
      <c r="A546" s="34"/>
      <c r="B546" s="35"/>
      <c r="C546" s="15"/>
      <c r="D546" s="15"/>
      <c r="E546" s="15"/>
      <c r="F546" s="15"/>
      <c r="G546" s="36" t="str">
        <f t="array" ref="G546">IF($F546="","",IFERROR(INDEX(Config!$E:$E,MATCH($F546,Config!$D:$D,0)),0))</f>
        <v/>
      </c>
      <c r="H546" s="16"/>
      <c r="I546" s="36" t="str">
        <f t="shared" si="1"/>
        <v/>
      </c>
      <c r="J546" s="16"/>
      <c r="K546" s="15"/>
      <c r="L546" s="15"/>
      <c r="M546" s="36" t="str">
        <f t="array" ref="M546">IF($A546="","",IF($L546="Atendido",IFERROR($I546*INDEX(Config!$B:$B,MATCH($C546,Config!$A:$A,0)),0),0))</f>
        <v/>
      </c>
      <c r="N546" s="36" t="str">
        <f t="shared" si="2"/>
        <v/>
      </c>
      <c r="O546" s="36" t="str">
        <f t="shared" si="3"/>
        <v/>
      </c>
      <c r="P546" s="15"/>
      <c r="Q546" s="37" t="str">
        <f t="shared" si="4"/>
        <v/>
      </c>
      <c r="R546" s="37" t="str">
        <f t="shared" si="5"/>
        <v/>
      </c>
      <c r="S546" s="32" t="str">
        <f t="shared" si="6"/>
        <v/>
      </c>
      <c r="T546" s="37" t="str">
        <f t="shared" si="7"/>
        <v/>
      </c>
      <c r="U546" s="37" t="str">
        <f t="array" ref="U546">IF($F546="","",IFERROR(INDEX(Config!$F:$F,MATCH($F546,Config!$D:$D,0)),0))</f>
        <v/>
      </c>
    </row>
    <row r="547" ht="15.0" customHeight="1">
      <c r="A547" s="34"/>
      <c r="B547" s="35"/>
      <c r="C547" s="15"/>
      <c r="D547" s="15"/>
      <c r="E547" s="15"/>
      <c r="F547" s="15"/>
      <c r="G547" s="36" t="str">
        <f t="array" ref="G547">IF($F547="","",IFERROR(INDEX(Config!$E:$E,MATCH($F547,Config!$D:$D,0)),0))</f>
        <v/>
      </c>
      <c r="H547" s="16"/>
      <c r="I547" s="36" t="str">
        <f t="shared" si="1"/>
        <v/>
      </c>
      <c r="J547" s="16"/>
      <c r="K547" s="15"/>
      <c r="L547" s="15"/>
      <c r="M547" s="36" t="str">
        <f t="array" ref="M547">IF($A547="","",IF($L547="Atendido",IFERROR($I547*INDEX(Config!$B:$B,MATCH($C547,Config!$A:$A,0)),0),0))</f>
        <v/>
      </c>
      <c r="N547" s="36" t="str">
        <f t="shared" si="2"/>
        <v/>
      </c>
      <c r="O547" s="36" t="str">
        <f t="shared" si="3"/>
        <v/>
      </c>
      <c r="P547" s="15"/>
      <c r="Q547" s="37" t="str">
        <f t="shared" si="4"/>
        <v/>
      </c>
      <c r="R547" s="37" t="str">
        <f t="shared" si="5"/>
        <v/>
      </c>
      <c r="S547" s="32" t="str">
        <f t="shared" si="6"/>
        <v/>
      </c>
      <c r="T547" s="37" t="str">
        <f t="shared" si="7"/>
        <v/>
      </c>
      <c r="U547" s="37" t="str">
        <f t="array" ref="U547">IF($F547="","",IFERROR(INDEX(Config!$F:$F,MATCH($F547,Config!$D:$D,0)),0))</f>
        <v/>
      </c>
    </row>
    <row r="548" ht="15.0" customHeight="1">
      <c r="A548" s="34"/>
      <c r="B548" s="35"/>
      <c r="C548" s="15"/>
      <c r="D548" s="15"/>
      <c r="E548" s="15"/>
      <c r="F548" s="15"/>
      <c r="G548" s="36" t="str">
        <f t="array" ref="G548">IF($F548="","",IFERROR(INDEX(Config!$E:$E,MATCH($F548,Config!$D:$D,0)),0))</f>
        <v/>
      </c>
      <c r="H548" s="16"/>
      <c r="I548" s="36" t="str">
        <f t="shared" si="1"/>
        <v/>
      </c>
      <c r="J548" s="16"/>
      <c r="K548" s="15"/>
      <c r="L548" s="15"/>
      <c r="M548" s="36" t="str">
        <f t="array" ref="M548">IF($A548="","",IF($L548="Atendido",IFERROR($I548*INDEX(Config!$B:$B,MATCH($C548,Config!$A:$A,0)),0),0))</f>
        <v/>
      </c>
      <c r="N548" s="36" t="str">
        <f t="shared" si="2"/>
        <v/>
      </c>
      <c r="O548" s="36" t="str">
        <f t="shared" si="3"/>
        <v/>
      </c>
      <c r="P548" s="15"/>
      <c r="Q548" s="37" t="str">
        <f t="shared" si="4"/>
        <v/>
      </c>
      <c r="R548" s="37" t="str">
        <f t="shared" si="5"/>
        <v/>
      </c>
      <c r="S548" s="32" t="str">
        <f t="shared" si="6"/>
        <v/>
      </c>
      <c r="T548" s="37" t="str">
        <f t="shared" si="7"/>
        <v/>
      </c>
      <c r="U548" s="37" t="str">
        <f t="array" ref="U548">IF($F548="","",IFERROR(INDEX(Config!$F:$F,MATCH($F548,Config!$D:$D,0)),0))</f>
        <v/>
      </c>
    </row>
    <row r="549" ht="15.0" customHeight="1">
      <c r="A549" s="34"/>
      <c r="B549" s="35"/>
      <c r="C549" s="15"/>
      <c r="D549" s="15"/>
      <c r="E549" s="15"/>
      <c r="F549" s="15"/>
      <c r="G549" s="36" t="str">
        <f t="array" ref="G549">IF($F549="","",IFERROR(INDEX(Config!$E:$E,MATCH($F549,Config!$D:$D,0)),0))</f>
        <v/>
      </c>
      <c r="H549" s="16"/>
      <c r="I549" s="36" t="str">
        <f t="shared" si="1"/>
        <v/>
      </c>
      <c r="J549" s="16"/>
      <c r="K549" s="15"/>
      <c r="L549" s="15"/>
      <c r="M549" s="36" t="str">
        <f t="array" ref="M549">IF($A549="","",IF($L549="Atendido",IFERROR($I549*INDEX(Config!$B:$B,MATCH($C549,Config!$A:$A,0)),0),0))</f>
        <v/>
      </c>
      <c r="N549" s="36" t="str">
        <f t="shared" si="2"/>
        <v/>
      </c>
      <c r="O549" s="36" t="str">
        <f t="shared" si="3"/>
        <v/>
      </c>
      <c r="P549" s="15"/>
      <c r="Q549" s="37" t="str">
        <f t="shared" si="4"/>
        <v/>
      </c>
      <c r="R549" s="37" t="str">
        <f t="shared" si="5"/>
        <v/>
      </c>
      <c r="S549" s="32" t="str">
        <f t="shared" si="6"/>
        <v/>
      </c>
      <c r="T549" s="37" t="str">
        <f t="shared" si="7"/>
        <v/>
      </c>
      <c r="U549" s="37" t="str">
        <f t="array" ref="U549">IF($F549="","",IFERROR(INDEX(Config!$F:$F,MATCH($F549,Config!$D:$D,0)),0))</f>
        <v/>
      </c>
    </row>
    <row r="550" ht="15.0" customHeight="1">
      <c r="A550" s="34"/>
      <c r="B550" s="35"/>
      <c r="C550" s="15"/>
      <c r="D550" s="15"/>
      <c r="E550" s="15"/>
      <c r="F550" s="15"/>
      <c r="G550" s="36" t="str">
        <f t="array" ref="G550">IF($F550="","",IFERROR(INDEX(Config!$E:$E,MATCH($F550,Config!$D:$D,0)),0))</f>
        <v/>
      </c>
      <c r="H550" s="16"/>
      <c r="I550" s="36" t="str">
        <f t="shared" si="1"/>
        <v/>
      </c>
      <c r="J550" s="16"/>
      <c r="K550" s="15"/>
      <c r="L550" s="15"/>
      <c r="M550" s="36" t="str">
        <f t="array" ref="M550">IF($A550="","",IF($L550="Atendido",IFERROR($I550*INDEX(Config!$B:$B,MATCH($C550,Config!$A:$A,0)),0),0))</f>
        <v/>
      </c>
      <c r="N550" s="36" t="str">
        <f t="shared" si="2"/>
        <v/>
      </c>
      <c r="O550" s="36" t="str">
        <f t="shared" si="3"/>
        <v/>
      </c>
      <c r="P550" s="15"/>
      <c r="Q550" s="37" t="str">
        <f t="shared" si="4"/>
        <v/>
      </c>
      <c r="R550" s="37" t="str">
        <f t="shared" si="5"/>
        <v/>
      </c>
      <c r="S550" s="32" t="str">
        <f t="shared" si="6"/>
        <v/>
      </c>
      <c r="T550" s="37" t="str">
        <f t="shared" si="7"/>
        <v/>
      </c>
      <c r="U550" s="37" t="str">
        <f t="array" ref="U550">IF($F550="","",IFERROR(INDEX(Config!$F:$F,MATCH($F550,Config!$D:$D,0)),0))</f>
        <v/>
      </c>
    </row>
    <row r="551" ht="15.0" customHeight="1">
      <c r="A551" s="34"/>
      <c r="B551" s="35"/>
      <c r="C551" s="15"/>
      <c r="D551" s="15"/>
      <c r="E551" s="15"/>
      <c r="F551" s="15"/>
      <c r="G551" s="36" t="str">
        <f t="array" ref="G551">IF($F551="","",IFERROR(INDEX(Config!$E:$E,MATCH($F551,Config!$D:$D,0)),0))</f>
        <v/>
      </c>
      <c r="H551" s="16"/>
      <c r="I551" s="36" t="str">
        <f t="shared" si="1"/>
        <v/>
      </c>
      <c r="J551" s="16"/>
      <c r="K551" s="15"/>
      <c r="L551" s="15"/>
      <c r="M551" s="36" t="str">
        <f t="array" ref="M551">IF($A551="","",IF($L551="Atendido",IFERROR($I551*INDEX(Config!$B:$B,MATCH($C551,Config!$A:$A,0)),0),0))</f>
        <v/>
      </c>
      <c r="N551" s="36" t="str">
        <f t="shared" si="2"/>
        <v/>
      </c>
      <c r="O551" s="36" t="str">
        <f t="shared" si="3"/>
        <v/>
      </c>
      <c r="P551" s="15"/>
      <c r="Q551" s="37" t="str">
        <f t="shared" si="4"/>
        <v/>
      </c>
      <c r="R551" s="37" t="str">
        <f t="shared" si="5"/>
        <v/>
      </c>
      <c r="S551" s="32" t="str">
        <f t="shared" si="6"/>
        <v/>
      </c>
      <c r="T551" s="37" t="str">
        <f t="shared" si="7"/>
        <v/>
      </c>
      <c r="U551" s="37" t="str">
        <f t="array" ref="U551">IF($F551="","",IFERROR(INDEX(Config!$F:$F,MATCH($F551,Config!$D:$D,0)),0))</f>
        <v/>
      </c>
    </row>
    <row r="552" ht="15.0" customHeight="1">
      <c r="A552" s="34"/>
      <c r="B552" s="35"/>
      <c r="C552" s="15"/>
      <c r="D552" s="15"/>
      <c r="E552" s="15"/>
      <c r="F552" s="15"/>
      <c r="G552" s="36" t="str">
        <f t="array" ref="G552">IF($F552="","",IFERROR(INDEX(Config!$E:$E,MATCH($F552,Config!$D:$D,0)),0))</f>
        <v/>
      </c>
      <c r="H552" s="16"/>
      <c r="I552" s="36" t="str">
        <f t="shared" si="1"/>
        <v/>
      </c>
      <c r="J552" s="16"/>
      <c r="K552" s="15"/>
      <c r="L552" s="15"/>
      <c r="M552" s="36" t="str">
        <f t="array" ref="M552">IF($A552="","",IF($L552="Atendido",IFERROR($I552*INDEX(Config!$B:$B,MATCH($C552,Config!$A:$A,0)),0),0))</f>
        <v/>
      </c>
      <c r="N552" s="36" t="str">
        <f t="shared" si="2"/>
        <v/>
      </c>
      <c r="O552" s="36" t="str">
        <f t="shared" si="3"/>
        <v/>
      </c>
      <c r="P552" s="15"/>
      <c r="Q552" s="37" t="str">
        <f t="shared" si="4"/>
        <v/>
      </c>
      <c r="R552" s="37" t="str">
        <f t="shared" si="5"/>
        <v/>
      </c>
      <c r="S552" s="32" t="str">
        <f t="shared" si="6"/>
        <v/>
      </c>
      <c r="T552" s="37" t="str">
        <f t="shared" si="7"/>
        <v/>
      </c>
      <c r="U552" s="37" t="str">
        <f t="array" ref="U552">IF($F552="","",IFERROR(INDEX(Config!$F:$F,MATCH($F552,Config!$D:$D,0)),0))</f>
        <v/>
      </c>
    </row>
    <row r="553" ht="15.0" customHeight="1">
      <c r="A553" s="34"/>
      <c r="B553" s="35"/>
      <c r="C553" s="15"/>
      <c r="D553" s="15"/>
      <c r="E553" s="15"/>
      <c r="F553" s="15"/>
      <c r="G553" s="36" t="str">
        <f t="array" ref="G553">IF($F553="","",IFERROR(INDEX(Config!$E:$E,MATCH($F553,Config!$D:$D,0)),0))</f>
        <v/>
      </c>
      <c r="H553" s="16"/>
      <c r="I553" s="36" t="str">
        <f t="shared" si="1"/>
        <v/>
      </c>
      <c r="J553" s="16"/>
      <c r="K553" s="15"/>
      <c r="L553" s="15"/>
      <c r="M553" s="36" t="str">
        <f t="array" ref="M553">IF($A553="","",IF($L553="Atendido",IFERROR($I553*INDEX(Config!$B:$B,MATCH($C553,Config!$A:$A,0)),0),0))</f>
        <v/>
      </c>
      <c r="N553" s="36" t="str">
        <f t="shared" si="2"/>
        <v/>
      </c>
      <c r="O553" s="36" t="str">
        <f t="shared" si="3"/>
        <v/>
      </c>
      <c r="P553" s="15"/>
      <c r="Q553" s="37" t="str">
        <f t="shared" si="4"/>
        <v/>
      </c>
      <c r="R553" s="37" t="str">
        <f t="shared" si="5"/>
        <v/>
      </c>
      <c r="S553" s="32" t="str">
        <f t="shared" si="6"/>
        <v/>
      </c>
      <c r="T553" s="37" t="str">
        <f t="shared" si="7"/>
        <v/>
      </c>
      <c r="U553" s="37" t="str">
        <f t="array" ref="U553">IF($F553="","",IFERROR(INDEX(Config!$F:$F,MATCH($F553,Config!$D:$D,0)),0))</f>
        <v/>
      </c>
    </row>
    <row r="554" ht="15.0" customHeight="1">
      <c r="A554" s="34"/>
      <c r="B554" s="35"/>
      <c r="C554" s="15"/>
      <c r="D554" s="15"/>
      <c r="E554" s="15"/>
      <c r="F554" s="15"/>
      <c r="G554" s="36" t="str">
        <f t="array" ref="G554">IF($F554="","",IFERROR(INDEX(Config!$E:$E,MATCH($F554,Config!$D:$D,0)),0))</f>
        <v/>
      </c>
      <c r="H554" s="16"/>
      <c r="I554" s="36" t="str">
        <f t="shared" si="1"/>
        <v/>
      </c>
      <c r="J554" s="16"/>
      <c r="K554" s="15"/>
      <c r="L554" s="15"/>
      <c r="M554" s="36" t="str">
        <f t="array" ref="M554">IF($A554="","",IF($L554="Atendido",IFERROR($I554*INDEX(Config!$B:$B,MATCH($C554,Config!$A:$A,0)),0),0))</f>
        <v/>
      </c>
      <c r="N554" s="36" t="str">
        <f t="shared" si="2"/>
        <v/>
      </c>
      <c r="O554" s="36" t="str">
        <f t="shared" si="3"/>
        <v/>
      </c>
      <c r="P554" s="15"/>
      <c r="Q554" s="37" t="str">
        <f t="shared" si="4"/>
        <v/>
      </c>
      <c r="R554" s="37" t="str">
        <f t="shared" si="5"/>
        <v/>
      </c>
      <c r="S554" s="32" t="str">
        <f t="shared" si="6"/>
        <v/>
      </c>
      <c r="T554" s="37" t="str">
        <f t="shared" si="7"/>
        <v/>
      </c>
      <c r="U554" s="37" t="str">
        <f t="array" ref="U554">IF($F554="","",IFERROR(INDEX(Config!$F:$F,MATCH($F554,Config!$D:$D,0)),0))</f>
        <v/>
      </c>
    </row>
    <row r="555" ht="15.0" customHeight="1">
      <c r="A555" s="34"/>
      <c r="B555" s="35"/>
      <c r="C555" s="15"/>
      <c r="D555" s="15"/>
      <c r="E555" s="15"/>
      <c r="F555" s="15"/>
      <c r="G555" s="36" t="str">
        <f t="array" ref="G555">IF($F555="","",IFERROR(INDEX(Config!$E:$E,MATCH($F555,Config!$D:$D,0)),0))</f>
        <v/>
      </c>
      <c r="H555" s="16"/>
      <c r="I555" s="36" t="str">
        <f t="shared" si="1"/>
        <v/>
      </c>
      <c r="J555" s="16"/>
      <c r="K555" s="15"/>
      <c r="L555" s="15"/>
      <c r="M555" s="36" t="str">
        <f t="array" ref="M555">IF($A555="","",IF($L555="Atendido",IFERROR($I555*INDEX(Config!$B:$B,MATCH($C555,Config!$A:$A,0)),0),0))</f>
        <v/>
      </c>
      <c r="N555" s="36" t="str">
        <f t="shared" si="2"/>
        <v/>
      </c>
      <c r="O555" s="36" t="str">
        <f t="shared" si="3"/>
        <v/>
      </c>
      <c r="P555" s="15"/>
      <c r="Q555" s="37" t="str">
        <f t="shared" si="4"/>
        <v/>
      </c>
      <c r="R555" s="37" t="str">
        <f t="shared" si="5"/>
        <v/>
      </c>
      <c r="S555" s="32" t="str">
        <f t="shared" si="6"/>
        <v/>
      </c>
      <c r="T555" s="37" t="str">
        <f t="shared" si="7"/>
        <v/>
      </c>
      <c r="U555" s="37" t="str">
        <f t="array" ref="U555">IF($F555="","",IFERROR(INDEX(Config!$F:$F,MATCH($F555,Config!$D:$D,0)),0))</f>
        <v/>
      </c>
    </row>
    <row r="556" ht="15.0" customHeight="1">
      <c r="A556" s="34"/>
      <c r="B556" s="35"/>
      <c r="C556" s="15"/>
      <c r="D556" s="15"/>
      <c r="E556" s="15"/>
      <c r="F556" s="15"/>
      <c r="G556" s="36" t="str">
        <f t="array" ref="G556">IF($F556="","",IFERROR(INDEX(Config!$E:$E,MATCH($F556,Config!$D:$D,0)),0))</f>
        <v/>
      </c>
      <c r="H556" s="16"/>
      <c r="I556" s="36" t="str">
        <f t="shared" si="1"/>
        <v/>
      </c>
      <c r="J556" s="16"/>
      <c r="K556" s="15"/>
      <c r="L556" s="15"/>
      <c r="M556" s="36" t="str">
        <f t="array" ref="M556">IF($A556="","",IF($L556="Atendido",IFERROR($I556*INDEX(Config!$B:$B,MATCH($C556,Config!$A:$A,0)),0),0))</f>
        <v/>
      </c>
      <c r="N556" s="36" t="str">
        <f t="shared" si="2"/>
        <v/>
      </c>
      <c r="O556" s="36" t="str">
        <f t="shared" si="3"/>
        <v/>
      </c>
      <c r="P556" s="15"/>
      <c r="Q556" s="37" t="str">
        <f t="shared" si="4"/>
        <v/>
      </c>
      <c r="R556" s="37" t="str">
        <f t="shared" si="5"/>
        <v/>
      </c>
      <c r="S556" s="32" t="str">
        <f t="shared" si="6"/>
        <v/>
      </c>
      <c r="T556" s="37" t="str">
        <f t="shared" si="7"/>
        <v/>
      </c>
      <c r="U556" s="37" t="str">
        <f t="array" ref="U556">IF($F556="","",IFERROR(INDEX(Config!$F:$F,MATCH($F556,Config!$D:$D,0)),0))</f>
        <v/>
      </c>
    </row>
    <row r="557" ht="15.0" customHeight="1">
      <c r="A557" s="34"/>
      <c r="B557" s="35"/>
      <c r="C557" s="15"/>
      <c r="D557" s="15"/>
      <c r="E557" s="15"/>
      <c r="F557" s="15"/>
      <c r="G557" s="36" t="str">
        <f t="array" ref="G557">IF($F557="","",IFERROR(INDEX(Config!$E:$E,MATCH($F557,Config!$D:$D,0)),0))</f>
        <v/>
      </c>
      <c r="H557" s="16"/>
      <c r="I557" s="36" t="str">
        <f t="shared" si="1"/>
        <v/>
      </c>
      <c r="J557" s="16"/>
      <c r="K557" s="15"/>
      <c r="L557" s="15"/>
      <c r="M557" s="36" t="str">
        <f t="array" ref="M557">IF($A557="","",IF($L557="Atendido",IFERROR($I557*INDEX(Config!$B:$B,MATCH($C557,Config!$A:$A,0)),0),0))</f>
        <v/>
      </c>
      <c r="N557" s="36" t="str">
        <f t="shared" si="2"/>
        <v/>
      </c>
      <c r="O557" s="36" t="str">
        <f t="shared" si="3"/>
        <v/>
      </c>
      <c r="P557" s="15"/>
      <c r="Q557" s="37" t="str">
        <f t="shared" si="4"/>
        <v/>
      </c>
      <c r="R557" s="37" t="str">
        <f t="shared" si="5"/>
        <v/>
      </c>
      <c r="S557" s="32" t="str">
        <f t="shared" si="6"/>
        <v/>
      </c>
      <c r="T557" s="37" t="str">
        <f t="shared" si="7"/>
        <v/>
      </c>
      <c r="U557" s="37" t="str">
        <f t="array" ref="U557">IF($F557="","",IFERROR(INDEX(Config!$F:$F,MATCH($F557,Config!$D:$D,0)),0))</f>
        <v/>
      </c>
    </row>
    <row r="558" ht="15.0" customHeight="1">
      <c r="A558" s="34"/>
      <c r="B558" s="35"/>
      <c r="C558" s="15"/>
      <c r="D558" s="15"/>
      <c r="E558" s="15"/>
      <c r="F558" s="15"/>
      <c r="G558" s="36" t="str">
        <f t="array" ref="G558">IF($F558="","",IFERROR(INDEX(Config!$E:$E,MATCH($F558,Config!$D:$D,0)),0))</f>
        <v/>
      </c>
      <c r="H558" s="16"/>
      <c r="I558" s="36" t="str">
        <f t="shared" si="1"/>
        <v/>
      </c>
      <c r="J558" s="16"/>
      <c r="K558" s="15"/>
      <c r="L558" s="15"/>
      <c r="M558" s="36" t="str">
        <f t="array" ref="M558">IF($A558="","",IF($L558="Atendido",IFERROR($I558*INDEX(Config!$B:$B,MATCH($C558,Config!$A:$A,0)),0),0))</f>
        <v/>
      </c>
      <c r="N558" s="36" t="str">
        <f t="shared" si="2"/>
        <v/>
      </c>
      <c r="O558" s="36" t="str">
        <f t="shared" si="3"/>
        <v/>
      </c>
      <c r="P558" s="15"/>
      <c r="Q558" s="37" t="str">
        <f t="shared" si="4"/>
        <v/>
      </c>
      <c r="R558" s="37" t="str">
        <f t="shared" si="5"/>
        <v/>
      </c>
      <c r="S558" s="32" t="str">
        <f t="shared" si="6"/>
        <v/>
      </c>
      <c r="T558" s="37" t="str">
        <f t="shared" si="7"/>
        <v/>
      </c>
      <c r="U558" s="37" t="str">
        <f t="array" ref="U558">IF($F558="","",IFERROR(INDEX(Config!$F:$F,MATCH($F558,Config!$D:$D,0)),0))</f>
        <v/>
      </c>
    </row>
    <row r="559" ht="15.0" customHeight="1">
      <c r="A559" s="34"/>
      <c r="B559" s="35"/>
      <c r="C559" s="15"/>
      <c r="D559" s="15"/>
      <c r="E559" s="15"/>
      <c r="F559" s="15"/>
      <c r="G559" s="36" t="str">
        <f t="array" ref="G559">IF($F559="","",IFERROR(INDEX(Config!$E:$E,MATCH($F559,Config!$D:$D,0)),0))</f>
        <v/>
      </c>
      <c r="H559" s="16"/>
      <c r="I559" s="36" t="str">
        <f t="shared" si="1"/>
        <v/>
      </c>
      <c r="J559" s="16"/>
      <c r="K559" s="15"/>
      <c r="L559" s="15"/>
      <c r="M559" s="36" t="str">
        <f t="array" ref="M559">IF($A559="","",IF($L559="Atendido",IFERROR($I559*INDEX(Config!$B:$B,MATCH($C559,Config!$A:$A,0)),0),0))</f>
        <v/>
      </c>
      <c r="N559" s="36" t="str">
        <f t="shared" si="2"/>
        <v/>
      </c>
      <c r="O559" s="36" t="str">
        <f t="shared" si="3"/>
        <v/>
      </c>
      <c r="P559" s="15"/>
      <c r="Q559" s="37" t="str">
        <f t="shared" si="4"/>
        <v/>
      </c>
      <c r="R559" s="37" t="str">
        <f t="shared" si="5"/>
        <v/>
      </c>
      <c r="S559" s="32" t="str">
        <f t="shared" si="6"/>
        <v/>
      </c>
      <c r="T559" s="37" t="str">
        <f t="shared" si="7"/>
        <v/>
      </c>
      <c r="U559" s="37" t="str">
        <f t="array" ref="U559">IF($F559="","",IFERROR(INDEX(Config!$F:$F,MATCH($F559,Config!$D:$D,0)),0))</f>
        <v/>
      </c>
    </row>
    <row r="560" ht="15.0" customHeight="1">
      <c r="A560" s="34"/>
      <c r="B560" s="35"/>
      <c r="C560" s="15"/>
      <c r="D560" s="15"/>
      <c r="E560" s="15"/>
      <c r="F560" s="15"/>
      <c r="G560" s="36" t="str">
        <f t="array" ref="G560">IF($F560="","",IFERROR(INDEX(Config!$E:$E,MATCH($F560,Config!$D:$D,0)),0))</f>
        <v/>
      </c>
      <c r="H560" s="16"/>
      <c r="I560" s="36" t="str">
        <f t="shared" si="1"/>
        <v/>
      </c>
      <c r="J560" s="16"/>
      <c r="K560" s="15"/>
      <c r="L560" s="15"/>
      <c r="M560" s="36" t="str">
        <f t="array" ref="M560">IF($A560="","",IF($L560="Atendido",IFERROR($I560*INDEX(Config!$B:$B,MATCH($C560,Config!$A:$A,0)),0),0))</f>
        <v/>
      </c>
      <c r="N560" s="36" t="str">
        <f t="shared" si="2"/>
        <v/>
      </c>
      <c r="O560" s="36" t="str">
        <f t="shared" si="3"/>
        <v/>
      </c>
      <c r="P560" s="15"/>
      <c r="Q560" s="37" t="str">
        <f t="shared" si="4"/>
        <v/>
      </c>
      <c r="R560" s="37" t="str">
        <f t="shared" si="5"/>
        <v/>
      </c>
      <c r="S560" s="32" t="str">
        <f t="shared" si="6"/>
        <v/>
      </c>
      <c r="T560" s="37" t="str">
        <f t="shared" si="7"/>
        <v/>
      </c>
      <c r="U560" s="37" t="str">
        <f t="array" ref="U560">IF($F560="","",IFERROR(INDEX(Config!$F:$F,MATCH($F560,Config!$D:$D,0)),0))</f>
        <v/>
      </c>
    </row>
    <row r="561" ht="15.0" customHeight="1">
      <c r="A561" s="34"/>
      <c r="B561" s="35"/>
      <c r="C561" s="15"/>
      <c r="D561" s="15"/>
      <c r="E561" s="15"/>
      <c r="F561" s="15"/>
      <c r="G561" s="36" t="str">
        <f t="array" ref="G561">IF($F561="","",IFERROR(INDEX(Config!$E:$E,MATCH($F561,Config!$D:$D,0)),0))</f>
        <v/>
      </c>
      <c r="H561" s="16"/>
      <c r="I561" s="36" t="str">
        <f t="shared" si="1"/>
        <v/>
      </c>
      <c r="J561" s="16"/>
      <c r="K561" s="15"/>
      <c r="L561" s="15"/>
      <c r="M561" s="36" t="str">
        <f t="array" ref="M561">IF($A561="","",IF($L561="Atendido",IFERROR($I561*INDEX(Config!$B:$B,MATCH($C561,Config!$A:$A,0)),0),0))</f>
        <v/>
      </c>
      <c r="N561" s="36" t="str">
        <f t="shared" si="2"/>
        <v/>
      </c>
      <c r="O561" s="36" t="str">
        <f t="shared" si="3"/>
        <v/>
      </c>
      <c r="P561" s="15"/>
      <c r="Q561" s="37" t="str">
        <f t="shared" si="4"/>
        <v/>
      </c>
      <c r="R561" s="37" t="str">
        <f t="shared" si="5"/>
        <v/>
      </c>
      <c r="S561" s="32" t="str">
        <f t="shared" si="6"/>
        <v/>
      </c>
      <c r="T561" s="37" t="str">
        <f t="shared" si="7"/>
        <v/>
      </c>
      <c r="U561" s="37" t="str">
        <f t="array" ref="U561">IF($F561="","",IFERROR(INDEX(Config!$F:$F,MATCH($F561,Config!$D:$D,0)),0))</f>
        <v/>
      </c>
    </row>
    <row r="562" ht="15.0" customHeight="1">
      <c r="A562" s="34"/>
      <c r="B562" s="35"/>
      <c r="C562" s="15"/>
      <c r="D562" s="15"/>
      <c r="E562" s="15"/>
      <c r="F562" s="15"/>
      <c r="G562" s="36" t="str">
        <f t="array" ref="G562">IF($F562="","",IFERROR(INDEX(Config!$E:$E,MATCH($F562,Config!$D:$D,0)),0))</f>
        <v/>
      </c>
      <c r="H562" s="16"/>
      <c r="I562" s="36" t="str">
        <f t="shared" si="1"/>
        <v/>
      </c>
      <c r="J562" s="16"/>
      <c r="K562" s="15"/>
      <c r="L562" s="15"/>
      <c r="M562" s="36" t="str">
        <f t="array" ref="M562">IF($A562="","",IF($L562="Atendido",IFERROR($I562*INDEX(Config!$B:$B,MATCH($C562,Config!$A:$A,0)),0),0))</f>
        <v/>
      </c>
      <c r="N562" s="36" t="str">
        <f t="shared" si="2"/>
        <v/>
      </c>
      <c r="O562" s="36" t="str">
        <f t="shared" si="3"/>
        <v/>
      </c>
      <c r="P562" s="15"/>
      <c r="Q562" s="37" t="str">
        <f t="shared" si="4"/>
        <v/>
      </c>
      <c r="R562" s="37" t="str">
        <f t="shared" si="5"/>
        <v/>
      </c>
      <c r="S562" s="32" t="str">
        <f t="shared" si="6"/>
        <v/>
      </c>
      <c r="T562" s="37" t="str">
        <f t="shared" si="7"/>
        <v/>
      </c>
      <c r="U562" s="37" t="str">
        <f t="array" ref="U562">IF($F562="","",IFERROR(INDEX(Config!$F:$F,MATCH($F562,Config!$D:$D,0)),0))</f>
        <v/>
      </c>
    </row>
    <row r="563" ht="15.0" customHeight="1">
      <c r="A563" s="34"/>
      <c r="B563" s="35"/>
      <c r="C563" s="15"/>
      <c r="D563" s="15"/>
      <c r="E563" s="15"/>
      <c r="F563" s="15"/>
      <c r="G563" s="36" t="str">
        <f t="array" ref="G563">IF($F563="","",IFERROR(INDEX(Config!$E:$E,MATCH($F563,Config!$D:$D,0)),0))</f>
        <v/>
      </c>
      <c r="H563" s="16"/>
      <c r="I563" s="36" t="str">
        <f t="shared" si="1"/>
        <v/>
      </c>
      <c r="J563" s="16"/>
      <c r="K563" s="15"/>
      <c r="L563" s="15"/>
      <c r="M563" s="36" t="str">
        <f t="array" ref="M563">IF($A563="","",IF($L563="Atendido",IFERROR($I563*INDEX(Config!$B:$B,MATCH($C563,Config!$A:$A,0)),0),0))</f>
        <v/>
      </c>
      <c r="N563" s="36" t="str">
        <f t="shared" si="2"/>
        <v/>
      </c>
      <c r="O563" s="36" t="str">
        <f t="shared" si="3"/>
        <v/>
      </c>
      <c r="P563" s="15"/>
      <c r="Q563" s="37" t="str">
        <f t="shared" si="4"/>
        <v/>
      </c>
      <c r="R563" s="37" t="str">
        <f t="shared" si="5"/>
        <v/>
      </c>
      <c r="S563" s="32" t="str">
        <f t="shared" si="6"/>
        <v/>
      </c>
      <c r="T563" s="37" t="str">
        <f t="shared" si="7"/>
        <v/>
      </c>
      <c r="U563" s="37" t="str">
        <f t="array" ref="U563">IF($F563="","",IFERROR(INDEX(Config!$F:$F,MATCH($F563,Config!$D:$D,0)),0))</f>
        <v/>
      </c>
    </row>
    <row r="564" ht="15.0" customHeight="1">
      <c r="A564" s="34"/>
      <c r="B564" s="35"/>
      <c r="C564" s="15"/>
      <c r="D564" s="15"/>
      <c r="E564" s="15"/>
      <c r="F564" s="15"/>
      <c r="G564" s="36" t="str">
        <f t="array" ref="G564">IF($F564="","",IFERROR(INDEX(Config!$E:$E,MATCH($F564,Config!$D:$D,0)),0))</f>
        <v/>
      </c>
      <c r="H564" s="16"/>
      <c r="I564" s="36" t="str">
        <f t="shared" si="1"/>
        <v/>
      </c>
      <c r="J564" s="16"/>
      <c r="K564" s="15"/>
      <c r="L564" s="15"/>
      <c r="M564" s="36" t="str">
        <f t="array" ref="M564">IF($A564="","",IF($L564="Atendido",IFERROR($I564*INDEX(Config!$B:$B,MATCH($C564,Config!$A:$A,0)),0),0))</f>
        <v/>
      </c>
      <c r="N564" s="36" t="str">
        <f t="shared" si="2"/>
        <v/>
      </c>
      <c r="O564" s="36" t="str">
        <f t="shared" si="3"/>
        <v/>
      </c>
      <c r="P564" s="15"/>
      <c r="Q564" s="37" t="str">
        <f t="shared" si="4"/>
        <v/>
      </c>
      <c r="R564" s="37" t="str">
        <f t="shared" si="5"/>
        <v/>
      </c>
      <c r="S564" s="32" t="str">
        <f t="shared" si="6"/>
        <v/>
      </c>
      <c r="T564" s="37" t="str">
        <f t="shared" si="7"/>
        <v/>
      </c>
      <c r="U564" s="37" t="str">
        <f t="array" ref="U564">IF($F564="","",IFERROR(INDEX(Config!$F:$F,MATCH($F564,Config!$D:$D,0)),0))</f>
        <v/>
      </c>
    </row>
    <row r="565" ht="15.0" customHeight="1">
      <c r="A565" s="34"/>
      <c r="B565" s="35"/>
      <c r="C565" s="15"/>
      <c r="D565" s="15"/>
      <c r="E565" s="15"/>
      <c r="F565" s="15"/>
      <c r="G565" s="36" t="str">
        <f t="array" ref="G565">IF($F565="","",IFERROR(INDEX(Config!$E:$E,MATCH($F565,Config!$D:$D,0)),0))</f>
        <v/>
      </c>
      <c r="H565" s="16"/>
      <c r="I565" s="36" t="str">
        <f t="shared" si="1"/>
        <v/>
      </c>
      <c r="J565" s="16"/>
      <c r="K565" s="15"/>
      <c r="L565" s="15"/>
      <c r="M565" s="36" t="str">
        <f t="array" ref="M565">IF($A565="","",IF($L565="Atendido",IFERROR($I565*INDEX(Config!$B:$B,MATCH($C565,Config!$A:$A,0)),0),0))</f>
        <v/>
      </c>
      <c r="N565" s="36" t="str">
        <f t="shared" si="2"/>
        <v/>
      </c>
      <c r="O565" s="36" t="str">
        <f t="shared" si="3"/>
        <v/>
      </c>
      <c r="P565" s="15"/>
      <c r="Q565" s="37" t="str">
        <f t="shared" si="4"/>
        <v/>
      </c>
      <c r="R565" s="37" t="str">
        <f t="shared" si="5"/>
        <v/>
      </c>
      <c r="S565" s="32" t="str">
        <f t="shared" si="6"/>
        <v/>
      </c>
      <c r="T565" s="37" t="str">
        <f t="shared" si="7"/>
        <v/>
      </c>
      <c r="U565" s="37" t="str">
        <f t="array" ref="U565">IF($F565="","",IFERROR(INDEX(Config!$F:$F,MATCH($F565,Config!$D:$D,0)),0))</f>
        <v/>
      </c>
    </row>
    <row r="566" ht="15.0" customHeight="1">
      <c r="A566" s="34"/>
      <c r="B566" s="35"/>
      <c r="C566" s="15"/>
      <c r="D566" s="15"/>
      <c r="E566" s="15"/>
      <c r="F566" s="15"/>
      <c r="G566" s="36" t="str">
        <f t="array" ref="G566">IF($F566="","",IFERROR(INDEX(Config!$E:$E,MATCH($F566,Config!$D:$D,0)),0))</f>
        <v/>
      </c>
      <c r="H566" s="16"/>
      <c r="I566" s="36" t="str">
        <f t="shared" si="1"/>
        <v/>
      </c>
      <c r="J566" s="16"/>
      <c r="K566" s="15"/>
      <c r="L566" s="15"/>
      <c r="M566" s="36" t="str">
        <f t="array" ref="M566">IF($A566="","",IF($L566="Atendido",IFERROR($I566*INDEX(Config!$B:$B,MATCH($C566,Config!$A:$A,0)),0),0))</f>
        <v/>
      </c>
      <c r="N566" s="36" t="str">
        <f t="shared" si="2"/>
        <v/>
      </c>
      <c r="O566" s="36" t="str">
        <f t="shared" si="3"/>
        <v/>
      </c>
      <c r="P566" s="15"/>
      <c r="Q566" s="37" t="str">
        <f t="shared" si="4"/>
        <v/>
      </c>
      <c r="R566" s="37" t="str">
        <f t="shared" si="5"/>
        <v/>
      </c>
      <c r="S566" s="32" t="str">
        <f t="shared" si="6"/>
        <v/>
      </c>
      <c r="T566" s="37" t="str">
        <f t="shared" si="7"/>
        <v/>
      </c>
      <c r="U566" s="37" t="str">
        <f t="array" ref="U566">IF($F566="","",IFERROR(INDEX(Config!$F:$F,MATCH($F566,Config!$D:$D,0)),0))</f>
        <v/>
      </c>
    </row>
    <row r="567" ht="15.0" customHeight="1">
      <c r="A567" s="34"/>
      <c r="B567" s="35"/>
      <c r="C567" s="15"/>
      <c r="D567" s="15"/>
      <c r="E567" s="15"/>
      <c r="F567" s="15"/>
      <c r="G567" s="36" t="str">
        <f t="array" ref="G567">IF($F567="","",IFERROR(INDEX(Config!$E:$E,MATCH($F567,Config!$D:$D,0)),0))</f>
        <v/>
      </c>
      <c r="H567" s="16"/>
      <c r="I567" s="36" t="str">
        <f t="shared" si="1"/>
        <v/>
      </c>
      <c r="J567" s="16"/>
      <c r="K567" s="15"/>
      <c r="L567" s="15"/>
      <c r="M567" s="36" t="str">
        <f t="array" ref="M567">IF($A567="","",IF($L567="Atendido",IFERROR($I567*INDEX(Config!$B:$B,MATCH($C567,Config!$A:$A,0)),0),0))</f>
        <v/>
      </c>
      <c r="N567" s="36" t="str">
        <f t="shared" si="2"/>
        <v/>
      </c>
      <c r="O567" s="36" t="str">
        <f t="shared" si="3"/>
        <v/>
      </c>
      <c r="P567" s="15"/>
      <c r="Q567" s="37" t="str">
        <f t="shared" si="4"/>
        <v/>
      </c>
      <c r="R567" s="37" t="str">
        <f t="shared" si="5"/>
        <v/>
      </c>
      <c r="S567" s="32" t="str">
        <f t="shared" si="6"/>
        <v/>
      </c>
      <c r="T567" s="37" t="str">
        <f t="shared" si="7"/>
        <v/>
      </c>
      <c r="U567" s="37" t="str">
        <f t="array" ref="U567">IF($F567="","",IFERROR(INDEX(Config!$F:$F,MATCH($F567,Config!$D:$D,0)),0))</f>
        <v/>
      </c>
    </row>
    <row r="568" ht="15.0" customHeight="1">
      <c r="A568" s="34"/>
      <c r="B568" s="35"/>
      <c r="C568" s="15"/>
      <c r="D568" s="15"/>
      <c r="E568" s="15"/>
      <c r="F568" s="15"/>
      <c r="G568" s="36" t="str">
        <f t="array" ref="G568">IF($F568="","",IFERROR(INDEX(Config!$E:$E,MATCH($F568,Config!$D:$D,0)),0))</f>
        <v/>
      </c>
      <c r="H568" s="16"/>
      <c r="I568" s="36" t="str">
        <f t="shared" si="1"/>
        <v/>
      </c>
      <c r="J568" s="16"/>
      <c r="K568" s="15"/>
      <c r="L568" s="15"/>
      <c r="M568" s="36" t="str">
        <f t="array" ref="M568">IF($A568="","",IF($L568="Atendido",IFERROR($I568*INDEX(Config!$B:$B,MATCH($C568,Config!$A:$A,0)),0),0))</f>
        <v/>
      </c>
      <c r="N568" s="36" t="str">
        <f t="shared" si="2"/>
        <v/>
      </c>
      <c r="O568" s="36" t="str">
        <f t="shared" si="3"/>
        <v/>
      </c>
      <c r="P568" s="15"/>
      <c r="Q568" s="37" t="str">
        <f t="shared" si="4"/>
        <v/>
      </c>
      <c r="R568" s="37" t="str">
        <f t="shared" si="5"/>
        <v/>
      </c>
      <c r="S568" s="32" t="str">
        <f t="shared" si="6"/>
        <v/>
      </c>
      <c r="T568" s="37" t="str">
        <f t="shared" si="7"/>
        <v/>
      </c>
      <c r="U568" s="37" t="str">
        <f t="array" ref="U568">IF($F568="","",IFERROR(INDEX(Config!$F:$F,MATCH($F568,Config!$D:$D,0)),0))</f>
        <v/>
      </c>
    </row>
    <row r="569" ht="15.0" customHeight="1">
      <c r="A569" s="34"/>
      <c r="B569" s="35"/>
      <c r="C569" s="15"/>
      <c r="D569" s="15"/>
      <c r="E569" s="15"/>
      <c r="F569" s="15"/>
      <c r="G569" s="36" t="str">
        <f t="array" ref="G569">IF($F569="","",IFERROR(INDEX(Config!$E:$E,MATCH($F569,Config!$D:$D,0)),0))</f>
        <v/>
      </c>
      <c r="H569" s="16"/>
      <c r="I569" s="36" t="str">
        <f t="shared" si="1"/>
        <v/>
      </c>
      <c r="J569" s="16"/>
      <c r="K569" s="15"/>
      <c r="L569" s="15"/>
      <c r="M569" s="36" t="str">
        <f t="array" ref="M569">IF($A569="","",IF($L569="Atendido",IFERROR($I569*INDEX(Config!$B:$B,MATCH($C569,Config!$A:$A,0)),0),0))</f>
        <v/>
      </c>
      <c r="N569" s="36" t="str">
        <f t="shared" si="2"/>
        <v/>
      </c>
      <c r="O569" s="36" t="str">
        <f t="shared" si="3"/>
        <v/>
      </c>
      <c r="P569" s="15"/>
      <c r="Q569" s="37" t="str">
        <f t="shared" si="4"/>
        <v/>
      </c>
      <c r="R569" s="37" t="str">
        <f t="shared" si="5"/>
        <v/>
      </c>
      <c r="S569" s="32" t="str">
        <f t="shared" si="6"/>
        <v/>
      </c>
      <c r="T569" s="37" t="str">
        <f t="shared" si="7"/>
        <v/>
      </c>
      <c r="U569" s="37" t="str">
        <f t="array" ref="U569">IF($F569="","",IFERROR(INDEX(Config!$F:$F,MATCH($F569,Config!$D:$D,0)),0))</f>
        <v/>
      </c>
    </row>
    <row r="570" ht="15.0" customHeight="1">
      <c r="A570" s="34"/>
      <c r="B570" s="35"/>
      <c r="C570" s="15"/>
      <c r="D570" s="15"/>
      <c r="E570" s="15"/>
      <c r="F570" s="15"/>
      <c r="G570" s="36" t="str">
        <f t="array" ref="G570">IF($F570="","",IFERROR(INDEX(Config!$E:$E,MATCH($F570,Config!$D:$D,0)),0))</f>
        <v/>
      </c>
      <c r="H570" s="16"/>
      <c r="I570" s="36" t="str">
        <f t="shared" si="1"/>
        <v/>
      </c>
      <c r="J570" s="16"/>
      <c r="K570" s="15"/>
      <c r="L570" s="15"/>
      <c r="M570" s="36" t="str">
        <f t="array" ref="M570">IF($A570="","",IF($L570="Atendido",IFERROR($I570*INDEX(Config!$B:$B,MATCH($C570,Config!$A:$A,0)),0),0))</f>
        <v/>
      </c>
      <c r="N570" s="36" t="str">
        <f t="shared" si="2"/>
        <v/>
      </c>
      <c r="O570" s="36" t="str">
        <f t="shared" si="3"/>
        <v/>
      </c>
      <c r="P570" s="15"/>
      <c r="Q570" s="37" t="str">
        <f t="shared" si="4"/>
        <v/>
      </c>
      <c r="R570" s="37" t="str">
        <f t="shared" si="5"/>
        <v/>
      </c>
      <c r="S570" s="32" t="str">
        <f t="shared" si="6"/>
        <v/>
      </c>
      <c r="T570" s="37" t="str">
        <f t="shared" si="7"/>
        <v/>
      </c>
      <c r="U570" s="37" t="str">
        <f t="array" ref="U570">IF($F570="","",IFERROR(INDEX(Config!$F:$F,MATCH($F570,Config!$D:$D,0)),0))</f>
        <v/>
      </c>
    </row>
    <row r="571" ht="15.0" customHeight="1">
      <c r="A571" s="34"/>
      <c r="B571" s="35"/>
      <c r="C571" s="15"/>
      <c r="D571" s="15"/>
      <c r="E571" s="15"/>
      <c r="F571" s="15"/>
      <c r="G571" s="36" t="str">
        <f t="array" ref="G571">IF($F571="","",IFERROR(INDEX(Config!$E:$E,MATCH($F571,Config!$D:$D,0)),0))</f>
        <v/>
      </c>
      <c r="H571" s="16"/>
      <c r="I571" s="36" t="str">
        <f t="shared" si="1"/>
        <v/>
      </c>
      <c r="J571" s="16"/>
      <c r="K571" s="15"/>
      <c r="L571" s="15"/>
      <c r="M571" s="36" t="str">
        <f t="array" ref="M571">IF($A571="","",IF($L571="Atendido",IFERROR($I571*INDEX(Config!$B:$B,MATCH($C571,Config!$A:$A,0)),0),0))</f>
        <v/>
      </c>
      <c r="N571" s="36" t="str">
        <f t="shared" si="2"/>
        <v/>
      </c>
      <c r="O571" s="36" t="str">
        <f t="shared" si="3"/>
        <v/>
      </c>
      <c r="P571" s="15"/>
      <c r="Q571" s="37" t="str">
        <f t="shared" si="4"/>
        <v/>
      </c>
      <c r="R571" s="37" t="str">
        <f t="shared" si="5"/>
        <v/>
      </c>
      <c r="S571" s="32" t="str">
        <f t="shared" si="6"/>
        <v/>
      </c>
      <c r="T571" s="37" t="str">
        <f t="shared" si="7"/>
        <v/>
      </c>
      <c r="U571" s="37" t="str">
        <f t="array" ref="U571">IF($F571="","",IFERROR(INDEX(Config!$F:$F,MATCH($F571,Config!$D:$D,0)),0))</f>
        <v/>
      </c>
    </row>
    <row r="572" ht="15.0" customHeight="1">
      <c r="A572" s="34"/>
      <c r="B572" s="35"/>
      <c r="C572" s="15"/>
      <c r="D572" s="15"/>
      <c r="E572" s="15"/>
      <c r="F572" s="15"/>
      <c r="G572" s="36" t="str">
        <f t="array" ref="G572">IF($F572="","",IFERROR(INDEX(Config!$E:$E,MATCH($F572,Config!$D:$D,0)),0))</f>
        <v/>
      </c>
      <c r="H572" s="16"/>
      <c r="I572" s="36" t="str">
        <f t="shared" si="1"/>
        <v/>
      </c>
      <c r="J572" s="16"/>
      <c r="K572" s="15"/>
      <c r="L572" s="15"/>
      <c r="M572" s="36" t="str">
        <f t="array" ref="M572">IF($A572="","",IF($L572="Atendido",IFERROR($I572*INDEX(Config!$B:$B,MATCH($C572,Config!$A:$A,0)),0),0))</f>
        <v/>
      </c>
      <c r="N572" s="36" t="str">
        <f t="shared" si="2"/>
        <v/>
      </c>
      <c r="O572" s="36" t="str">
        <f t="shared" si="3"/>
        <v/>
      </c>
      <c r="P572" s="15"/>
      <c r="Q572" s="37" t="str">
        <f t="shared" si="4"/>
        <v/>
      </c>
      <c r="R572" s="37" t="str">
        <f t="shared" si="5"/>
        <v/>
      </c>
      <c r="S572" s="32" t="str">
        <f t="shared" si="6"/>
        <v/>
      </c>
      <c r="T572" s="37" t="str">
        <f t="shared" si="7"/>
        <v/>
      </c>
      <c r="U572" s="37" t="str">
        <f t="array" ref="U572">IF($F572="","",IFERROR(INDEX(Config!$F:$F,MATCH($F572,Config!$D:$D,0)),0))</f>
        <v/>
      </c>
    </row>
    <row r="573" ht="15.0" customHeight="1">
      <c r="A573" s="34"/>
      <c r="B573" s="35"/>
      <c r="C573" s="15"/>
      <c r="D573" s="15"/>
      <c r="E573" s="15"/>
      <c r="F573" s="15"/>
      <c r="G573" s="36" t="str">
        <f t="array" ref="G573">IF($F573="","",IFERROR(INDEX(Config!$E:$E,MATCH($F573,Config!$D:$D,0)),0))</f>
        <v/>
      </c>
      <c r="H573" s="16"/>
      <c r="I573" s="36" t="str">
        <f t="shared" si="1"/>
        <v/>
      </c>
      <c r="J573" s="16"/>
      <c r="K573" s="15"/>
      <c r="L573" s="15"/>
      <c r="M573" s="36" t="str">
        <f t="array" ref="M573">IF($A573="","",IF($L573="Atendido",IFERROR($I573*INDEX(Config!$B:$B,MATCH($C573,Config!$A:$A,0)),0),0))</f>
        <v/>
      </c>
      <c r="N573" s="36" t="str">
        <f t="shared" si="2"/>
        <v/>
      </c>
      <c r="O573" s="36" t="str">
        <f t="shared" si="3"/>
        <v/>
      </c>
      <c r="P573" s="15"/>
      <c r="Q573" s="37" t="str">
        <f t="shared" si="4"/>
        <v/>
      </c>
      <c r="R573" s="37" t="str">
        <f t="shared" si="5"/>
        <v/>
      </c>
      <c r="S573" s="32" t="str">
        <f t="shared" si="6"/>
        <v/>
      </c>
      <c r="T573" s="37" t="str">
        <f t="shared" si="7"/>
        <v/>
      </c>
      <c r="U573" s="37" t="str">
        <f t="array" ref="U573">IF($F573="","",IFERROR(INDEX(Config!$F:$F,MATCH($F573,Config!$D:$D,0)),0))</f>
        <v/>
      </c>
    </row>
    <row r="574" ht="15.0" customHeight="1">
      <c r="A574" s="34"/>
      <c r="B574" s="35"/>
      <c r="C574" s="15"/>
      <c r="D574" s="15"/>
      <c r="E574" s="15"/>
      <c r="F574" s="15"/>
      <c r="G574" s="36" t="str">
        <f t="array" ref="G574">IF($F574="","",IFERROR(INDEX(Config!$E:$E,MATCH($F574,Config!$D:$D,0)),0))</f>
        <v/>
      </c>
      <c r="H574" s="16"/>
      <c r="I574" s="36" t="str">
        <f t="shared" si="1"/>
        <v/>
      </c>
      <c r="J574" s="16"/>
      <c r="K574" s="15"/>
      <c r="L574" s="15"/>
      <c r="M574" s="36" t="str">
        <f t="array" ref="M574">IF($A574="","",IF($L574="Atendido",IFERROR($I574*INDEX(Config!$B:$B,MATCH($C574,Config!$A:$A,0)),0),0))</f>
        <v/>
      </c>
      <c r="N574" s="36" t="str">
        <f t="shared" si="2"/>
        <v/>
      </c>
      <c r="O574" s="36" t="str">
        <f t="shared" si="3"/>
        <v/>
      </c>
      <c r="P574" s="15"/>
      <c r="Q574" s="37" t="str">
        <f t="shared" si="4"/>
        <v/>
      </c>
      <c r="R574" s="37" t="str">
        <f t="shared" si="5"/>
        <v/>
      </c>
      <c r="S574" s="32" t="str">
        <f t="shared" si="6"/>
        <v/>
      </c>
      <c r="T574" s="37" t="str">
        <f t="shared" si="7"/>
        <v/>
      </c>
      <c r="U574" s="37" t="str">
        <f t="array" ref="U574">IF($F574="","",IFERROR(INDEX(Config!$F:$F,MATCH($F574,Config!$D:$D,0)),0))</f>
        <v/>
      </c>
    </row>
    <row r="575" ht="15.0" customHeight="1">
      <c r="A575" s="34"/>
      <c r="B575" s="35"/>
      <c r="C575" s="15"/>
      <c r="D575" s="15"/>
      <c r="E575" s="15"/>
      <c r="F575" s="15"/>
      <c r="G575" s="36" t="str">
        <f t="array" ref="G575">IF($F575="","",IFERROR(INDEX(Config!$E:$E,MATCH($F575,Config!$D:$D,0)),0))</f>
        <v/>
      </c>
      <c r="H575" s="16"/>
      <c r="I575" s="36" t="str">
        <f t="shared" si="1"/>
        <v/>
      </c>
      <c r="J575" s="16"/>
      <c r="K575" s="15"/>
      <c r="L575" s="15"/>
      <c r="M575" s="36" t="str">
        <f t="array" ref="M575">IF($A575="","",IF($L575="Atendido",IFERROR($I575*INDEX(Config!$B:$B,MATCH($C575,Config!$A:$A,0)),0),0))</f>
        <v/>
      </c>
      <c r="N575" s="36" t="str">
        <f t="shared" si="2"/>
        <v/>
      </c>
      <c r="O575" s="36" t="str">
        <f t="shared" si="3"/>
        <v/>
      </c>
      <c r="P575" s="15"/>
      <c r="Q575" s="37" t="str">
        <f t="shared" si="4"/>
        <v/>
      </c>
      <c r="R575" s="37" t="str">
        <f t="shared" si="5"/>
        <v/>
      </c>
      <c r="S575" s="32" t="str">
        <f t="shared" si="6"/>
        <v/>
      </c>
      <c r="T575" s="37" t="str">
        <f t="shared" si="7"/>
        <v/>
      </c>
      <c r="U575" s="37" t="str">
        <f t="array" ref="U575">IF($F575="","",IFERROR(INDEX(Config!$F:$F,MATCH($F575,Config!$D:$D,0)),0))</f>
        <v/>
      </c>
    </row>
    <row r="576" ht="15.0" customHeight="1">
      <c r="A576" s="34"/>
      <c r="B576" s="35"/>
      <c r="C576" s="15"/>
      <c r="D576" s="15"/>
      <c r="E576" s="15"/>
      <c r="F576" s="15"/>
      <c r="G576" s="36" t="str">
        <f t="array" ref="G576">IF($F576="","",IFERROR(INDEX(Config!$E:$E,MATCH($F576,Config!$D:$D,0)),0))</f>
        <v/>
      </c>
      <c r="H576" s="16"/>
      <c r="I576" s="36" t="str">
        <f t="shared" si="1"/>
        <v/>
      </c>
      <c r="J576" s="16"/>
      <c r="K576" s="15"/>
      <c r="L576" s="15"/>
      <c r="M576" s="36" t="str">
        <f t="array" ref="M576">IF($A576="","",IF($L576="Atendido",IFERROR($I576*INDEX(Config!$B:$B,MATCH($C576,Config!$A:$A,0)),0),0))</f>
        <v/>
      </c>
      <c r="N576" s="36" t="str">
        <f t="shared" si="2"/>
        <v/>
      </c>
      <c r="O576" s="36" t="str">
        <f t="shared" si="3"/>
        <v/>
      </c>
      <c r="P576" s="15"/>
      <c r="Q576" s="37" t="str">
        <f t="shared" si="4"/>
        <v/>
      </c>
      <c r="R576" s="37" t="str">
        <f t="shared" si="5"/>
        <v/>
      </c>
      <c r="S576" s="32" t="str">
        <f t="shared" si="6"/>
        <v/>
      </c>
      <c r="T576" s="37" t="str">
        <f t="shared" si="7"/>
        <v/>
      </c>
      <c r="U576" s="37" t="str">
        <f t="array" ref="U576">IF($F576="","",IFERROR(INDEX(Config!$F:$F,MATCH($F576,Config!$D:$D,0)),0))</f>
        <v/>
      </c>
    </row>
    <row r="577" ht="15.0" customHeight="1">
      <c r="A577" s="34"/>
      <c r="B577" s="35"/>
      <c r="C577" s="15"/>
      <c r="D577" s="15"/>
      <c r="E577" s="15"/>
      <c r="F577" s="15"/>
      <c r="G577" s="36" t="str">
        <f t="array" ref="G577">IF($F577="","",IFERROR(INDEX(Config!$E:$E,MATCH($F577,Config!$D:$D,0)),0))</f>
        <v/>
      </c>
      <c r="H577" s="16"/>
      <c r="I577" s="36" t="str">
        <f t="shared" si="1"/>
        <v/>
      </c>
      <c r="J577" s="16"/>
      <c r="K577" s="15"/>
      <c r="L577" s="15"/>
      <c r="M577" s="36" t="str">
        <f t="array" ref="M577">IF($A577="","",IF($L577="Atendido",IFERROR($I577*INDEX(Config!$B:$B,MATCH($C577,Config!$A:$A,0)),0),0))</f>
        <v/>
      </c>
      <c r="N577" s="36" t="str">
        <f t="shared" si="2"/>
        <v/>
      </c>
      <c r="O577" s="36" t="str">
        <f t="shared" si="3"/>
        <v/>
      </c>
      <c r="P577" s="15"/>
      <c r="Q577" s="37" t="str">
        <f t="shared" si="4"/>
        <v/>
      </c>
      <c r="R577" s="37" t="str">
        <f t="shared" si="5"/>
        <v/>
      </c>
      <c r="S577" s="32" t="str">
        <f t="shared" si="6"/>
        <v/>
      </c>
      <c r="T577" s="37" t="str">
        <f t="shared" si="7"/>
        <v/>
      </c>
      <c r="U577" s="37" t="str">
        <f t="array" ref="U577">IF($F577="","",IFERROR(INDEX(Config!$F:$F,MATCH($F577,Config!$D:$D,0)),0))</f>
        <v/>
      </c>
    </row>
    <row r="578" ht="15.0" customHeight="1">
      <c r="A578" s="34"/>
      <c r="B578" s="35"/>
      <c r="C578" s="15"/>
      <c r="D578" s="15"/>
      <c r="E578" s="15"/>
      <c r="F578" s="15"/>
      <c r="G578" s="36" t="str">
        <f t="array" ref="G578">IF($F578="","",IFERROR(INDEX(Config!$E:$E,MATCH($F578,Config!$D:$D,0)),0))</f>
        <v/>
      </c>
      <c r="H578" s="16"/>
      <c r="I578" s="36" t="str">
        <f t="shared" si="1"/>
        <v/>
      </c>
      <c r="J578" s="16"/>
      <c r="K578" s="15"/>
      <c r="L578" s="15"/>
      <c r="M578" s="36" t="str">
        <f t="array" ref="M578">IF($A578="","",IF($L578="Atendido",IFERROR($I578*INDEX(Config!$B:$B,MATCH($C578,Config!$A:$A,0)),0),0))</f>
        <v/>
      </c>
      <c r="N578" s="36" t="str">
        <f t="shared" si="2"/>
        <v/>
      </c>
      <c r="O578" s="36" t="str">
        <f t="shared" si="3"/>
        <v/>
      </c>
      <c r="P578" s="15"/>
      <c r="Q578" s="37" t="str">
        <f t="shared" si="4"/>
        <v/>
      </c>
      <c r="R578" s="37" t="str">
        <f t="shared" si="5"/>
        <v/>
      </c>
      <c r="S578" s="32" t="str">
        <f t="shared" si="6"/>
        <v/>
      </c>
      <c r="T578" s="37" t="str">
        <f t="shared" si="7"/>
        <v/>
      </c>
      <c r="U578" s="37" t="str">
        <f t="array" ref="U578">IF($F578="","",IFERROR(INDEX(Config!$F:$F,MATCH($F578,Config!$D:$D,0)),0))</f>
        <v/>
      </c>
    </row>
    <row r="579" ht="15.0" customHeight="1">
      <c r="A579" s="34"/>
      <c r="B579" s="35"/>
      <c r="C579" s="15"/>
      <c r="D579" s="15"/>
      <c r="E579" s="15"/>
      <c r="F579" s="15"/>
      <c r="G579" s="36" t="str">
        <f t="array" ref="G579">IF($F579="","",IFERROR(INDEX(Config!$E:$E,MATCH($F579,Config!$D:$D,0)),0))</f>
        <v/>
      </c>
      <c r="H579" s="16"/>
      <c r="I579" s="36" t="str">
        <f t="shared" si="1"/>
        <v/>
      </c>
      <c r="J579" s="16"/>
      <c r="K579" s="15"/>
      <c r="L579" s="15"/>
      <c r="M579" s="36" t="str">
        <f t="array" ref="M579">IF($A579="","",IF($L579="Atendido",IFERROR($I579*INDEX(Config!$B:$B,MATCH($C579,Config!$A:$A,0)),0),0))</f>
        <v/>
      </c>
      <c r="N579" s="36" t="str">
        <f t="shared" si="2"/>
        <v/>
      </c>
      <c r="O579" s="36" t="str">
        <f t="shared" si="3"/>
        <v/>
      </c>
      <c r="P579" s="15"/>
      <c r="Q579" s="37" t="str">
        <f t="shared" si="4"/>
        <v/>
      </c>
      <c r="R579" s="37" t="str">
        <f t="shared" si="5"/>
        <v/>
      </c>
      <c r="S579" s="32" t="str">
        <f t="shared" si="6"/>
        <v/>
      </c>
      <c r="T579" s="37" t="str">
        <f t="shared" si="7"/>
        <v/>
      </c>
      <c r="U579" s="37" t="str">
        <f t="array" ref="U579">IF($F579="","",IFERROR(INDEX(Config!$F:$F,MATCH($F579,Config!$D:$D,0)),0))</f>
        <v/>
      </c>
    </row>
    <row r="580" ht="15.0" customHeight="1">
      <c r="A580" s="34"/>
      <c r="B580" s="35"/>
      <c r="C580" s="15"/>
      <c r="D580" s="15"/>
      <c r="E580" s="15"/>
      <c r="F580" s="15"/>
      <c r="G580" s="36" t="str">
        <f t="array" ref="G580">IF($F580="","",IFERROR(INDEX(Config!$E:$E,MATCH($F580,Config!$D:$D,0)),0))</f>
        <v/>
      </c>
      <c r="H580" s="16"/>
      <c r="I580" s="36" t="str">
        <f t="shared" si="1"/>
        <v/>
      </c>
      <c r="J580" s="16"/>
      <c r="K580" s="15"/>
      <c r="L580" s="15"/>
      <c r="M580" s="36" t="str">
        <f t="array" ref="M580">IF($A580="","",IF($L580="Atendido",IFERROR($I580*INDEX(Config!$B:$B,MATCH($C580,Config!$A:$A,0)),0),0))</f>
        <v/>
      </c>
      <c r="N580" s="36" t="str">
        <f t="shared" si="2"/>
        <v/>
      </c>
      <c r="O580" s="36" t="str">
        <f t="shared" si="3"/>
        <v/>
      </c>
      <c r="P580" s="15"/>
      <c r="Q580" s="37" t="str">
        <f t="shared" si="4"/>
        <v/>
      </c>
      <c r="R580" s="37" t="str">
        <f t="shared" si="5"/>
        <v/>
      </c>
      <c r="S580" s="32" t="str">
        <f t="shared" si="6"/>
        <v/>
      </c>
      <c r="T580" s="37" t="str">
        <f t="shared" si="7"/>
        <v/>
      </c>
      <c r="U580" s="37" t="str">
        <f t="array" ref="U580">IF($F580="","",IFERROR(INDEX(Config!$F:$F,MATCH($F580,Config!$D:$D,0)),0))</f>
        <v/>
      </c>
    </row>
    <row r="581" ht="15.0" customHeight="1">
      <c r="A581" s="34"/>
      <c r="B581" s="35"/>
      <c r="C581" s="15"/>
      <c r="D581" s="15"/>
      <c r="E581" s="15"/>
      <c r="F581" s="15"/>
      <c r="G581" s="36" t="str">
        <f t="array" ref="G581">IF($F581="","",IFERROR(INDEX(Config!$E:$E,MATCH($F581,Config!$D:$D,0)),0))</f>
        <v/>
      </c>
      <c r="H581" s="16"/>
      <c r="I581" s="36" t="str">
        <f t="shared" si="1"/>
        <v/>
      </c>
      <c r="J581" s="16"/>
      <c r="K581" s="15"/>
      <c r="L581" s="15"/>
      <c r="M581" s="36" t="str">
        <f t="array" ref="M581">IF($A581="","",IF($L581="Atendido",IFERROR($I581*INDEX(Config!$B:$B,MATCH($C581,Config!$A:$A,0)),0),0))</f>
        <v/>
      </c>
      <c r="N581" s="36" t="str">
        <f t="shared" si="2"/>
        <v/>
      </c>
      <c r="O581" s="36" t="str">
        <f t="shared" si="3"/>
        <v/>
      </c>
      <c r="P581" s="15"/>
      <c r="Q581" s="37" t="str">
        <f t="shared" si="4"/>
        <v/>
      </c>
      <c r="R581" s="37" t="str">
        <f t="shared" si="5"/>
        <v/>
      </c>
      <c r="S581" s="32" t="str">
        <f t="shared" si="6"/>
        <v/>
      </c>
      <c r="T581" s="37" t="str">
        <f t="shared" si="7"/>
        <v/>
      </c>
      <c r="U581" s="37" t="str">
        <f t="array" ref="U581">IF($F581="","",IFERROR(INDEX(Config!$F:$F,MATCH($F581,Config!$D:$D,0)),0))</f>
        <v/>
      </c>
    </row>
    <row r="582" ht="15.0" customHeight="1">
      <c r="A582" s="34"/>
      <c r="B582" s="35"/>
      <c r="C582" s="15"/>
      <c r="D582" s="15"/>
      <c r="E582" s="15"/>
      <c r="F582" s="15"/>
      <c r="G582" s="36" t="str">
        <f t="array" ref="G582">IF($F582="","",IFERROR(INDEX(Config!$E:$E,MATCH($F582,Config!$D:$D,0)),0))</f>
        <v/>
      </c>
      <c r="H582" s="16"/>
      <c r="I582" s="36" t="str">
        <f t="shared" si="1"/>
        <v/>
      </c>
      <c r="J582" s="16"/>
      <c r="K582" s="15"/>
      <c r="L582" s="15"/>
      <c r="M582" s="36" t="str">
        <f t="array" ref="M582">IF($A582="","",IF($L582="Atendido",IFERROR($I582*INDEX(Config!$B:$B,MATCH($C582,Config!$A:$A,0)),0),0))</f>
        <v/>
      </c>
      <c r="N582" s="36" t="str">
        <f t="shared" si="2"/>
        <v/>
      </c>
      <c r="O582" s="36" t="str">
        <f t="shared" si="3"/>
        <v/>
      </c>
      <c r="P582" s="15"/>
      <c r="Q582" s="37" t="str">
        <f t="shared" si="4"/>
        <v/>
      </c>
      <c r="R582" s="37" t="str">
        <f t="shared" si="5"/>
        <v/>
      </c>
      <c r="S582" s="32" t="str">
        <f t="shared" si="6"/>
        <v/>
      </c>
      <c r="T582" s="37" t="str">
        <f t="shared" si="7"/>
        <v/>
      </c>
      <c r="U582" s="37" t="str">
        <f t="array" ref="U582">IF($F582="","",IFERROR(INDEX(Config!$F:$F,MATCH($F582,Config!$D:$D,0)),0))</f>
        <v/>
      </c>
    </row>
    <row r="583" ht="15.0" customHeight="1">
      <c r="A583" s="34"/>
      <c r="B583" s="35"/>
      <c r="C583" s="15"/>
      <c r="D583" s="15"/>
      <c r="E583" s="15"/>
      <c r="F583" s="15"/>
      <c r="G583" s="36" t="str">
        <f t="array" ref="G583">IF($F583="","",IFERROR(INDEX(Config!$E:$E,MATCH($F583,Config!$D:$D,0)),0))</f>
        <v/>
      </c>
      <c r="H583" s="16"/>
      <c r="I583" s="36" t="str">
        <f t="shared" si="1"/>
        <v/>
      </c>
      <c r="J583" s="16"/>
      <c r="K583" s="15"/>
      <c r="L583" s="15"/>
      <c r="M583" s="36" t="str">
        <f t="array" ref="M583">IF($A583="","",IF($L583="Atendido",IFERROR($I583*INDEX(Config!$B:$B,MATCH($C583,Config!$A:$A,0)),0),0))</f>
        <v/>
      </c>
      <c r="N583" s="36" t="str">
        <f t="shared" si="2"/>
        <v/>
      </c>
      <c r="O583" s="36" t="str">
        <f t="shared" si="3"/>
        <v/>
      </c>
      <c r="P583" s="15"/>
      <c r="Q583" s="37" t="str">
        <f t="shared" si="4"/>
        <v/>
      </c>
      <c r="R583" s="37" t="str">
        <f t="shared" si="5"/>
        <v/>
      </c>
      <c r="S583" s="32" t="str">
        <f t="shared" si="6"/>
        <v/>
      </c>
      <c r="T583" s="37" t="str">
        <f t="shared" si="7"/>
        <v/>
      </c>
      <c r="U583" s="37" t="str">
        <f t="array" ref="U583">IF($F583="","",IFERROR(INDEX(Config!$F:$F,MATCH($F583,Config!$D:$D,0)),0))</f>
        <v/>
      </c>
    </row>
    <row r="584" ht="15.0" customHeight="1">
      <c r="A584" s="34"/>
      <c r="B584" s="35"/>
      <c r="C584" s="15"/>
      <c r="D584" s="15"/>
      <c r="E584" s="15"/>
      <c r="F584" s="15"/>
      <c r="G584" s="36" t="str">
        <f t="array" ref="G584">IF($F584="","",IFERROR(INDEX(Config!$E:$E,MATCH($F584,Config!$D:$D,0)),0))</f>
        <v/>
      </c>
      <c r="H584" s="16"/>
      <c r="I584" s="36" t="str">
        <f t="shared" si="1"/>
        <v/>
      </c>
      <c r="J584" s="16"/>
      <c r="K584" s="15"/>
      <c r="L584" s="15"/>
      <c r="M584" s="36" t="str">
        <f t="array" ref="M584">IF($A584="","",IF($L584="Atendido",IFERROR($I584*INDEX(Config!$B:$B,MATCH($C584,Config!$A:$A,0)),0),0))</f>
        <v/>
      </c>
      <c r="N584" s="36" t="str">
        <f t="shared" si="2"/>
        <v/>
      </c>
      <c r="O584" s="36" t="str">
        <f t="shared" si="3"/>
        <v/>
      </c>
      <c r="P584" s="15"/>
      <c r="Q584" s="37" t="str">
        <f t="shared" si="4"/>
        <v/>
      </c>
      <c r="R584" s="37" t="str">
        <f t="shared" si="5"/>
        <v/>
      </c>
      <c r="S584" s="32" t="str">
        <f t="shared" si="6"/>
        <v/>
      </c>
      <c r="T584" s="37" t="str">
        <f t="shared" si="7"/>
        <v/>
      </c>
      <c r="U584" s="37" t="str">
        <f t="array" ref="U584">IF($F584="","",IFERROR(INDEX(Config!$F:$F,MATCH($F584,Config!$D:$D,0)),0))</f>
        <v/>
      </c>
    </row>
    <row r="585" ht="15.0" customHeight="1">
      <c r="A585" s="34"/>
      <c r="B585" s="35"/>
      <c r="C585" s="15"/>
      <c r="D585" s="15"/>
      <c r="E585" s="15"/>
      <c r="F585" s="15"/>
      <c r="G585" s="36" t="str">
        <f t="array" ref="G585">IF($F585="","",IFERROR(INDEX(Config!$E:$E,MATCH($F585,Config!$D:$D,0)),0))</f>
        <v/>
      </c>
      <c r="H585" s="16"/>
      <c r="I585" s="36" t="str">
        <f t="shared" si="1"/>
        <v/>
      </c>
      <c r="J585" s="16"/>
      <c r="K585" s="15"/>
      <c r="L585" s="15"/>
      <c r="M585" s="36" t="str">
        <f t="array" ref="M585">IF($A585="","",IF($L585="Atendido",IFERROR($I585*INDEX(Config!$B:$B,MATCH($C585,Config!$A:$A,0)),0),0))</f>
        <v/>
      </c>
      <c r="N585" s="36" t="str">
        <f t="shared" si="2"/>
        <v/>
      </c>
      <c r="O585" s="36" t="str">
        <f t="shared" si="3"/>
        <v/>
      </c>
      <c r="P585" s="15"/>
      <c r="Q585" s="37" t="str">
        <f t="shared" si="4"/>
        <v/>
      </c>
      <c r="R585" s="37" t="str">
        <f t="shared" si="5"/>
        <v/>
      </c>
      <c r="S585" s="32" t="str">
        <f t="shared" si="6"/>
        <v/>
      </c>
      <c r="T585" s="37" t="str">
        <f t="shared" si="7"/>
        <v/>
      </c>
      <c r="U585" s="37" t="str">
        <f t="array" ref="U585">IF($F585="","",IFERROR(INDEX(Config!$F:$F,MATCH($F585,Config!$D:$D,0)),0))</f>
        <v/>
      </c>
    </row>
    <row r="586" ht="15.0" customHeight="1">
      <c r="A586" s="34"/>
      <c r="B586" s="35"/>
      <c r="C586" s="15"/>
      <c r="D586" s="15"/>
      <c r="E586" s="15"/>
      <c r="F586" s="15"/>
      <c r="G586" s="36" t="str">
        <f t="array" ref="G586">IF($F586="","",IFERROR(INDEX(Config!$E:$E,MATCH($F586,Config!$D:$D,0)),0))</f>
        <v/>
      </c>
      <c r="H586" s="16"/>
      <c r="I586" s="36" t="str">
        <f t="shared" si="1"/>
        <v/>
      </c>
      <c r="J586" s="16"/>
      <c r="K586" s="15"/>
      <c r="L586" s="15"/>
      <c r="M586" s="36" t="str">
        <f t="array" ref="M586">IF($A586="","",IF($L586="Atendido",IFERROR($I586*INDEX(Config!$B:$B,MATCH($C586,Config!$A:$A,0)),0),0))</f>
        <v/>
      </c>
      <c r="N586" s="36" t="str">
        <f t="shared" si="2"/>
        <v/>
      </c>
      <c r="O586" s="36" t="str">
        <f t="shared" si="3"/>
        <v/>
      </c>
      <c r="P586" s="15"/>
      <c r="Q586" s="37" t="str">
        <f t="shared" si="4"/>
        <v/>
      </c>
      <c r="R586" s="37" t="str">
        <f t="shared" si="5"/>
        <v/>
      </c>
      <c r="S586" s="32" t="str">
        <f t="shared" si="6"/>
        <v/>
      </c>
      <c r="T586" s="37" t="str">
        <f t="shared" si="7"/>
        <v/>
      </c>
      <c r="U586" s="37" t="str">
        <f t="array" ref="U586">IF($F586="","",IFERROR(INDEX(Config!$F:$F,MATCH($F586,Config!$D:$D,0)),0))</f>
        <v/>
      </c>
    </row>
    <row r="587" ht="15.0" customHeight="1">
      <c r="A587" s="34"/>
      <c r="B587" s="35"/>
      <c r="C587" s="15"/>
      <c r="D587" s="15"/>
      <c r="E587" s="15"/>
      <c r="F587" s="15"/>
      <c r="G587" s="36" t="str">
        <f t="array" ref="G587">IF($F587="","",IFERROR(INDEX(Config!$E:$E,MATCH($F587,Config!$D:$D,0)),0))</f>
        <v/>
      </c>
      <c r="H587" s="16"/>
      <c r="I587" s="36" t="str">
        <f t="shared" si="1"/>
        <v/>
      </c>
      <c r="J587" s="16"/>
      <c r="K587" s="15"/>
      <c r="L587" s="15"/>
      <c r="M587" s="36" t="str">
        <f t="array" ref="M587">IF($A587="","",IF($L587="Atendido",IFERROR($I587*INDEX(Config!$B:$B,MATCH($C587,Config!$A:$A,0)),0),0))</f>
        <v/>
      </c>
      <c r="N587" s="36" t="str">
        <f t="shared" si="2"/>
        <v/>
      </c>
      <c r="O587" s="36" t="str">
        <f t="shared" si="3"/>
        <v/>
      </c>
      <c r="P587" s="15"/>
      <c r="Q587" s="37" t="str">
        <f t="shared" si="4"/>
        <v/>
      </c>
      <c r="R587" s="37" t="str">
        <f t="shared" si="5"/>
        <v/>
      </c>
      <c r="S587" s="32" t="str">
        <f t="shared" si="6"/>
        <v/>
      </c>
      <c r="T587" s="37" t="str">
        <f t="shared" si="7"/>
        <v/>
      </c>
      <c r="U587" s="37" t="str">
        <f t="array" ref="U587">IF($F587="","",IFERROR(INDEX(Config!$F:$F,MATCH($F587,Config!$D:$D,0)),0))</f>
        <v/>
      </c>
    </row>
    <row r="588" ht="15.0" customHeight="1">
      <c r="A588" s="34"/>
      <c r="B588" s="35"/>
      <c r="C588" s="15"/>
      <c r="D588" s="15"/>
      <c r="E588" s="15"/>
      <c r="F588" s="15"/>
      <c r="G588" s="36" t="str">
        <f t="array" ref="G588">IF($F588="","",IFERROR(INDEX(Config!$E:$E,MATCH($F588,Config!$D:$D,0)),0))</f>
        <v/>
      </c>
      <c r="H588" s="16"/>
      <c r="I588" s="36" t="str">
        <f t="shared" si="1"/>
        <v/>
      </c>
      <c r="J588" s="16"/>
      <c r="K588" s="15"/>
      <c r="L588" s="15"/>
      <c r="M588" s="36" t="str">
        <f t="array" ref="M588">IF($A588="","",IF($L588="Atendido",IFERROR($I588*INDEX(Config!$B:$B,MATCH($C588,Config!$A:$A,0)),0),0))</f>
        <v/>
      </c>
      <c r="N588" s="36" t="str">
        <f t="shared" si="2"/>
        <v/>
      </c>
      <c r="O588" s="36" t="str">
        <f t="shared" si="3"/>
        <v/>
      </c>
      <c r="P588" s="15"/>
      <c r="Q588" s="37" t="str">
        <f t="shared" si="4"/>
        <v/>
      </c>
      <c r="R588" s="37" t="str">
        <f t="shared" si="5"/>
        <v/>
      </c>
      <c r="S588" s="32" t="str">
        <f t="shared" si="6"/>
        <v/>
      </c>
      <c r="T588" s="37" t="str">
        <f t="shared" si="7"/>
        <v/>
      </c>
      <c r="U588" s="37" t="str">
        <f t="array" ref="U588">IF($F588="","",IFERROR(INDEX(Config!$F:$F,MATCH($F588,Config!$D:$D,0)),0))</f>
        <v/>
      </c>
    </row>
    <row r="589" ht="15.0" customHeight="1">
      <c r="A589" s="34"/>
      <c r="B589" s="35"/>
      <c r="C589" s="15"/>
      <c r="D589" s="15"/>
      <c r="E589" s="15"/>
      <c r="F589" s="15"/>
      <c r="G589" s="36" t="str">
        <f t="array" ref="G589">IF($F589="","",IFERROR(INDEX(Config!$E:$E,MATCH($F589,Config!$D:$D,0)),0))</f>
        <v/>
      </c>
      <c r="H589" s="16"/>
      <c r="I589" s="36" t="str">
        <f t="shared" si="1"/>
        <v/>
      </c>
      <c r="J589" s="16"/>
      <c r="K589" s="15"/>
      <c r="L589" s="15"/>
      <c r="M589" s="36" t="str">
        <f t="array" ref="M589">IF($A589="","",IF($L589="Atendido",IFERROR($I589*INDEX(Config!$B:$B,MATCH($C589,Config!$A:$A,0)),0),0))</f>
        <v/>
      </c>
      <c r="N589" s="36" t="str">
        <f t="shared" si="2"/>
        <v/>
      </c>
      <c r="O589" s="36" t="str">
        <f t="shared" si="3"/>
        <v/>
      </c>
      <c r="P589" s="15"/>
      <c r="Q589" s="37" t="str">
        <f t="shared" si="4"/>
        <v/>
      </c>
      <c r="R589" s="37" t="str">
        <f t="shared" si="5"/>
        <v/>
      </c>
      <c r="S589" s="32" t="str">
        <f t="shared" si="6"/>
        <v/>
      </c>
      <c r="T589" s="37" t="str">
        <f t="shared" si="7"/>
        <v/>
      </c>
      <c r="U589" s="37" t="str">
        <f t="array" ref="U589">IF($F589="","",IFERROR(INDEX(Config!$F:$F,MATCH($F589,Config!$D:$D,0)),0))</f>
        <v/>
      </c>
    </row>
    <row r="590" ht="15.0" customHeight="1">
      <c r="A590" s="34"/>
      <c r="B590" s="35"/>
      <c r="C590" s="15"/>
      <c r="D590" s="15"/>
      <c r="E590" s="15"/>
      <c r="F590" s="15"/>
      <c r="G590" s="36" t="str">
        <f t="array" ref="G590">IF($F590="","",IFERROR(INDEX(Config!$E:$E,MATCH($F590,Config!$D:$D,0)),0))</f>
        <v/>
      </c>
      <c r="H590" s="16"/>
      <c r="I590" s="36" t="str">
        <f t="shared" si="1"/>
        <v/>
      </c>
      <c r="J590" s="16"/>
      <c r="K590" s="15"/>
      <c r="L590" s="15"/>
      <c r="M590" s="36" t="str">
        <f t="array" ref="M590">IF($A590="","",IF($L590="Atendido",IFERROR($I590*INDEX(Config!$B:$B,MATCH($C590,Config!$A:$A,0)),0),0))</f>
        <v/>
      </c>
      <c r="N590" s="36" t="str">
        <f t="shared" si="2"/>
        <v/>
      </c>
      <c r="O590" s="36" t="str">
        <f t="shared" si="3"/>
        <v/>
      </c>
      <c r="P590" s="15"/>
      <c r="Q590" s="37" t="str">
        <f t="shared" si="4"/>
        <v/>
      </c>
      <c r="R590" s="37" t="str">
        <f t="shared" si="5"/>
        <v/>
      </c>
      <c r="S590" s="32" t="str">
        <f t="shared" si="6"/>
        <v/>
      </c>
      <c r="T590" s="37" t="str">
        <f t="shared" si="7"/>
        <v/>
      </c>
      <c r="U590" s="37" t="str">
        <f t="array" ref="U590">IF($F590="","",IFERROR(INDEX(Config!$F:$F,MATCH($F590,Config!$D:$D,0)),0))</f>
        <v/>
      </c>
    </row>
    <row r="591" ht="15.0" customHeight="1">
      <c r="A591" s="34"/>
      <c r="B591" s="35"/>
      <c r="C591" s="15"/>
      <c r="D591" s="15"/>
      <c r="E591" s="15"/>
      <c r="F591" s="15"/>
      <c r="G591" s="36" t="str">
        <f t="array" ref="G591">IF($F591="","",IFERROR(INDEX(Config!$E:$E,MATCH($F591,Config!$D:$D,0)),0))</f>
        <v/>
      </c>
      <c r="H591" s="16"/>
      <c r="I591" s="36" t="str">
        <f t="shared" si="1"/>
        <v/>
      </c>
      <c r="J591" s="16"/>
      <c r="K591" s="15"/>
      <c r="L591" s="15"/>
      <c r="M591" s="36" t="str">
        <f t="array" ref="M591">IF($A591="","",IF($L591="Atendido",IFERROR($I591*INDEX(Config!$B:$B,MATCH($C591,Config!$A:$A,0)),0),0))</f>
        <v/>
      </c>
      <c r="N591" s="36" t="str">
        <f t="shared" si="2"/>
        <v/>
      </c>
      <c r="O591" s="36" t="str">
        <f t="shared" si="3"/>
        <v/>
      </c>
      <c r="P591" s="15"/>
      <c r="Q591" s="37" t="str">
        <f t="shared" si="4"/>
        <v/>
      </c>
      <c r="R591" s="37" t="str">
        <f t="shared" si="5"/>
        <v/>
      </c>
      <c r="S591" s="32" t="str">
        <f t="shared" si="6"/>
        <v/>
      </c>
      <c r="T591" s="37" t="str">
        <f t="shared" si="7"/>
        <v/>
      </c>
      <c r="U591" s="37" t="str">
        <f t="array" ref="U591">IF($F591="","",IFERROR(INDEX(Config!$F:$F,MATCH($F591,Config!$D:$D,0)),0))</f>
        <v/>
      </c>
    </row>
    <row r="592" ht="15.0" customHeight="1">
      <c r="A592" s="34"/>
      <c r="B592" s="35"/>
      <c r="C592" s="15"/>
      <c r="D592" s="15"/>
      <c r="E592" s="15"/>
      <c r="F592" s="15"/>
      <c r="G592" s="36" t="str">
        <f t="array" ref="G592">IF($F592="","",IFERROR(INDEX(Config!$E:$E,MATCH($F592,Config!$D:$D,0)),0))</f>
        <v/>
      </c>
      <c r="H592" s="16"/>
      <c r="I592" s="36" t="str">
        <f t="shared" si="1"/>
        <v/>
      </c>
      <c r="J592" s="16"/>
      <c r="K592" s="15"/>
      <c r="L592" s="15"/>
      <c r="M592" s="36" t="str">
        <f t="array" ref="M592">IF($A592="","",IF($L592="Atendido",IFERROR($I592*INDEX(Config!$B:$B,MATCH($C592,Config!$A:$A,0)),0),0))</f>
        <v/>
      </c>
      <c r="N592" s="36" t="str">
        <f t="shared" si="2"/>
        <v/>
      </c>
      <c r="O592" s="36" t="str">
        <f t="shared" si="3"/>
        <v/>
      </c>
      <c r="P592" s="15"/>
      <c r="Q592" s="37" t="str">
        <f t="shared" si="4"/>
        <v/>
      </c>
      <c r="R592" s="37" t="str">
        <f t="shared" si="5"/>
        <v/>
      </c>
      <c r="S592" s="32" t="str">
        <f t="shared" si="6"/>
        <v/>
      </c>
      <c r="T592" s="37" t="str">
        <f t="shared" si="7"/>
        <v/>
      </c>
      <c r="U592" s="37" t="str">
        <f t="array" ref="U592">IF($F592="","",IFERROR(INDEX(Config!$F:$F,MATCH($F592,Config!$D:$D,0)),0))</f>
        <v/>
      </c>
    </row>
    <row r="593" ht="15.0" customHeight="1">
      <c r="A593" s="34"/>
      <c r="B593" s="35"/>
      <c r="C593" s="15"/>
      <c r="D593" s="15"/>
      <c r="E593" s="15"/>
      <c r="F593" s="15"/>
      <c r="G593" s="36" t="str">
        <f t="array" ref="G593">IF($F593="","",IFERROR(INDEX(Config!$E:$E,MATCH($F593,Config!$D:$D,0)),0))</f>
        <v/>
      </c>
      <c r="H593" s="16"/>
      <c r="I593" s="36" t="str">
        <f t="shared" si="1"/>
        <v/>
      </c>
      <c r="J593" s="16"/>
      <c r="K593" s="15"/>
      <c r="L593" s="15"/>
      <c r="M593" s="36" t="str">
        <f t="array" ref="M593">IF($A593="","",IF($L593="Atendido",IFERROR($I593*INDEX(Config!$B:$B,MATCH($C593,Config!$A:$A,0)),0),0))</f>
        <v/>
      </c>
      <c r="N593" s="36" t="str">
        <f t="shared" si="2"/>
        <v/>
      </c>
      <c r="O593" s="36" t="str">
        <f t="shared" si="3"/>
        <v/>
      </c>
      <c r="P593" s="15"/>
      <c r="Q593" s="37" t="str">
        <f t="shared" si="4"/>
        <v/>
      </c>
      <c r="R593" s="37" t="str">
        <f t="shared" si="5"/>
        <v/>
      </c>
      <c r="S593" s="32" t="str">
        <f t="shared" si="6"/>
        <v/>
      </c>
      <c r="T593" s="37" t="str">
        <f t="shared" si="7"/>
        <v/>
      </c>
      <c r="U593" s="37" t="str">
        <f t="array" ref="U593">IF($F593="","",IFERROR(INDEX(Config!$F:$F,MATCH($F593,Config!$D:$D,0)),0))</f>
        <v/>
      </c>
    </row>
    <row r="594" ht="15.0" customHeight="1">
      <c r="A594" s="34"/>
      <c r="B594" s="35"/>
      <c r="C594" s="15"/>
      <c r="D594" s="15"/>
      <c r="E594" s="15"/>
      <c r="F594" s="15"/>
      <c r="G594" s="36" t="str">
        <f t="array" ref="G594">IF($F594="","",IFERROR(INDEX(Config!$E:$E,MATCH($F594,Config!$D:$D,0)),0))</f>
        <v/>
      </c>
      <c r="H594" s="16"/>
      <c r="I594" s="36" t="str">
        <f t="shared" si="1"/>
        <v/>
      </c>
      <c r="J594" s="16"/>
      <c r="K594" s="15"/>
      <c r="L594" s="15"/>
      <c r="M594" s="36" t="str">
        <f t="array" ref="M594">IF($A594="","",IF($L594="Atendido",IFERROR($I594*INDEX(Config!$B:$B,MATCH($C594,Config!$A:$A,0)),0),0))</f>
        <v/>
      </c>
      <c r="N594" s="36" t="str">
        <f t="shared" si="2"/>
        <v/>
      </c>
      <c r="O594" s="36" t="str">
        <f t="shared" si="3"/>
        <v/>
      </c>
      <c r="P594" s="15"/>
      <c r="Q594" s="37" t="str">
        <f t="shared" si="4"/>
        <v/>
      </c>
      <c r="R594" s="37" t="str">
        <f t="shared" si="5"/>
        <v/>
      </c>
      <c r="S594" s="32" t="str">
        <f t="shared" si="6"/>
        <v/>
      </c>
      <c r="T594" s="37" t="str">
        <f t="shared" si="7"/>
        <v/>
      </c>
      <c r="U594" s="37" t="str">
        <f t="array" ref="U594">IF($F594="","",IFERROR(INDEX(Config!$F:$F,MATCH($F594,Config!$D:$D,0)),0))</f>
        <v/>
      </c>
    </row>
    <row r="595" ht="15.0" customHeight="1">
      <c r="A595" s="34"/>
      <c r="B595" s="35"/>
      <c r="C595" s="15"/>
      <c r="D595" s="15"/>
      <c r="E595" s="15"/>
      <c r="F595" s="15"/>
      <c r="G595" s="36" t="str">
        <f t="array" ref="G595">IF($F595="","",IFERROR(INDEX(Config!$E:$E,MATCH($F595,Config!$D:$D,0)),0))</f>
        <v/>
      </c>
      <c r="H595" s="16"/>
      <c r="I595" s="36" t="str">
        <f t="shared" si="1"/>
        <v/>
      </c>
      <c r="J595" s="16"/>
      <c r="K595" s="15"/>
      <c r="L595" s="15"/>
      <c r="M595" s="36" t="str">
        <f t="array" ref="M595">IF($A595="","",IF($L595="Atendido",IFERROR($I595*INDEX(Config!$B:$B,MATCH($C595,Config!$A:$A,0)),0),0))</f>
        <v/>
      </c>
      <c r="N595" s="36" t="str">
        <f t="shared" si="2"/>
        <v/>
      </c>
      <c r="O595" s="36" t="str">
        <f t="shared" si="3"/>
        <v/>
      </c>
      <c r="P595" s="15"/>
      <c r="Q595" s="37" t="str">
        <f t="shared" si="4"/>
        <v/>
      </c>
      <c r="R595" s="37" t="str">
        <f t="shared" si="5"/>
        <v/>
      </c>
      <c r="S595" s="32" t="str">
        <f t="shared" si="6"/>
        <v/>
      </c>
      <c r="T595" s="37" t="str">
        <f t="shared" si="7"/>
        <v/>
      </c>
      <c r="U595" s="37" t="str">
        <f t="array" ref="U595">IF($F595="","",IFERROR(INDEX(Config!$F:$F,MATCH($F595,Config!$D:$D,0)),0))</f>
        <v/>
      </c>
    </row>
    <row r="596" ht="15.0" customHeight="1">
      <c r="A596" s="34"/>
      <c r="B596" s="35"/>
      <c r="C596" s="15"/>
      <c r="D596" s="15"/>
      <c r="E596" s="15"/>
      <c r="F596" s="15"/>
      <c r="G596" s="36" t="str">
        <f t="array" ref="G596">IF($F596="","",IFERROR(INDEX(Config!$E:$E,MATCH($F596,Config!$D:$D,0)),0))</f>
        <v/>
      </c>
      <c r="H596" s="16"/>
      <c r="I596" s="36" t="str">
        <f t="shared" si="1"/>
        <v/>
      </c>
      <c r="J596" s="16"/>
      <c r="K596" s="15"/>
      <c r="L596" s="15"/>
      <c r="M596" s="36" t="str">
        <f t="array" ref="M596">IF($A596="","",IF($L596="Atendido",IFERROR($I596*INDEX(Config!$B:$B,MATCH($C596,Config!$A:$A,0)),0),0))</f>
        <v/>
      </c>
      <c r="N596" s="36" t="str">
        <f t="shared" si="2"/>
        <v/>
      </c>
      <c r="O596" s="36" t="str">
        <f t="shared" si="3"/>
        <v/>
      </c>
      <c r="P596" s="15"/>
      <c r="Q596" s="37" t="str">
        <f t="shared" si="4"/>
        <v/>
      </c>
      <c r="R596" s="37" t="str">
        <f t="shared" si="5"/>
        <v/>
      </c>
      <c r="S596" s="32" t="str">
        <f t="shared" si="6"/>
        <v/>
      </c>
      <c r="T596" s="37" t="str">
        <f t="shared" si="7"/>
        <v/>
      </c>
      <c r="U596" s="37" t="str">
        <f t="array" ref="U596">IF($F596="","",IFERROR(INDEX(Config!$F:$F,MATCH($F596,Config!$D:$D,0)),0))</f>
        <v/>
      </c>
    </row>
    <row r="597" ht="15.0" customHeight="1">
      <c r="A597" s="34"/>
      <c r="B597" s="35"/>
      <c r="C597" s="15"/>
      <c r="D597" s="15"/>
      <c r="E597" s="15"/>
      <c r="F597" s="15"/>
      <c r="G597" s="36" t="str">
        <f t="array" ref="G597">IF($F597="","",IFERROR(INDEX(Config!$E:$E,MATCH($F597,Config!$D:$D,0)),0))</f>
        <v/>
      </c>
      <c r="H597" s="16"/>
      <c r="I597" s="36" t="str">
        <f t="shared" si="1"/>
        <v/>
      </c>
      <c r="J597" s="16"/>
      <c r="K597" s="15"/>
      <c r="L597" s="15"/>
      <c r="M597" s="36" t="str">
        <f t="array" ref="M597">IF($A597="","",IF($L597="Atendido",IFERROR($I597*INDEX(Config!$B:$B,MATCH($C597,Config!$A:$A,0)),0),0))</f>
        <v/>
      </c>
      <c r="N597" s="36" t="str">
        <f t="shared" si="2"/>
        <v/>
      </c>
      <c r="O597" s="36" t="str">
        <f t="shared" si="3"/>
        <v/>
      </c>
      <c r="P597" s="15"/>
      <c r="Q597" s="37" t="str">
        <f t="shared" si="4"/>
        <v/>
      </c>
      <c r="R597" s="37" t="str">
        <f t="shared" si="5"/>
        <v/>
      </c>
      <c r="S597" s="32" t="str">
        <f t="shared" si="6"/>
        <v/>
      </c>
      <c r="T597" s="37" t="str">
        <f t="shared" si="7"/>
        <v/>
      </c>
      <c r="U597" s="37" t="str">
        <f t="array" ref="U597">IF($F597="","",IFERROR(INDEX(Config!$F:$F,MATCH($F597,Config!$D:$D,0)),0))</f>
        <v/>
      </c>
    </row>
    <row r="598" ht="15.0" customHeight="1">
      <c r="A598" s="34"/>
      <c r="B598" s="35"/>
      <c r="C598" s="15"/>
      <c r="D598" s="15"/>
      <c r="E598" s="15"/>
      <c r="F598" s="15"/>
      <c r="G598" s="36" t="str">
        <f t="array" ref="G598">IF($F598="","",IFERROR(INDEX(Config!$E:$E,MATCH($F598,Config!$D:$D,0)),0))</f>
        <v/>
      </c>
      <c r="H598" s="16"/>
      <c r="I598" s="36" t="str">
        <f t="shared" si="1"/>
        <v/>
      </c>
      <c r="J598" s="16"/>
      <c r="K598" s="15"/>
      <c r="L598" s="15"/>
      <c r="M598" s="36" t="str">
        <f t="array" ref="M598">IF($A598="","",IF($L598="Atendido",IFERROR($I598*INDEX(Config!$B:$B,MATCH($C598,Config!$A:$A,0)),0),0))</f>
        <v/>
      </c>
      <c r="N598" s="36" t="str">
        <f t="shared" si="2"/>
        <v/>
      </c>
      <c r="O598" s="36" t="str">
        <f t="shared" si="3"/>
        <v/>
      </c>
      <c r="P598" s="15"/>
      <c r="Q598" s="37" t="str">
        <f t="shared" si="4"/>
        <v/>
      </c>
      <c r="R598" s="37" t="str">
        <f t="shared" si="5"/>
        <v/>
      </c>
      <c r="S598" s="32" t="str">
        <f t="shared" si="6"/>
        <v/>
      </c>
      <c r="T598" s="37" t="str">
        <f t="shared" si="7"/>
        <v/>
      </c>
      <c r="U598" s="37" t="str">
        <f t="array" ref="U598">IF($F598="","",IFERROR(INDEX(Config!$F:$F,MATCH($F598,Config!$D:$D,0)),0))</f>
        <v/>
      </c>
    </row>
    <row r="599" ht="15.0" customHeight="1">
      <c r="A599" s="34"/>
      <c r="B599" s="35"/>
      <c r="C599" s="15"/>
      <c r="D599" s="15"/>
      <c r="E599" s="15"/>
      <c r="F599" s="15"/>
      <c r="G599" s="36" t="str">
        <f t="array" ref="G599">IF($F599="","",IFERROR(INDEX(Config!$E:$E,MATCH($F599,Config!$D:$D,0)),0))</f>
        <v/>
      </c>
      <c r="H599" s="16"/>
      <c r="I599" s="36" t="str">
        <f t="shared" si="1"/>
        <v/>
      </c>
      <c r="J599" s="16"/>
      <c r="K599" s="15"/>
      <c r="L599" s="15"/>
      <c r="M599" s="36" t="str">
        <f t="array" ref="M599">IF($A599="","",IF($L599="Atendido",IFERROR($I599*INDEX(Config!$B:$B,MATCH($C599,Config!$A:$A,0)),0),0))</f>
        <v/>
      </c>
      <c r="N599" s="36" t="str">
        <f t="shared" si="2"/>
        <v/>
      </c>
      <c r="O599" s="36" t="str">
        <f t="shared" si="3"/>
        <v/>
      </c>
      <c r="P599" s="15"/>
      <c r="Q599" s="37" t="str">
        <f t="shared" si="4"/>
        <v/>
      </c>
      <c r="R599" s="37" t="str">
        <f t="shared" si="5"/>
        <v/>
      </c>
      <c r="S599" s="32" t="str">
        <f t="shared" si="6"/>
        <v/>
      </c>
      <c r="T599" s="37" t="str">
        <f t="shared" si="7"/>
        <v/>
      </c>
      <c r="U599" s="37" t="str">
        <f t="array" ref="U599">IF($F599="","",IFERROR(INDEX(Config!$F:$F,MATCH($F599,Config!$D:$D,0)),0))</f>
        <v/>
      </c>
    </row>
    <row r="600" ht="15.0" customHeight="1">
      <c r="A600" s="34"/>
      <c r="B600" s="35"/>
      <c r="C600" s="15"/>
      <c r="D600" s="15"/>
      <c r="E600" s="15"/>
      <c r="F600" s="15"/>
      <c r="G600" s="36" t="str">
        <f t="array" ref="G600">IF($F600="","",IFERROR(INDEX(Config!$E:$E,MATCH($F600,Config!$D:$D,0)),0))</f>
        <v/>
      </c>
      <c r="H600" s="16"/>
      <c r="I600" s="36" t="str">
        <f t="shared" si="1"/>
        <v/>
      </c>
      <c r="J600" s="16"/>
      <c r="K600" s="15"/>
      <c r="L600" s="15"/>
      <c r="M600" s="36" t="str">
        <f t="array" ref="M600">IF($A600="","",IF($L600="Atendido",IFERROR($I600*INDEX(Config!$B:$B,MATCH($C600,Config!$A:$A,0)),0),0))</f>
        <v/>
      </c>
      <c r="N600" s="36" t="str">
        <f t="shared" si="2"/>
        <v/>
      </c>
      <c r="O600" s="36" t="str">
        <f t="shared" si="3"/>
        <v/>
      </c>
      <c r="P600" s="15"/>
      <c r="Q600" s="37" t="str">
        <f t="shared" si="4"/>
        <v/>
      </c>
      <c r="R600" s="37" t="str">
        <f t="shared" si="5"/>
        <v/>
      </c>
      <c r="S600" s="32" t="str">
        <f t="shared" si="6"/>
        <v/>
      </c>
      <c r="T600" s="37" t="str">
        <f t="shared" si="7"/>
        <v/>
      </c>
      <c r="U600" s="37" t="str">
        <f t="array" ref="U600">IF($F600="","",IFERROR(INDEX(Config!$F:$F,MATCH($F600,Config!$D:$D,0)),0))</f>
        <v/>
      </c>
    </row>
    <row r="601" ht="15.0" customHeight="1">
      <c r="A601" s="34"/>
      <c r="B601" s="35"/>
      <c r="C601" s="15"/>
      <c r="D601" s="15"/>
      <c r="E601" s="15"/>
      <c r="F601" s="15"/>
      <c r="G601" s="36" t="str">
        <f t="array" ref="G601">IF($F601="","",IFERROR(INDEX(Config!$E:$E,MATCH($F601,Config!$D:$D,0)),0))</f>
        <v/>
      </c>
      <c r="H601" s="16"/>
      <c r="I601" s="36" t="str">
        <f t="shared" si="1"/>
        <v/>
      </c>
      <c r="J601" s="16"/>
      <c r="K601" s="15"/>
      <c r="L601" s="15"/>
      <c r="M601" s="36" t="str">
        <f t="array" ref="M601">IF($A601="","",IF($L601="Atendido",IFERROR($I601*INDEX(Config!$B:$B,MATCH($C601,Config!$A:$A,0)),0),0))</f>
        <v/>
      </c>
      <c r="N601" s="36" t="str">
        <f t="shared" si="2"/>
        <v/>
      </c>
      <c r="O601" s="36" t="str">
        <f t="shared" si="3"/>
        <v/>
      </c>
      <c r="P601" s="15"/>
      <c r="Q601" s="37" t="str">
        <f t="shared" si="4"/>
        <v/>
      </c>
      <c r="R601" s="37" t="str">
        <f t="shared" si="5"/>
        <v/>
      </c>
      <c r="S601" s="32" t="str">
        <f t="shared" si="6"/>
        <v/>
      </c>
      <c r="T601" s="37" t="str">
        <f t="shared" si="7"/>
        <v/>
      </c>
      <c r="U601" s="37" t="str">
        <f t="array" ref="U601">IF($F601="","",IFERROR(INDEX(Config!$F:$F,MATCH($F601,Config!$D:$D,0)),0))</f>
        <v/>
      </c>
    </row>
    <row r="602" ht="15.0" customHeight="1">
      <c r="A602" s="34"/>
      <c r="B602" s="35"/>
      <c r="C602" s="15"/>
      <c r="D602" s="15"/>
      <c r="E602" s="15"/>
      <c r="F602" s="15"/>
      <c r="G602" s="36" t="str">
        <f t="array" ref="G602">IF($F602="","",IFERROR(INDEX(Config!$E:$E,MATCH($F602,Config!$D:$D,0)),0))</f>
        <v/>
      </c>
      <c r="H602" s="16"/>
      <c r="I602" s="36" t="str">
        <f t="shared" si="1"/>
        <v/>
      </c>
      <c r="J602" s="16"/>
      <c r="K602" s="15"/>
      <c r="L602" s="15"/>
      <c r="M602" s="36" t="str">
        <f t="array" ref="M602">IF($A602="","",IF($L602="Atendido",IFERROR($I602*INDEX(Config!$B:$B,MATCH($C602,Config!$A:$A,0)),0),0))</f>
        <v/>
      </c>
      <c r="N602" s="36" t="str">
        <f t="shared" si="2"/>
        <v/>
      </c>
      <c r="O602" s="36" t="str">
        <f t="shared" si="3"/>
        <v/>
      </c>
      <c r="P602" s="15"/>
      <c r="Q602" s="37" t="str">
        <f t="shared" si="4"/>
        <v/>
      </c>
      <c r="R602" s="37" t="str">
        <f t="shared" si="5"/>
        <v/>
      </c>
      <c r="S602" s="32" t="str">
        <f t="shared" si="6"/>
        <v/>
      </c>
      <c r="T602" s="37" t="str">
        <f t="shared" si="7"/>
        <v/>
      </c>
      <c r="U602" s="37" t="str">
        <f t="array" ref="U602">IF($F602="","",IFERROR(INDEX(Config!$F:$F,MATCH($F602,Config!$D:$D,0)),0))</f>
        <v/>
      </c>
    </row>
    <row r="603" ht="15.0" customHeight="1">
      <c r="A603" s="34"/>
      <c r="B603" s="35"/>
      <c r="C603" s="15"/>
      <c r="D603" s="15"/>
      <c r="E603" s="15"/>
      <c r="F603" s="15"/>
      <c r="G603" s="36" t="str">
        <f t="array" ref="G603">IF($F603="","",IFERROR(INDEX(Config!$E:$E,MATCH($F603,Config!$D:$D,0)),0))</f>
        <v/>
      </c>
      <c r="H603" s="16"/>
      <c r="I603" s="36" t="str">
        <f t="shared" si="1"/>
        <v/>
      </c>
      <c r="J603" s="16"/>
      <c r="K603" s="15"/>
      <c r="L603" s="15"/>
      <c r="M603" s="36" t="str">
        <f t="array" ref="M603">IF($A603="","",IF($L603="Atendido",IFERROR($I603*INDEX(Config!$B:$B,MATCH($C603,Config!$A:$A,0)),0),0))</f>
        <v/>
      </c>
      <c r="N603" s="36" t="str">
        <f t="shared" si="2"/>
        <v/>
      </c>
      <c r="O603" s="36" t="str">
        <f t="shared" si="3"/>
        <v/>
      </c>
      <c r="P603" s="15"/>
      <c r="Q603" s="37" t="str">
        <f t="shared" si="4"/>
        <v/>
      </c>
      <c r="R603" s="37" t="str">
        <f t="shared" si="5"/>
        <v/>
      </c>
      <c r="S603" s="32" t="str">
        <f t="shared" si="6"/>
        <v/>
      </c>
      <c r="T603" s="37" t="str">
        <f t="shared" si="7"/>
        <v/>
      </c>
      <c r="U603" s="37" t="str">
        <f t="array" ref="U603">IF($F603="","",IFERROR(INDEX(Config!$F:$F,MATCH($F603,Config!$D:$D,0)),0))</f>
        <v/>
      </c>
    </row>
    <row r="604" ht="15.0" customHeight="1">
      <c r="A604" s="34"/>
      <c r="B604" s="35"/>
      <c r="C604" s="15"/>
      <c r="D604" s="15"/>
      <c r="E604" s="15"/>
      <c r="F604" s="15"/>
      <c r="G604" s="36" t="str">
        <f t="array" ref="G604">IF($F604="","",IFERROR(INDEX(Config!$E:$E,MATCH($F604,Config!$D:$D,0)),0))</f>
        <v/>
      </c>
      <c r="H604" s="16"/>
      <c r="I604" s="36" t="str">
        <f t="shared" si="1"/>
        <v/>
      </c>
      <c r="J604" s="16"/>
      <c r="K604" s="15"/>
      <c r="L604" s="15"/>
      <c r="M604" s="36" t="str">
        <f t="array" ref="M604">IF($A604="","",IF($L604="Atendido",IFERROR($I604*INDEX(Config!$B:$B,MATCH($C604,Config!$A:$A,0)),0),0))</f>
        <v/>
      </c>
      <c r="N604" s="36" t="str">
        <f t="shared" si="2"/>
        <v/>
      </c>
      <c r="O604" s="36" t="str">
        <f t="shared" si="3"/>
        <v/>
      </c>
      <c r="P604" s="15"/>
      <c r="Q604" s="37" t="str">
        <f t="shared" si="4"/>
        <v/>
      </c>
      <c r="R604" s="37" t="str">
        <f t="shared" si="5"/>
        <v/>
      </c>
      <c r="S604" s="32" t="str">
        <f t="shared" si="6"/>
        <v/>
      </c>
      <c r="T604" s="37" t="str">
        <f t="shared" si="7"/>
        <v/>
      </c>
      <c r="U604" s="37" t="str">
        <f t="array" ref="U604">IF($F604="","",IFERROR(INDEX(Config!$F:$F,MATCH($F604,Config!$D:$D,0)),0))</f>
        <v/>
      </c>
    </row>
    <row r="605" ht="15.0" customHeight="1">
      <c r="A605" s="34"/>
      <c r="B605" s="35"/>
      <c r="C605" s="15"/>
      <c r="D605" s="15"/>
      <c r="E605" s="15"/>
      <c r="F605" s="15"/>
      <c r="G605" s="36" t="str">
        <f t="array" ref="G605">IF($F605="","",IFERROR(INDEX(Config!$E:$E,MATCH($F605,Config!$D:$D,0)),0))</f>
        <v/>
      </c>
      <c r="H605" s="16"/>
      <c r="I605" s="36" t="str">
        <f t="shared" si="1"/>
        <v/>
      </c>
      <c r="J605" s="16"/>
      <c r="K605" s="15"/>
      <c r="L605" s="15"/>
      <c r="M605" s="36" t="str">
        <f t="array" ref="M605">IF($A605="","",IF($L605="Atendido",IFERROR($I605*INDEX(Config!$B:$B,MATCH($C605,Config!$A:$A,0)),0),0))</f>
        <v/>
      </c>
      <c r="N605" s="36" t="str">
        <f t="shared" si="2"/>
        <v/>
      </c>
      <c r="O605" s="36" t="str">
        <f t="shared" si="3"/>
        <v/>
      </c>
      <c r="P605" s="15"/>
      <c r="Q605" s="37" t="str">
        <f t="shared" si="4"/>
        <v/>
      </c>
      <c r="R605" s="37" t="str">
        <f t="shared" si="5"/>
        <v/>
      </c>
      <c r="S605" s="32" t="str">
        <f t="shared" si="6"/>
        <v/>
      </c>
      <c r="T605" s="37" t="str">
        <f t="shared" si="7"/>
        <v/>
      </c>
      <c r="U605" s="37" t="str">
        <f t="array" ref="U605">IF($F605="","",IFERROR(INDEX(Config!$F:$F,MATCH($F605,Config!$D:$D,0)),0))</f>
        <v/>
      </c>
    </row>
    <row r="606" ht="15.0" customHeight="1">
      <c r="A606" s="34"/>
      <c r="B606" s="35"/>
      <c r="C606" s="15"/>
      <c r="D606" s="15"/>
      <c r="E606" s="15"/>
      <c r="F606" s="15"/>
      <c r="G606" s="36" t="str">
        <f t="array" ref="G606">IF($F606="","",IFERROR(INDEX(Config!$E:$E,MATCH($F606,Config!$D:$D,0)),0))</f>
        <v/>
      </c>
      <c r="H606" s="16"/>
      <c r="I606" s="36" t="str">
        <f t="shared" si="1"/>
        <v/>
      </c>
      <c r="J606" s="16"/>
      <c r="K606" s="15"/>
      <c r="L606" s="15"/>
      <c r="M606" s="36" t="str">
        <f t="array" ref="M606">IF($A606="","",IF($L606="Atendido",IFERROR($I606*INDEX(Config!$B:$B,MATCH($C606,Config!$A:$A,0)),0),0))</f>
        <v/>
      </c>
      <c r="N606" s="36" t="str">
        <f t="shared" si="2"/>
        <v/>
      </c>
      <c r="O606" s="36" t="str">
        <f t="shared" si="3"/>
        <v/>
      </c>
      <c r="P606" s="15"/>
      <c r="Q606" s="37" t="str">
        <f t="shared" si="4"/>
        <v/>
      </c>
      <c r="R606" s="37" t="str">
        <f t="shared" si="5"/>
        <v/>
      </c>
      <c r="S606" s="32" t="str">
        <f t="shared" si="6"/>
        <v/>
      </c>
      <c r="T606" s="37" t="str">
        <f t="shared" si="7"/>
        <v/>
      </c>
      <c r="U606" s="37" t="str">
        <f t="array" ref="U606">IF($F606="","",IFERROR(INDEX(Config!$F:$F,MATCH($F606,Config!$D:$D,0)),0))</f>
        <v/>
      </c>
    </row>
    <row r="607" ht="15.0" customHeight="1">
      <c r="A607" s="34"/>
      <c r="B607" s="35"/>
      <c r="C607" s="15"/>
      <c r="D607" s="15"/>
      <c r="E607" s="15"/>
      <c r="F607" s="15"/>
      <c r="G607" s="36" t="str">
        <f t="array" ref="G607">IF($F607="","",IFERROR(INDEX(Config!$E:$E,MATCH($F607,Config!$D:$D,0)),0))</f>
        <v/>
      </c>
      <c r="H607" s="16"/>
      <c r="I607" s="36" t="str">
        <f t="shared" si="1"/>
        <v/>
      </c>
      <c r="J607" s="16"/>
      <c r="K607" s="15"/>
      <c r="L607" s="15"/>
      <c r="M607" s="36" t="str">
        <f t="array" ref="M607">IF($A607="","",IF($L607="Atendido",IFERROR($I607*INDEX(Config!$B:$B,MATCH($C607,Config!$A:$A,0)),0),0))</f>
        <v/>
      </c>
      <c r="N607" s="36" t="str">
        <f t="shared" si="2"/>
        <v/>
      </c>
      <c r="O607" s="36" t="str">
        <f t="shared" si="3"/>
        <v/>
      </c>
      <c r="P607" s="15"/>
      <c r="Q607" s="37" t="str">
        <f t="shared" si="4"/>
        <v/>
      </c>
      <c r="R607" s="37" t="str">
        <f t="shared" si="5"/>
        <v/>
      </c>
      <c r="S607" s="32" t="str">
        <f t="shared" si="6"/>
        <v/>
      </c>
      <c r="T607" s="37" t="str">
        <f t="shared" si="7"/>
        <v/>
      </c>
      <c r="U607" s="37" t="str">
        <f t="array" ref="U607">IF($F607="","",IFERROR(INDEX(Config!$F:$F,MATCH($F607,Config!$D:$D,0)),0))</f>
        <v/>
      </c>
    </row>
    <row r="608" ht="15.0" customHeight="1">
      <c r="A608" s="34"/>
      <c r="B608" s="35"/>
      <c r="C608" s="15"/>
      <c r="D608" s="15"/>
      <c r="E608" s="15"/>
      <c r="F608" s="15"/>
      <c r="G608" s="36" t="str">
        <f t="array" ref="G608">IF($F608="","",IFERROR(INDEX(Config!$E:$E,MATCH($F608,Config!$D:$D,0)),0))</f>
        <v/>
      </c>
      <c r="H608" s="16"/>
      <c r="I608" s="36" t="str">
        <f t="shared" si="1"/>
        <v/>
      </c>
      <c r="J608" s="16"/>
      <c r="K608" s="15"/>
      <c r="L608" s="15"/>
      <c r="M608" s="36" t="str">
        <f t="array" ref="M608">IF($A608="","",IF($L608="Atendido",IFERROR($I608*INDEX(Config!$B:$B,MATCH($C608,Config!$A:$A,0)),0),0))</f>
        <v/>
      </c>
      <c r="N608" s="36" t="str">
        <f t="shared" si="2"/>
        <v/>
      </c>
      <c r="O608" s="36" t="str">
        <f t="shared" si="3"/>
        <v/>
      </c>
      <c r="P608" s="15"/>
      <c r="Q608" s="37" t="str">
        <f t="shared" si="4"/>
        <v/>
      </c>
      <c r="R608" s="37" t="str">
        <f t="shared" si="5"/>
        <v/>
      </c>
      <c r="S608" s="32" t="str">
        <f t="shared" si="6"/>
        <v/>
      </c>
      <c r="T608" s="37" t="str">
        <f t="shared" si="7"/>
        <v/>
      </c>
      <c r="U608" s="37" t="str">
        <f t="array" ref="U608">IF($F608="","",IFERROR(INDEX(Config!$F:$F,MATCH($F608,Config!$D:$D,0)),0))</f>
        <v/>
      </c>
    </row>
    <row r="609" ht="15.0" customHeight="1">
      <c r="A609" s="34"/>
      <c r="B609" s="35"/>
      <c r="C609" s="15"/>
      <c r="D609" s="15"/>
      <c r="E609" s="15"/>
      <c r="F609" s="15"/>
      <c r="G609" s="36" t="str">
        <f t="array" ref="G609">IF($F609="","",IFERROR(INDEX(Config!$E:$E,MATCH($F609,Config!$D:$D,0)),0))</f>
        <v/>
      </c>
      <c r="H609" s="16"/>
      <c r="I609" s="36" t="str">
        <f t="shared" si="1"/>
        <v/>
      </c>
      <c r="J609" s="16"/>
      <c r="K609" s="15"/>
      <c r="L609" s="15"/>
      <c r="M609" s="36" t="str">
        <f t="array" ref="M609">IF($A609="","",IF($L609="Atendido",IFERROR($I609*INDEX(Config!$B:$B,MATCH($C609,Config!$A:$A,0)),0),0))</f>
        <v/>
      </c>
      <c r="N609" s="36" t="str">
        <f t="shared" si="2"/>
        <v/>
      </c>
      <c r="O609" s="36" t="str">
        <f t="shared" si="3"/>
        <v/>
      </c>
      <c r="P609" s="15"/>
      <c r="Q609" s="37" t="str">
        <f t="shared" si="4"/>
        <v/>
      </c>
      <c r="R609" s="37" t="str">
        <f t="shared" si="5"/>
        <v/>
      </c>
      <c r="S609" s="32" t="str">
        <f t="shared" si="6"/>
        <v/>
      </c>
      <c r="T609" s="37" t="str">
        <f t="shared" si="7"/>
        <v/>
      </c>
      <c r="U609" s="37" t="str">
        <f t="array" ref="U609">IF($F609="","",IFERROR(INDEX(Config!$F:$F,MATCH($F609,Config!$D:$D,0)),0))</f>
        <v/>
      </c>
    </row>
    <row r="610" ht="15.0" customHeight="1">
      <c r="A610" s="34"/>
      <c r="B610" s="35"/>
      <c r="C610" s="15"/>
      <c r="D610" s="15"/>
      <c r="E610" s="15"/>
      <c r="F610" s="15"/>
      <c r="G610" s="36" t="str">
        <f t="array" ref="G610">IF($F610="","",IFERROR(INDEX(Config!$E:$E,MATCH($F610,Config!$D:$D,0)),0))</f>
        <v/>
      </c>
      <c r="H610" s="16"/>
      <c r="I610" s="36" t="str">
        <f t="shared" si="1"/>
        <v/>
      </c>
      <c r="J610" s="16"/>
      <c r="K610" s="15"/>
      <c r="L610" s="15"/>
      <c r="M610" s="36" t="str">
        <f t="array" ref="M610">IF($A610="","",IF($L610="Atendido",IFERROR($I610*INDEX(Config!$B:$B,MATCH($C610,Config!$A:$A,0)),0),0))</f>
        <v/>
      </c>
      <c r="N610" s="36" t="str">
        <f t="shared" si="2"/>
        <v/>
      </c>
      <c r="O610" s="36" t="str">
        <f t="shared" si="3"/>
        <v/>
      </c>
      <c r="P610" s="15"/>
      <c r="Q610" s="37" t="str">
        <f t="shared" si="4"/>
        <v/>
      </c>
      <c r="R610" s="37" t="str">
        <f t="shared" si="5"/>
        <v/>
      </c>
      <c r="S610" s="32" t="str">
        <f t="shared" si="6"/>
        <v/>
      </c>
      <c r="T610" s="37" t="str">
        <f t="shared" si="7"/>
        <v/>
      </c>
      <c r="U610" s="37" t="str">
        <f t="array" ref="U610">IF($F610="","",IFERROR(INDEX(Config!$F:$F,MATCH($F610,Config!$D:$D,0)),0))</f>
        <v/>
      </c>
    </row>
    <row r="611" ht="15.0" customHeight="1">
      <c r="A611" s="34"/>
      <c r="B611" s="35"/>
      <c r="C611" s="15"/>
      <c r="D611" s="15"/>
      <c r="E611" s="15"/>
      <c r="F611" s="15"/>
      <c r="G611" s="36" t="str">
        <f t="array" ref="G611">IF($F611="","",IFERROR(INDEX(Config!$E:$E,MATCH($F611,Config!$D:$D,0)),0))</f>
        <v/>
      </c>
      <c r="H611" s="16"/>
      <c r="I611" s="36" t="str">
        <f t="shared" si="1"/>
        <v/>
      </c>
      <c r="J611" s="16"/>
      <c r="K611" s="15"/>
      <c r="L611" s="15"/>
      <c r="M611" s="36" t="str">
        <f t="array" ref="M611">IF($A611="","",IF($L611="Atendido",IFERROR($I611*INDEX(Config!$B:$B,MATCH($C611,Config!$A:$A,0)),0),0))</f>
        <v/>
      </c>
      <c r="N611" s="36" t="str">
        <f t="shared" si="2"/>
        <v/>
      </c>
      <c r="O611" s="36" t="str">
        <f t="shared" si="3"/>
        <v/>
      </c>
      <c r="P611" s="15"/>
      <c r="Q611" s="37" t="str">
        <f t="shared" si="4"/>
        <v/>
      </c>
      <c r="R611" s="37" t="str">
        <f t="shared" si="5"/>
        <v/>
      </c>
      <c r="S611" s="32" t="str">
        <f t="shared" si="6"/>
        <v/>
      </c>
      <c r="T611" s="37" t="str">
        <f t="shared" si="7"/>
        <v/>
      </c>
      <c r="U611" s="37" t="str">
        <f t="array" ref="U611">IF($F611="","",IFERROR(INDEX(Config!$F:$F,MATCH($F611,Config!$D:$D,0)),0))</f>
        <v/>
      </c>
    </row>
    <row r="612" ht="15.0" customHeight="1">
      <c r="A612" s="34"/>
      <c r="B612" s="35"/>
      <c r="C612" s="15"/>
      <c r="D612" s="15"/>
      <c r="E612" s="15"/>
      <c r="F612" s="15"/>
      <c r="G612" s="36" t="str">
        <f t="array" ref="G612">IF($F612="","",IFERROR(INDEX(Config!$E:$E,MATCH($F612,Config!$D:$D,0)),0))</f>
        <v/>
      </c>
      <c r="H612" s="16"/>
      <c r="I612" s="36" t="str">
        <f t="shared" si="1"/>
        <v/>
      </c>
      <c r="J612" s="16"/>
      <c r="K612" s="15"/>
      <c r="L612" s="15"/>
      <c r="M612" s="36" t="str">
        <f t="array" ref="M612">IF($A612="","",IF($L612="Atendido",IFERROR($I612*INDEX(Config!$B:$B,MATCH($C612,Config!$A:$A,0)),0),0))</f>
        <v/>
      </c>
      <c r="N612" s="36" t="str">
        <f t="shared" si="2"/>
        <v/>
      </c>
      <c r="O612" s="36" t="str">
        <f t="shared" si="3"/>
        <v/>
      </c>
      <c r="P612" s="15"/>
      <c r="Q612" s="37" t="str">
        <f t="shared" si="4"/>
        <v/>
      </c>
      <c r="R612" s="37" t="str">
        <f t="shared" si="5"/>
        <v/>
      </c>
      <c r="S612" s="32" t="str">
        <f t="shared" si="6"/>
        <v/>
      </c>
      <c r="T612" s="37" t="str">
        <f t="shared" si="7"/>
        <v/>
      </c>
      <c r="U612" s="37" t="str">
        <f t="array" ref="U612">IF($F612="","",IFERROR(INDEX(Config!$F:$F,MATCH($F612,Config!$D:$D,0)),0))</f>
        <v/>
      </c>
    </row>
    <row r="613" ht="15.0" customHeight="1">
      <c r="A613" s="34"/>
      <c r="B613" s="35"/>
      <c r="C613" s="15"/>
      <c r="D613" s="15"/>
      <c r="E613" s="15"/>
      <c r="F613" s="15"/>
      <c r="G613" s="36" t="str">
        <f t="array" ref="G613">IF($F613="","",IFERROR(INDEX(Config!$E:$E,MATCH($F613,Config!$D:$D,0)),0))</f>
        <v/>
      </c>
      <c r="H613" s="16"/>
      <c r="I613" s="36" t="str">
        <f t="shared" si="1"/>
        <v/>
      </c>
      <c r="J613" s="16"/>
      <c r="K613" s="15"/>
      <c r="L613" s="15"/>
      <c r="M613" s="36" t="str">
        <f t="array" ref="M613">IF($A613="","",IF($L613="Atendido",IFERROR($I613*INDEX(Config!$B:$B,MATCH($C613,Config!$A:$A,0)),0),0))</f>
        <v/>
      </c>
      <c r="N613" s="36" t="str">
        <f t="shared" si="2"/>
        <v/>
      </c>
      <c r="O613" s="36" t="str">
        <f t="shared" si="3"/>
        <v/>
      </c>
      <c r="P613" s="15"/>
      <c r="Q613" s="37" t="str">
        <f t="shared" si="4"/>
        <v/>
      </c>
      <c r="R613" s="37" t="str">
        <f t="shared" si="5"/>
        <v/>
      </c>
      <c r="S613" s="32" t="str">
        <f t="shared" si="6"/>
        <v/>
      </c>
      <c r="T613" s="37" t="str">
        <f t="shared" si="7"/>
        <v/>
      </c>
      <c r="U613" s="37" t="str">
        <f t="array" ref="U613">IF($F613="","",IFERROR(INDEX(Config!$F:$F,MATCH($F613,Config!$D:$D,0)),0))</f>
        <v/>
      </c>
    </row>
    <row r="614" ht="15.0" customHeight="1">
      <c r="A614" s="34"/>
      <c r="B614" s="35"/>
      <c r="C614" s="15"/>
      <c r="D614" s="15"/>
      <c r="E614" s="15"/>
      <c r="F614" s="15"/>
      <c r="G614" s="36" t="str">
        <f t="array" ref="G614">IF($F614="","",IFERROR(INDEX(Config!$E:$E,MATCH($F614,Config!$D:$D,0)),0))</f>
        <v/>
      </c>
      <c r="H614" s="16"/>
      <c r="I614" s="36" t="str">
        <f t="shared" si="1"/>
        <v/>
      </c>
      <c r="J614" s="16"/>
      <c r="K614" s="15"/>
      <c r="L614" s="15"/>
      <c r="M614" s="36" t="str">
        <f t="array" ref="M614">IF($A614="","",IF($L614="Atendido",IFERROR($I614*INDEX(Config!$B:$B,MATCH($C614,Config!$A:$A,0)),0),0))</f>
        <v/>
      </c>
      <c r="N614" s="36" t="str">
        <f t="shared" si="2"/>
        <v/>
      </c>
      <c r="O614" s="36" t="str">
        <f t="shared" si="3"/>
        <v/>
      </c>
      <c r="P614" s="15"/>
      <c r="Q614" s="37" t="str">
        <f t="shared" si="4"/>
        <v/>
      </c>
      <c r="R614" s="37" t="str">
        <f t="shared" si="5"/>
        <v/>
      </c>
      <c r="S614" s="32" t="str">
        <f t="shared" si="6"/>
        <v/>
      </c>
      <c r="T614" s="37" t="str">
        <f t="shared" si="7"/>
        <v/>
      </c>
      <c r="U614" s="37" t="str">
        <f t="array" ref="U614">IF($F614="","",IFERROR(INDEX(Config!$F:$F,MATCH($F614,Config!$D:$D,0)),0))</f>
        <v/>
      </c>
    </row>
    <row r="615" ht="15.0" customHeight="1">
      <c r="A615" s="34"/>
      <c r="B615" s="35"/>
      <c r="C615" s="15"/>
      <c r="D615" s="15"/>
      <c r="E615" s="15"/>
      <c r="F615" s="15"/>
      <c r="G615" s="36" t="str">
        <f t="array" ref="G615">IF($F615="","",IFERROR(INDEX(Config!$E:$E,MATCH($F615,Config!$D:$D,0)),0))</f>
        <v/>
      </c>
      <c r="H615" s="16"/>
      <c r="I615" s="36" t="str">
        <f t="shared" si="1"/>
        <v/>
      </c>
      <c r="J615" s="16"/>
      <c r="K615" s="15"/>
      <c r="L615" s="15"/>
      <c r="M615" s="36" t="str">
        <f t="array" ref="M615">IF($A615="","",IF($L615="Atendido",IFERROR($I615*INDEX(Config!$B:$B,MATCH($C615,Config!$A:$A,0)),0),0))</f>
        <v/>
      </c>
      <c r="N615" s="36" t="str">
        <f t="shared" si="2"/>
        <v/>
      </c>
      <c r="O615" s="36" t="str">
        <f t="shared" si="3"/>
        <v/>
      </c>
      <c r="P615" s="15"/>
      <c r="Q615" s="37" t="str">
        <f t="shared" si="4"/>
        <v/>
      </c>
      <c r="R615" s="37" t="str">
        <f t="shared" si="5"/>
        <v/>
      </c>
      <c r="S615" s="32" t="str">
        <f t="shared" si="6"/>
        <v/>
      </c>
      <c r="T615" s="37" t="str">
        <f t="shared" si="7"/>
        <v/>
      </c>
      <c r="U615" s="37" t="str">
        <f t="array" ref="U615">IF($F615="","",IFERROR(INDEX(Config!$F:$F,MATCH($F615,Config!$D:$D,0)),0))</f>
        <v/>
      </c>
    </row>
    <row r="616" ht="15.0" customHeight="1">
      <c r="A616" s="34"/>
      <c r="B616" s="35"/>
      <c r="C616" s="15"/>
      <c r="D616" s="15"/>
      <c r="E616" s="15"/>
      <c r="F616" s="15"/>
      <c r="G616" s="36" t="str">
        <f t="array" ref="G616">IF($F616="","",IFERROR(INDEX(Config!$E:$E,MATCH($F616,Config!$D:$D,0)),0))</f>
        <v/>
      </c>
      <c r="H616" s="16"/>
      <c r="I616" s="36" t="str">
        <f t="shared" si="1"/>
        <v/>
      </c>
      <c r="J616" s="16"/>
      <c r="K616" s="15"/>
      <c r="L616" s="15"/>
      <c r="M616" s="36" t="str">
        <f t="array" ref="M616">IF($A616="","",IF($L616="Atendido",IFERROR($I616*INDEX(Config!$B:$B,MATCH($C616,Config!$A:$A,0)),0),0))</f>
        <v/>
      </c>
      <c r="N616" s="36" t="str">
        <f t="shared" si="2"/>
        <v/>
      </c>
      <c r="O616" s="36" t="str">
        <f t="shared" si="3"/>
        <v/>
      </c>
      <c r="P616" s="15"/>
      <c r="Q616" s="37" t="str">
        <f t="shared" si="4"/>
        <v/>
      </c>
      <c r="R616" s="37" t="str">
        <f t="shared" si="5"/>
        <v/>
      </c>
      <c r="S616" s="32" t="str">
        <f t="shared" si="6"/>
        <v/>
      </c>
      <c r="T616" s="37" t="str">
        <f t="shared" si="7"/>
        <v/>
      </c>
      <c r="U616" s="37" t="str">
        <f t="array" ref="U616">IF($F616="","",IFERROR(INDEX(Config!$F:$F,MATCH($F616,Config!$D:$D,0)),0))</f>
        <v/>
      </c>
    </row>
    <row r="617" ht="15.0" customHeight="1">
      <c r="A617" s="34"/>
      <c r="B617" s="35"/>
      <c r="C617" s="15"/>
      <c r="D617" s="15"/>
      <c r="E617" s="15"/>
      <c r="F617" s="15"/>
      <c r="G617" s="36" t="str">
        <f t="array" ref="G617">IF($F617="","",IFERROR(INDEX(Config!$E:$E,MATCH($F617,Config!$D:$D,0)),0))</f>
        <v/>
      </c>
      <c r="H617" s="16"/>
      <c r="I617" s="36" t="str">
        <f t="shared" si="1"/>
        <v/>
      </c>
      <c r="J617" s="16"/>
      <c r="K617" s="15"/>
      <c r="L617" s="15"/>
      <c r="M617" s="36" t="str">
        <f t="array" ref="M617">IF($A617="","",IF($L617="Atendido",IFERROR($I617*INDEX(Config!$B:$B,MATCH($C617,Config!$A:$A,0)),0),0))</f>
        <v/>
      </c>
      <c r="N617" s="36" t="str">
        <f t="shared" si="2"/>
        <v/>
      </c>
      <c r="O617" s="36" t="str">
        <f t="shared" si="3"/>
        <v/>
      </c>
      <c r="P617" s="15"/>
      <c r="Q617" s="37" t="str">
        <f t="shared" si="4"/>
        <v/>
      </c>
      <c r="R617" s="37" t="str">
        <f t="shared" si="5"/>
        <v/>
      </c>
      <c r="S617" s="32" t="str">
        <f t="shared" si="6"/>
        <v/>
      </c>
      <c r="T617" s="37" t="str">
        <f t="shared" si="7"/>
        <v/>
      </c>
      <c r="U617" s="37" t="str">
        <f t="array" ref="U617">IF($F617="","",IFERROR(INDEX(Config!$F:$F,MATCH($F617,Config!$D:$D,0)),0))</f>
        <v/>
      </c>
    </row>
    <row r="618" ht="15.0" customHeight="1">
      <c r="A618" s="34"/>
      <c r="B618" s="35"/>
      <c r="C618" s="15"/>
      <c r="D618" s="15"/>
      <c r="E618" s="15"/>
      <c r="F618" s="15"/>
      <c r="G618" s="36" t="str">
        <f t="array" ref="G618">IF($F618="","",IFERROR(INDEX(Config!$E:$E,MATCH($F618,Config!$D:$D,0)),0))</f>
        <v/>
      </c>
      <c r="H618" s="16"/>
      <c r="I618" s="36" t="str">
        <f t="shared" si="1"/>
        <v/>
      </c>
      <c r="J618" s="16"/>
      <c r="K618" s="15"/>
      <c r="L618" s="15"/>
      <c r="M618" s="36" t="str">
        <f t="array" ref="M618">IF($A618="","",IF($L618="Atendido",IFERROR($I618*INDEX(Config!$B:$B,MATCH($C618,Config!$A:$A,0)),0),0))</f>
        <v/>
      </c>
      <c r="N618" s="36" t="str">
        <f t="shared" si="2"/>
        <v/>
      </c>
      <c r="O618" s="36" t="str">
        <f t="shared" si="3"/>
        <v/>
      </c>
      <c r="P618" s="15"/>
      <c r="Q618" s="37" t="str">
        <f t="shared" si="4"/>
        <v/>
      </c>
      <c r="R618" s="37" t="str">
        <f t="shared" si="5"/>
        <v/>
      </c>
      <c r="S618" s="32" t="str">
        <f t="shared" si="6"/>
        <v/>
      </c>
      <c r="T618" s="37" t="str">
        <f t="shared" si="7"/>
        <v/>
      </c>
      <c r="U618" s="37" t="str">
        <f t="array" ref="U618">IF($F618="","",IFERROR(INDEX(Config!$F:$F,MATCH($F618,Config!$D:$D,0)),0))</f>
        <v/>
      </c>
    </row>
    <row r="619" ht="15.0" customHeight="1">
      <c r="A619" s="34"/>
      <c r="B619" s="35"/>
      <c r="C619" s="15"/>
      <c r="D619" s="15"/>
      <c r="E619" s="15"/>
      <c r="F619" s="15"/>
      <c r="G619" s="36" t="str">
        <f t="array" ref="G619">IF($F619="","",IFERROR(INDEX(Config!$E:$E,MATCH($F619,Config!$D:$D,0)),0))</f>
        <v/>
      </c>
      <c r="H619" s="16"/>
      <c r="I619" s="36" t="str">
        <f t="shared" si="1"/>
        <v/>
      </c>
      <c r="J619" s="16"/>
      <c r="K619" s="15"/>
      <c r="L619" s="15"/>
      <c r="M619" s="36" t="str">
        <f t="array" ref="M619">IF($A619="","",IF($L619="Atendido",IFERROR($I619*INDEX(Config!$B:$B,MATCH($C619,Config!$A:$A,0)),0),0))</f>
        <v/>
      </c>
      <c r="N619" s="36" t="str">
        <f t="shared" si="2"/>
        <v/>
      </c>
      <c r="O619" s="36" t="str">
        <f t="shared" si="3"/>
        <v/>
      </c>
      <c r="P619" s="15"/>
      <c r="Q619" s="37" t="str">
        <f t="shared" si="4"/>
        <v/>
      </c>
      <c r="R619" s="37" t="str">
        <f t="shared" si="5"/>
        <v/>
      </c>
      <c r="S619" s="32" t="str">
        <f t="shared" si="6"/>
        <v/>
      </c>
      <c r="T619" s="37" t="str">
        <f t="shared" si="7"/>
        <v/>
      </c>
      <c r="U619" s="37" t="str">
        <f t="array" ref="U619">IF($F619="","",IFERROR(INDEX(Config!$F:$F,MATCH($F619,Config!$D:$D,0)),0))</f>
        <v/>
      </c>
    </row>
    <row r="620" ht="15.0" customHeight="1">
      <c r="A620" s="34"/>
      <c r="B620" s="35"/>
      <c r="C620" s="15"/>
      <c r="D620" s="15"/>
      <c r="E620" s="15"/>
      <c r="F620" s="15"/>
      <c r="G620" s="36" t="str">
        <f t="array" ref="G620">IF($F620="","",IFERROR(INDEX(Config!$E:$E,MATCH($F620,Config!$D:$D,0)),0))</f>
        <v/>
      </c>
      <c r="H620" s="16"/>
      <c r="I620" s="36" t="str">
        <f t="shared" si="1"/>
        <v/>
      </c>
      <c r="J620" s="16"/>
      <c r="K620" s="15"/>
      <c r="L620" s="15"/>
      <c r="M620" s="36" t="str">
        <f t="array" ref="M620">IF($A620="","",IF($L620="Atendido",IFERROR($I620*INDEX(Config!$B:$B,MATCH($C620,Config!$A:$A,0)),0),0))</f>
        <v/>
      </c>
      <c r="N620" s="36" t="str">
        <f t="shared" si="2"/>
        <v/>
      </c>
      <c r="O620" s="36" t="str">
        <f t="shared" si="3"/>
        <v/>
      </c>
      <c r="P620" s="15"/>
      <c r="Q620" s="37" t="str">
        <f t="shared" si="4"/>
        <v/>
      </c>
      <c r="R620" s="37" t="str">
        <f t="shared" si="5"/>
        <v/>
      </c>
      <c r="S620" s="32" t="str">
        <f t="shared" si="6"/>
        <v/>
      </c>
      <c r="T620" s="37" t="str">
        <f t="shared" si="7"/>
        <v/>
      </c>
      <c r="U620" s="37" t="str">
        <f t="array" ref="U620">IF($F620="","",IFERROR(INDEX(Config!$F:$F,MATCH($F620,Config!$D:$D,0)),0))</f>
        <v/>
      </c>
    </row>
    <row r="621" ht="15.0" customHeight="1">
      <c r="A621" s="34"/>
      <c r="B621" s="35"/>
      <c r="C621" s="15"/>
      <c r="D621" s="15"/>
      <c r="E621" s="15"/>
      <c r="F621" s="15"/>
      <c r="G621" s="36" t="str">
        <f t="array" ref="G621">IF($F621="","",IFERROR(INDEX(Config!$E:$E,MATCH($F621,Config!$D:$D,0)),0))</f>
        <v/>
      </c>
      <c r="H621" s="16"/>
      <c r="I621" s="36" t="str">
        <f t="shared" si="1"/>
        <v/>
      </c>
      <c r="J621" s="16"/>
      <c r="K621" s="15"/>
      <c r="L621" s="15"/>
      <c r="M621" s="36" t="str">
        <f t="array" ref="M621">IF($A621="","",IF($L621="Atendido",IFERROR($I621*INDEX(Config!$B:$B,MATCH($C621,Config!$A:$A,0)),0),0))</f>
        <v/>
      </c>
      <c r="N621" s="36" t="str">
        <f t="shared" si="2"/>
        <v/>
      </c>
      <c r="O621" s="36" t="str">
        <f t="shared" si="3"/>
        <v/>
      </c>
      <c r="P621" s="15"/>
      <c r="Q621" s="37" t="str">
        <f t="shared" si="4"/>
        <v/>
      </c>
      <c r="R621" s="37" t="str">
        <f t="shared" si="5"/>
        <v/>
      </c>
      <c r="S621" s="32" t="str">
        <f t="shared" si="6"/>
        <v/>
      </c>
      <c r="T621" s="37" t="str">
        <f t="shared" si="7"/>
        <v/>
      </c>
      <c r="U621" s="37" t="str">
        <f t="array" ref="U621">IF($F621="","",IFERROR(INDEX(Config!$F:$F,MATCH($F621,Config!$D:$D,0)),0))</f>
        <v/>
      </c>
    </row>
    <row r="622" ht="15.0" customHeight="1">
      <c r="A622" s="34"/>
      <c r="B622" s="35"/>
      <c r="C622" s="15"/>
      <c r="D622" s="15"/>
      <c r="E622" s="15"/>
      <c r="F622" s="15"/>
      <c r="G622" s="36" t="str">
        <f t="array" ref="G622">IF($F622="","",IFERROR(INDEX(Config!$E:$E,MATCH($F622,Config!$D:$D,0)),0))</f>
        <v/>
      </c>
      <c r="H622" s="16"/>
      <c r="I622" s="36" t="str">
        <f t="shared" si="1"/>
        <v/>
      </c>
      <c r="J622" s="16"/>
      <c r="K622" s="15"/>
      <c r="L622" s="15"/>
      <c r="M622" s="36" t="str">
        <f t="array" ref="M622">IF($A622="","",IF($L622="Atendido",IFERROR($I622*INDEX(Config!$B:$B,MATCH($C622,Config!$A:$A,0)),0),0))</f>
        <v/>
      </c>
      <c r="N622" s="36" t="str">
        <f t="shared" si="2"/>
        <v/>
      </c>
      <c r="O622" s="36" t="str">
        <f t="shared" si="3"/>
        <v/>
      </c>
      <c r="P622" s="15"/>
      <c r="Q622" s="37" t="str">
        <f t="shared" si="4"/>
        <v/>
      </c>
      <c r="R622" s="37" t="str">
        <f t="shared" si="5"/>
        <v/>
      </c>
      <c r="S622" s="32" t="str">
        <f t="shared" si="6"/>
        <v/>
      </c>
      <c r="T622" s="37" t="str">
        <f t="shared" si="7"/>
        <v/>
      </c>
      <c r="U622" s="37" t="str">
        <f t="array" ref="U622">IF($F622="","",IFERROR(INDEX(Config!$F:$F,MATCH($F622,Config!$D:$D,0)),0))</f>
        <v/>
      </c>
    </row>
    <row r="623" ht="15.0" customHeight="1">
      <c r="A623" s="34"/>
      <c r="B623" s="35"/>
      <c r="C623" s="15"/>
      <c r="D623" s="15"/>
      <c r="E623" s="15"/>
      <c r="F623" s="15"/>
      <c r="G623" s="36" t="str">
        <f t="array" ref="G623">IF($F623="","",IFERROR(INDEX(Config!$E:$E,MATCH($F623,Config!$D:$D,0)),0))</f>
        <v/>
      </c>
      <c r="H623" s="16"/>
      <c r="I623" s="36" t="str">
        <f t="shared" si="1"/>
        <v/>
      </c>
      <c r="J623" s="16"/>
      <c r="K623" s="15"/>
      <c r="L623" s="15"/>
      <c r="M623" s="36" t="str">
        <f t="array" ref="M623">IF($A623="","",IF($L623="Atendido",IFERROR($I623*INDEX(Config!$B:$B,MATCH($C623,Config!$A:$A,0)),0),0))</f>
        <v/>
      </c>
      <c r="N623" s="36" t="str">
        <f t="shared" si="2"/>
        <v/>
      </c>
      <c r="O623" s="36" t="str">
        <f t="shared" si="3"/>
        <v/>
      </c>
      <c r="P623" s="15"/>
      <c r="Q623" s="37" t="str">
        <f t="shared" si="4"/>
        <v/>
      </c>
      <c r="R623" s="37" t="str">
        <f t="shared" si="5"/>
        <v/>
      </c>
      <c r="S623" s="32" t="str">
        <f t="shared" si="6"/>
        <v/>
      </c>
      <c r="T623" s="37" t="str">
        <f t="shared" si="7"/>
        <v/>
      </c>
      <c r="U623" s="37" t="str">
        <f t="array" ref="U623">IF($F623="","",IFERROR(INDEX(Config!$F:$F,MATCH($F623,Config!$D:$D,0)),0))</f>
        <v/>
      </c>
    </row>
    <row r="624" ht="15.0" customHeight="1">
      <c r="A624" s="34"/>
      <c r="B624" s="35"/>
      <c r="C624" s="15"/>
      <c r="D624" s="15"/>
      <c r="E624" s="15"/>
      <c r="F624" s="15"/>
      <c r="G624" s="36" t="str">
        <f t="array" ref="G624">IF($F624="","",IFERROR(INDEX(Config!$E:$E,MATCH($F624,Config!$D:$D,0)),0))</f>
        <v/>
      </c>
      <c r="H624" s="16"/>
      <c r="I624" s="36" t="str">
        <f t="shared" si="1"/>
        <v/>
      </c>
      <c r="J624" s="16"/>
      <c r="K624" s="15"/>
      <c r="L624" s="15"/>
      <c r="M624" s="36" t="str">
        <f t="array" ref="M624">IF($A624="","",IF($L624="Atendido",IFERROR($I624*INDEX(Config!$B:$B,MATCH($C624,Config!$A:$A,0)),0),0))</f>
        <v/>
      </c>
      <c r="N624" s="36" t="str">
        <f t="shared" si="2"/>
        <v/>
      </c>
      <c r="O624" s="36" t="str">
        <f t="shared" si="3"/>
        <v/>
      </c>
      <c r="P624" s="15"/>
      <c r="Q624" s="37" t="str">
        <f t="shared" si="4"/>
        <v/>
      </c>
      <c r="R624" s="37" t="str">
        <f t="shared" si="5"/>
        <v/>
      </c>
      <c r="S624" s="32" t="str">
        <f t="shared" si="6"/>
        <v/>
      </c>
      <c r="T624" s="37" t="str">
        <f t="shared" si="7"/>
        <v/>
      </c>
      <c r="U624" s="37" t="str">
        <f t="array" ref="U624">IF($F624="","",IFERROR(INDEX(Config!$F:$F,MATCH($F624,Config!$D:$D,0)),0))</f>
        <v/>
      </c>
    </row>
    <row r="625" ht="15.0" customHeight="1">
      <c r="A625" s="34"/>
      <c r="B625" s="35"/>
      <c r="C625" s="15"/>
      <c r="D625" s="15"/>
      <c r="E625" s="15"/>
      <c r="F625" s="15"/>
      <c r="G625" s="36" t="str">
        <f t="array" ref="G625">IF($F625="","",IFERROR(INDEX(Config!$E:$E,MATCH($F625,Config!$D:$D,0)),0))</f>
        <v/>
      </c>
      <c r="H625" s="16"/>
      <c r="I625" s="36" t="str">
        <f t="shared" si="1"/>
        <v/>
      </c>
      <c r="J625" s="16"/>
      <c r="K625" s="15"/>
      <c r="L625" s="15"/>
      <c r="M625" s="36" t="str">
        <f t="array" ref="M625">IF($A625="","",IF($L625="Atendido",IFERROR($I625*INDEX(Config!$B:$B,MATCH($C625,Config!$A:$A,0)),0),0))</f>
        <v/>
      </c>
      <c r="N625" s="36" t="str">
        <f t="shared" si="2"/>
        <v/>
      </c>
      <c r="O625" s="36" t="str">
        <f t="shared" si="3"/>
        <v/>
      </c>
      <c r="P625" s="15"/>
      <c r="Q625" s="37" t="str">
        <f t="shared" si="4"/>
        <v/>
      </c>
      <c r="R625" s="37" t="str">
        <f t="shared" si="5"/>
        <v/>
      </c>
      <c r="S625" s="32" t="str">
        <f t="shared" si="6"/>
        <v/>
      </c>
      <c r="T625" s="37" t="str">
        <f t="shared" si="7"/>
        <v/>
      </c>
      <c r="U625" s="37" t="str">
        <f t="array" ref="U625">IF($F625="","",IFERROR(INDEX(Config!$F:$F,MATCH($F625,Config!$D:$D,0)),0))</f>
        <v/>
      </c>
    </row>
    <row r="626" ht="15.0" customHeight="1">
      <c r="A626" s="34"/>
      <c r="B626" s="35"/>
      <c r="C626" s="15"/>
      <c r="D626" s="15"/>
      <c r="E626" s="15"/>
      <c r="F626" s="15"/>
      <c r="G626" s="36" t="str">
        <f t="array" ref="G626">IF($F626="","",IFERROR(INDEX(Config!$E:$E,MATCH($F626,Config!$D:$D,0)),0))</f>
        <v/>
      </c>
      <c r="H626" s="16"/>
      <c r="I626" s="36" t="str">
        <f t="shared" si="1"/>
        <v/>
      </c>
      <c r="J626" s="16"/>
      <c r="K626" s="15"/>
      <c r="L626" s="15"/>
      <c r="M626" s="36" t="str">
        <f t="array" ref="M626">IF($A626="","",IF($L626="Atendido",IFERROR($I626*INDEX(Config!$B:$B,MATCH($C626,Config!$A:$A,0)),0),0))</f>
        <v/>
      </c>
      <c r="N626" s="36" t="str">
        <f t="shared" si="2"/>
        <v/>
      </c>
      <c r="O626" s="36" t="str">
        <f t="shared" si="3"/>
        <v/>
      </c>
      <c r="P626" s="15"/>
      <c r="Q626" s="37" t="str">
        <f t="shared" si="4"/>
        <v/>
      </c>
      <c r="R626" s="37" t="str">
        <f t="shared" si="5"/>
        <v/>
      </c>
      <c r="S626" s="32" t="str">
        <f t="shared" si="6"/>
        <v/>
      </c>
      <c r="T626" s="37" t="str">
        <f t="shared" si="7"/>
        <v/>
      </c>
      <c r="U626" s="37" t="str">
        <f t="array" ref="U626">IF($F626="","",IFERROR(INDEX(Config!$F:$F,MATCH($F626,Config!$D:$D,0)),0))</f>
        <v/>
      </c>
    </row>
    <row r="627" ht="15.0" customHeight="1">
      <c r="A627" s="34"/>
      <c r="B627" s="35"/>
      <c r="C627" s="15"/>
      <c r="D627" s="15"/>
      <c r="E627" s="15"/>
      <c r="F627" s="15"/>
      <c r="G627" s="36" t="str">
        <f t="array" ref="G627">IF($F627="","",IFERROR(INDEX(Config!$E:$E,MATCH($F627,Config!$D:$D,0)),0))</f>
        <v/>
      </c>
      <c r="H627" s="16"/>
      <c r="I627" s="36" t="str">
        <f t="shared" si="1"/>
        <v/>
      </c>
      <c r="J627" s="16"/>
      <c r="K627" s="15"/>
      <c r="L627" s="15"/>
      <c r="M627" s="36" t="str">
        <f t="array" ref="M627">IF($A627="","",IF($L627="Atendido",IFERROR($I627*INDEX(Config!$B:$B,MATCH($C627,Config!$A:$A,0)),0),0))</f>
        <v/>
      </c>
      <c r="N627" s="36" t="str">
        <f t="shared" si="2"/>
        <v/>
      </c>
      <c r="O627" s="36" t="str">
        <f t="shared" si="3"/>
        <v/>
      </c>
      <c r="P627" s="15"/>
      <c r="Q627" s="37" t="str">
        <f t="shared" si="4"/>
        <v/>
      </c>
      <c r="R627" s="37" t="str">
        <f t="shared" si="5"/>
        <v/>
      </c>
      <c r="S627" s="32" t="str">
        <f t="shared" si="6"/>
        <v/>
      </c>
      <c r="T627" s="37" t="str">
        <f t="shared" si="7"/>
        <v/>
      </c>
      <c r="U627" s="37" t="str">
        <f t="array" ref="U627">IF($F627="","",IFERROR(INDEX(Config!$F:$F,MATCH($F627,Config!$D:$D,0)),0))</f>
        <v/>
      </c>
    </row>
    <row r="628" ht="15.0" customHeight="1">
      <c r="A628" s="34"/>
      <c r="B628" s="35"/>
      <c r="C628" s="15"/>
      <c r="D628" s="15"/>
      <c r="E628" s="15"/>
      <c r="F628" s="15"/>
      <c r="G628" s="36" t="str">
        <f t="array" ref="G628">IF($F628="","",IFERROR(INDEX(Config!$E:$E,MATCH($F628,Config!$D:$D,0)),0))</f>
        <v/>
      </c>
      <c r="H628" s="16"/>
      <c r="I628" s="36" t="str">
        <f t="shared" si="1"/>
        <v/>
      </c>
      <c r="J628" s="16"/>
      <c r="K628" s="15"/>
      <c r="L628" s="15"/>
      <c r="M628" s="36" t="str">
        <f t="array" ref="M628">IF($A628="","",IF($L628="Atendido",IFERROR($I628*INDEX(Config!$B:$B,MATCH($C628,Config!$A:$A,0)),0),0))</f>
        <v/>
      </c>
      <c r="N628" s="36" t="str">
        <f t="shared" si="2"/>
        <v/>
      </c>
      <c r="O628" s="36" t="str">
        <f t="shared" si="3"/>
        <v/>
      </c>
      <c r="P628" s="15"/>
      <c r="Q628" s="37" t="str">
        <f t="shared" si="4"/>
        <v/>
      </c>
      <c r="R628" s="37" t="str">
        <f t="shared" si="5"/>
        <v/>
      </c>
      <c r="S628" s="32" t="str">
        <f t="shared" si="6"/>
        <v/>
      </c>
      <c r="T628" s="37" t="str">
        <f t="shared" si="7"/>
        <v/>
      </c>
      <c r="U628" s="37" t="str">
        <f t="array" ref="U628">IF($F628="","",IFERROR(INDEX(Config!$F:$F,MATCH($F628,Config!$D:$D,0)),0))</f>
        <v/>
      </c>
    </row>
    <row r="629" ht="15.0" customHeight="1">
      <c r="A629" s="34"/>
      <c r="B629" s="35"/>
      <c r="C629" s="15"/>
      <c r="D629" s="15"/>
      <c r="E629" s="15"/>
      <c r="F629" s="15"/>
      <c r="G629" s="36" t="str">
        <f t="array" ref="G629">IF($F629="","",IFERROR(INDEX(Config!$E:$E,MATCH($F629,Config!$D:$D,0)),0))</f>
        <v/>
      </c>
      <c r="H629" s="16"/>
      <c r="I629" s="36" t="str">
        <f t="shared" si="1"/>
        <v/>
      </c>
      <c r="J629" s="16"/>
      <c r="K629" s="15"/>
      <c r="L629" s="15"/>
      <c r="M629" s="36" t="str">
        <f t="array" ref="M629">IF($A629="","",IF($L629="Atendido",IFERROR($I629*INDEX(Config!$B:$B,MATCH($C629,Config!$A:$A,0)),0),0))</f>
        <v/>
      </c>
      <c r="N629" s="36" t="str">
        <f t="shared" si="2"/>
        <v/>
      </c>
      <c r="O629" s="36" t="str">
        <f t="shared" si="3"/>
        <v/>
      </c>
      <c r="P629" s="15"/>
      <c r="Q629" s="37" t="str">
        <f t="shared" si="4"/>
        <v/>
      </c>
      <c r="R629" s="37" t="str">
        <f t="shared" si="5"/>
        <v/>
      </c>
      <c r="S629" s="32" t="str">
        <f t="shared" si="6"/>
        <v/>
      </c>
      <c r="T629" s="37" t="str">
        <f t="shared" si="7"/>
        <v/>
      </c>
      <c r="U629" s="37" t="str">
        <f t="array" ref="U629">IF($F629="","",IFERROR(INDEX(Config!$F:$F,MATCH($F629,Config!$D:$D,0)),0))</f>
        <v/>
      </c>
    </row>
    <row r="630" ht="15.0" customHeight="1">
      <c r="A630" s="34"/>
      <c r="B630" s="35"/>
      <c r="C630" s="15"/>
      <c r="D630" s="15"/>
      <c r="E630" s="15"/>
      <c r="F630" s="15"/>
      <c r="G630" s="36" t="str">
        <f t="array" ref="G630">IF($F630="","",IFERROR(INDEX(Config!$E:$E,MATCH($F630,Config!$D:$D,0)),0))</f>
        <v/>
      </c>
      <c r="H630" s="16"/>
      <c r="I630" s="36" t="str">
        <f t="shared" si="1"/>
        <v/>
      </c>
      <c r="J630" s="16"/>
      <c r="K630" s="15"/>
      <c r="L630" s="15"/>
      <c r="M630" s="36" t="str">
        <f t="array" ref="M630">IF($A630="","",IF($L630="Atendido",IFERROR($I630*INDEX(Config!$B:$B,MATCH($C630,Config!$A:$A,0)),0),0))</f>
        <v/>
      </c>
      <c r="N630" s="36" t="str">
        <f t="shared" si="2"/>
        <v/>
      </c>
      <c r="O630" s="36" t="str">
        <f t="shared" si="3"/>
        <v/>
      </c>
      <c r="P630" s="15"/>
      <c r="Q630" s="37" t="str">
        <f t="shared" si="4"/>
        <v/>
      </c>
      <c r="R630" s="37" t="str">
        <f t="shared" si="5"/>
        <v/>
      </c>
      <c r="S630" s="32" t="str">
        <f t="shared" si="6"/>
        <v/>
      </c>
      <c r="T630" s="37" t="str">
        <f t="shared" si="7"/>
        <v/>
      </c>
      <c r="U630" s="37" t="str">
        <f t="array" ref="U630">IF($F630="","",IFERROR(INDEX(Config!$F:$F,MATCH($F630,Config!$D:$D,0)),0))</f>
        <v/>
      </c>
    </row>
    <row r="631" ht="15.0" customHeight="1">
      <c r="A631" s="34"/>
      <c r="B631" s="35"/>
      <c r="C631" s="15"/>
      <c r="D631" s="15"/>
      <c r="E631" s="15"/>
      <c r="F631" s="15"/>
      <c r="G631" s="36" t="str">
        <f t="array" ref="G631">IF($F631="","",IFERROR(INDEX(Config!$E:$E,MATCH($F631,Config!$D:$D,0)),0))</f>
        <v/>
      </c>
      <c r="H631" s="16"/>
      <c r="I631" s="36" t="str">
        <f t="shared" si="1"/>
        <v/>
      </c>
      <c r="J631" s="16"/>
      <c r="K631" s="15"/>
      <c r="L631" s="15"/>
      <c r="M631" s="36" t="str">
        <f t="array" ref="M631">IF($A631="","",IF($L631="Atendido",IFERROR($I631*INDEX(Config!$B:$B,MATCH($C631,Config!$A:$A,0)),0),0))</f>
        <v/>
      </c>
      <c r="N631" s="36" t="str">
        <f t="shared" si="2"/>
        <v/>
      </c>
      <c r="O631" s="36" t="str">
        <f t="shared" si="3"/>
        <v/>
      </c>
      <c r="P631" s="15"/>
      <c r="Q631" s="37" t="str">
        <f t="shared" si="4"/>
        <v/>
      </c>
      <c r="R631" s="37" t="str">
        <f t="shared" si="5"/>
        <v/>
      </c>
      <c r="S631" s="32" t="str">
        <f t="shared" si="6"/>
        <v/>
      </c>
      <c r="T631" s="37" t="str">
        <f t="shared" si="7"/>
        <v/>
      </c>
      <c r="U631" s="37" t="str">
        <f t="array" ref="U631">IF($F631="","",IFERROR(INDEX(Config!$F:$F,MATCH($F631,Config!$D:$D,0)),0))</f>
        <v/>
      </c>
    </row>
    <row r="632" ht="15.0" customHeight="1">
      <c r="A632" s="34"/>
      <c r="B632" s="35"/>
      <c r="C632" s="15"/>
      <c r="D632" s="15"/>
      <c r="E632" s="15"/>
      <c r="F632" s="15"/>
      <c r="G632" s="36" t="str">
        <f t="array" ref="G632">IF($F632="","",IFERROR(INDEX(Config!$E:$E,MATCH($F632,Config!$D:$D,0)),0))</f>
        <v/>
      </c>
      <c r="H632" s="16"/>
      <c r="I632" s="36" t="str">
        <f t="shared" si="1"/>
        <v/>
      </c>
      <c r="J632" s="16"/>
      <c r="K632" s="15"/>
      <c r="L632" s="15"/>
      <c r="M632" s="36" t="str">
        <f t="array" ref="M632">IF($A632="","",IF($L632="Atendido",IFERROR($I632*INDEX(Config!$B:$B,MATCH($C632,Config!$A:$A,0)),0),0))</f>
        <v/>
      </c>
      <c r="N632" s="36" t="str">
        <f t="shared" si="2"/>
        <v/>
      </c>
      <c r="O632" s="36" t="str">
        <f t="shared" si="3"/>
        <v/>
      </c>
      <c r="P632" s="15"/>
      <c r="Q632" s="37" t="str">
        <f t="shared" si="4"/>
        <v/>
      </c>
      <c r="R632" s="37" t="str">
        <f t="shared" si="5"/>
        <v/>
      </c>
      <c r="S632" s="32" t="str">
        <f t="shared" si="6"/>
        <v/>
      </c>
      <c r="T632" s="37" t="str">
        <f t="shared" si="7"/>
        <v/>
      </c>
      <c r="U632" s="37" t="str">
        <f t="array" ref="U632">IF($F632="","",IFERROR(INDEX(Config!$F:$F,MATCH($F632,Config!$D:$D,0)),0))</f>
        <v/>
      </c>
    </row>
    <row r="633" ht="15.0" customHeight="1">
      <c r="A633" s="34"/>
      <c r="B633" s="35"/>
      <c r="C633" s="15"/>
      <c r="D633" s="15"/>
      <c r="E633" s="15"/>
      <c r="F633" s="15"/>
      <c r="G633" s="36" t="str">
        <f t="array" ref="G633">IF($F633="","",IFERROR(INDEX(Config!$E:$E,MATCH($F633,Config!$D:$D,0)),0))</f>
        <v/>
      </c>
      <c r="H633" s="16"/>
      <c r="I633" s="36" t="str">
        <f t="shared" si="1"/>
        <v/>
      </c>
      <c r="J633" s="16"/>
      <c r="K633" s="15"/>
      <c r="L633" s="15"/>
      <c r="M633" s="36" t="str">
        <f t="array" ref="M633">IF($A633="","",IF($L633="Atendido",IFERROR($I633*INDEX(Config!$B:$B,MATCH($C633,Config!$A:$A,0)),0),0))</f>
        <v/>
      </c>
      <c r="N633" s="36" t="str">
        <f t="shared" si="2"/>
        <v/>
      </c>
      <c r="O633" s="36" t="str">
        <f t="shared" si="3"/>
        <v/>
      </c>
      <c r="P633" s="15"/>
      <c r="Q633" s="37" t="str">
        <f t="shared" si="4"/>
        <v/>
      </c>
      <c r="R633" s="37" t="str">
        <f t="shared" si="5"/>
        <v/>
      </c>
      <c r="S633" s="32" t="str">
        <f t="shared" si="6"/>
        <v/>
      </c>
      <c r="T633" s="37" t="str">
        <f t="shared" si="7"/>
        <v/>
      </c>
      <c r="U633" s="37" t="str">
        <f t="array" ref="U633">IF($F633="","",IFERROR(INDEX(Config!$F:$F,MATCH($F633,Config!$D:$D,0)),0))</f>
        <v/>
      </c>
    </row>
    <row r="634" ht="15.0" customHeight="1">
      <c r="A634" s="34"/>
      <c r="B634" s="35"/>
      <c r="C634" s="15"/>
      <c r="D634" s="15"/>
      <c r="E634" s="15"/>
      <c r="F634" s="15"/>
      <c r="G634" s="36" t="str">
        <f t="array" ref="G634">IF($F634="","",IFERROR(INDEX(Config!$E:$E,MATCH($F634,Config!$D:$D,0)),0))</f>
        <v/>
      </c>
      <c r="H634" s="16"/>
      <c r="I634" s="36" t="str">
        <f t="shared" si="1"/>
        <v/>
      </c>
      <c r="J634" s="16"/>
      <c r="K634" s="15"/>
      <c r="L634" s="15"/>
      <c r="M634" s="36" t="str">
        <f t="array" ref="M634">IF($A634="","",IF($L634="Atendido",IFERROR($I634*INDEX(Config!$B:$B,MATCH($C634,Config!$A:$A,0)),0),0))</f>
        <v/>
      </c>
      <c r="N634" s="36" t="str">
        <f t="shared" si="2"/>
        <v/>
      </c>
      <c r="O634" s="36" t="str">
        <f t="shared" si="3"/>
        <v/>
      </c>
      <c r="P634" s="15"/>
      <c r="Q634" s="37" t="str">
        <f t="shared" si="4"/>
        <v/>
      </c>
      <c r="R634" s="37" t="str">
        <f t="shared" si="5"/>
        <v/>
      </c>
      <c r="S634" s="32" t="str">
        <f t="shared" si="6"/>
        <v/>
      </c>
      <c r="T634" s="37" t="str">
        <f t="shared" si="7"/>
        <v/>
      </c>
      <c r="U634" s="37" t="str">
        <f t="array" ref="U634">IF($F634="","",IFERROR(INDEX(Config!$F:$F,MATCH($F634,Config!$D:$D,0)),0))</f>
        <v/>
      </c>
    </row>
    <row r="635" ht="15.0" customHeight="1">
      <c r="A635" s="34"/>
      <c r="B635" s="35"/>
      <c r="C635" s="15"/>
      <c r="D635" s="15"/>
      <c r="E635" s="15"/>
      <c r="F635" s="15"/>
      <c r="G635" s="36" t="str">
        <f t="array" ref="G635">IF($F635="","",IFERROR(INDEX(Config!$E:$E,MATCH($F635,Config!$D:$D,0)),0))</f>
        <v/>
      </c>
      <c r="H635" s="16"/>
      <c r="I635" s="36" t="str">
        <f t="shared" si="1"/>
        <v/>
      </c>
      <c r="J635" s="16"/>
      <c r="K635" s="15"/>
      <c r="L635" s="15"/>
      <c r="M635" s="36" t="str">
        <f t="array" ref="M635">IF($A635="","",IF($L635="Atendido",IFERROR($I635*INDEX(Config!$B:$B,MATCH($C635,Config!$A:$A,0)),0),0))</f>
        <v/>
      </c>
      <c r="N635" s="36" t="str">
        <f t="shared" si="2"/>
        <v/>
      </c>
      <c r="O635" s="36" t="str">
        <f t="shared" si="3"/>
        <v/>
      </c>
      <c r="P635" s="15"/>
      <c r="Q635" s="37" t="str">
        <f t="shared" si="4"/>
        <v/>
      </c>
      <c r="R635" s="37" t="str">
        <f t="shared" si="5"/>
        <v/>
      </c>
      <c r="S635" s="32" t="str">
        <f t="shared" si="6"/>
        <v/>
      </c>
      <c r="T635" s="37" t="str">
        <f t="shared" si="7"/>
        <v/>
      </c>
      <c r="U635" s="37" t="str">
        <f t="array" ref="U635">IF($F635="","",IFERROR(INDEX(Config!$F:$F,MATCH($F635,Config!$D:$D,0)),0))</f>
        <v/>
      </c>
    </row>
    <row r="636" ht="15.0" customHeight="1">
      <c r="A636" s="34"/>
      <c r="B636" s="35"/>
      <c r="C636" s="15"/>
      <c r="D636" s="15"/>
      <c r="E636" s="15"/>
      <c r="F636" s="15"/>
      <c r="G636" s="36" t="str">
        <f t="array" ref="G636">IF($F636="","",IFERROR(INDEX(Config!$E:$E,MATCH($F636,Config!$D:$D,0)),0))</f>
        <v/>
      </c>
      <c r="H636" s="16"/>
      <c r="I636" s="36" t="str">
        <f t="shared" si="1"/>
        <v/>
      </c>
      <c r="J636" s="16"/>
      <c r="K636" s="15"/>
      <c r="L636" s="15"/>
      <c r="M636" s="36" t="str">
        <f t="array" ref="M636">IF($A636="","",IF($L636="Atendido",IFERROR($I636*INDEX(Config!$B:$B,MATCH($C636,Config!$A:$A,0)),0),0))</f>
        <v/>
      </c>
      <c r="N636" s="36" t="str">
        <f t="shared" si="2"/>
        <v/>
      </c>
      <c r="O636" s="36" t="str">
        <f t="shared" si="3"/>
        <v/>
      </c>
      <c r="P636" s="15"/>
      <c r="Q636" s="37" t="str">
        <f t="shared" si="4"/>
        <v/>
      </c>
      <c r="R636" s="37" t="str">
        <f t="shared" si="5"/>
        <v/>
      </c>
      <c r="S636" s="32" t="str">
        <f t="shared" si="6"/>
        <v/>
      </c>
      <c r="T636" s="37" t="str">
        <f t="shared" si="7"/>
        <v/>
      </c>
      <c r="U636" s="37" t="str">
        <f t="array" ref="U636">IF($F636="","",IFERROR(INDEX(Config!$F:$F,MATCH($F636,Config!$D:$D,0)),0))</f>
        <v/>
      </c>
    </row>
    <row r="637" ht="15.0" customHeight="1">
      <c r="A637" s="34"/>
      <c r="B637" s="35"/>
      <c r="C637" s="15"/>
      <c r="D637" s="15"/>
      <c r="E637" s="15"/>
      <c r="F637" s="15"/>
      <c r="G637" s="36" t="str">
        <f t="array" ref="G637">IF($F637="","",IFERROR(INDEX(Config!$E:$E,MATCH($F637,Config!$D:$D,0)),0))</f>
        <v/>
      </c>
      <c r="H637" s="16"/>
      <c r="I637" s="36" t="str">
        <f t="shared" si="1"/>
        <v/>
      </c>
      <c r="J637" s="16"/>
      <c r="K637" s="15"/>
      <c r="L637" s="15"/>
      <c r="M637" s="36" t="str">
        <f t="array" ref="M637">IF($A637="","",IF($L637="Atendido",IFERROR($I637*INDEX(Config!$B:$B,MATCH($C637,Config!$A:$A,0)),0),0))</f>
        <v/>
      </c>
      <c r="N637" s="36" t="str">
        <f t="shared" si="2"/>
        <v/>
      </c>
      <c r="O637" s="36" t="str">
        <f t="shared" si="3"/>
        <v/>
      </c>
      <c r="P637" s="15"/>
      <c r="Q637" s="37" t="str">
        <f t="shared" si="4"/>
        <v/>
      </c>
      <c r="R637" s="37" t="str">
        <f t="shared" si="5"/>
        <v/>
      </c>
      <c r="S637" s="32" t="str">
        <f t="shared" si="6"/>
        <v/>
      </c>
      <c r="T637" s="37" t="str">
        <f t="shared" si="7"/>
        <v/>
      </c>
      <c r="U637" s="37" t="str">
        <f t="array" ref="U637">IF($F637="","",IFERROR(INDEX(Config!$F:$F,MATCH($F637,Config!$D:$D,0)),0))</f>
        <v/>
      </c>
    </row>
    <row r="638" ht="15.0" customHeight="1">
      <c r="A638" s="34"/>
      <c r="B638" s="35"/>
      <c r="C638" s="15"/>
      <c r="D638" s="15"/>
      <c r="E638" s="15"/>
      <c r="F638" s="15"/>
      <c r="G638" s="36" t="str">
        <f t="array" ref="G638">IF($F638="","",IFERROR(INDEX(Config!$E:$E,MATCH($F638,Config!$D:$D,0)),0))</f>
        <v/>
      </c>
      <c r="H638" s="16"/>
      <c r="I638" s="36" t="str">
        <f t="shared" si="1"/>
        <v/>
      </c>
      <c r="J638" s="16"/>
      <c r="K638" s="15"/>
      <c r="L638" s="15"/>
      <c r="M638" s="36" t="str">
        <f t="array" ref="M638">IF($A638="","",IF($L638="Atendido",IFERROR($I638*INDEX(Config!$B:$B,MATCH($C638,Config!$A:$A,0)),0),0))</f>
        <v/>
      </c>
      <c r="N638" s="36" t="str">
        <f t="shared" si="2"/>
        <v/>
      </c>
      <c r="O638" s="36" t="str">
        <f t="shared" si="3"/>
        <v/>
      </c>
      <c r="P638" s="15"/>
      <c r="Q638" s="37" t="str">
        <f t="shared" si="4"/>
        <v/>
      </c>
      <c r="R638" s="37" t="str">
        <f t="shared" si="5"/>
        <v/>
      </c>
      <c r="S638" s="32" t="str">
        <f t="shared" si="6"/>
        <v/>
      </c>
      <c r="T638" s="37" t="str">
        <f t="shared" si="7"/>
        <v/>
      </c>
      <c r="U638" s="37" t="str">
        <f t="array" ref="U638">IF($F638="","",IFERROR(INDEX(Config!$F:$F,MATCH($F638,Config!$D:$D,0)),0))</f>
        <v/>
      </c>
    </row>
    <row r="639" ht="15.0" customHeight="1">
      <c r="A639" s="34"/>
      <c r="B639" s="35"/>
      <c r="C639" s="15"/>
      <c r="D639" s="15"/>
      <c r="E639" s="15"/>
      <c r="F639" s="15"/>
      <c r="G639" s="36" t="str">
        <f t="array" ref="G639">IF($F639="","",IFERROR(INDEX(Config!$E:$E,MATCH($F639,Config!$D:$D,0)),0))</f>
        <v/>
      </c>
      <c r="H639" s="16"/>
      <c r="I639" s="36" t="str">
        <f t="shared" si="1"/>
        <v/>
      </c>
      <c r="J639" s="16"/>
      <c r="K639" s="15"/>
      <c r="L639" s="15"/>
      <c r="M639" s="36" t="str">
        <f t="array" ref="M639">IF($A639="","",IF($L639="Atendido",IFERROR($I639*INDEX(Config!$B:$B,MATCH($C639,Config!$A:$A,0)),0),0))</f>
        <v/>
      </c>
      <c r="N639" s="36" t="str">
        <f t="shared" si="2"/>
        <v/>
      </c>
      <c r="O639" s="36" t="str">
        <f t="shared" si="3"/>
        <v/>
      </c>
      <c r="P639" s="15"/>
      <c r="Q639" s="37" t="str">
        <f t="shared" si="4"/>
        <v/>
      </c>
      <c r="R639" s="37" t="str">
        <f t="shared" si="5"/>
        <v/>
      </c>
      <c r="S639" s="32" t="str">
        <f t="shared" si="6"/>
        <v/>
      </c>
      <c r="T639" s="37" t="str">
        <f t="shared" si="7"/>
        <v/>
      </c>
      <c r="U639" s="37" t="str">
        <f t="array" ref="U639">IF($F639="","",IFERROR(INDEX(Config!$F:$F,MATCH($F639,Config!$D:$D,0)),0))</f>
        <v/>
      </c>
    </row>
    <row r="640" ht="15.0" customHeight="1">
      <c r="A640" s="34"/>
      <c r="B640" s="35"/>
      <c r="C640" s="15"/>
      <c r="D640" s="15"/>
      <c r="E640" s="15"/>
      <c r="F640" s="15"/>
      <c r="G640" s="36" t="str">
        <f t="array" ref="G640">IF($F640="","",IFERROR(INDEX(Config!$E:$E,MATCH($F640,Config!$D:$D,0)),0))</f>
        <v/>
      </c>
      <c r="H640" s="16"/>
      <c r="I640" s="36" t="str">
        <f t="shared" si="1"/>
        <v/>
      </c>
      <c r="J640" s="16"/>
      <c r="K640" s="15"/>
      <c r="L640" s="15"/>
      <c r="M640" s="36" t="str">
        <f t="array" ref="M640">IF($A640="","",IF($L640="Atendido",IFERROR($I640*INDEX(Config!$B:$B,MATCH($C640,Config!$A:$A,0)),0),0))</f>
        <v/>
      </c>
      <c r="N640" s="36" t="str">
        <f t="shared" si="2"/>
        <v/>
      </c>
      <c r="O640" s="36" t="str">
        <f t="shared" si="3"/>
        <v/>
      </c>
      <c r="P640" s="15"/>
      <c r="Q640" s="37" t="str">
        <f t="shared" si="4"/>
        <v/>
      </c>
      <c r="R640" s="37" t="str">
        <f t="shared" si="5"/>
        <v/>
      </c>
      <c r="S640" s="32" t="str">
        <f t="shared" si="6"/>
        <v/>
      </c>
      <c r="T640" s="37" t="str">
        <f t="shared" si="7"/>
        <v/>
      </c>
      <c r="U640" s="37" t="str">
        <f t="array" ref="U640">IF($F640="","",IFERROR(INDEX(Config!$F:$F,MATCH($F640,Config!$D:$D,0)),0))</f>
        <v/>
      </c>
    </row>
    <row r="641" ht="15.0" customHeight="1">
      <c r="A641" s="34"/>
      <c r="B641" s="35"/>
      <c r="C641" s="15"/>
      <c r="D641" s="15"/>
      <c r="E641" s="15"/>
      <c r="F641" s="15"/>
      <c r="G641" s="36" t="str">
        <f t="array" ref="G641">IF($F641="","",IFERROR(INDEX(Config!$E:$E,MATCH($F641,Config!$D:$D,0)),0))</f>
        <v/>
      </c>
      <c r="H641" s="16"/>
      <c r="I641" s="36" t="str">
        <f t="shared" si="1"/>
        <v/>
      </c>
      <c r="J641" s="16"/>
      <c r="K641" s="15"/>
      <c r="L641" s="15"/>
      <c r="M641" s="36" t="str">
        <f t="array" ref="M641">IF($A641="","",IF($L641="Atendido",IFERROR($I641*INDEX(Config!$B:$B,MATCH($C641,Config!$A:$A,0)),0),0))</f>
        <v/>
      </c>
      <c r="N641" s="36" t="str">
        <f t="shared" si="2"/>
        <v/>
      </c>
      <c r="O641" s="36" t="str">
        <f t="shared" si="3"/>
        <v/>
      </c>
      <c r="P641" s="15"/>
      <c r="Q641" s="37" t="str">
        <f t="shared" si="4"/>
        <v/>
      </c>
      <c r="R641" s="37" t="str">
        <f t="shared" si="5"/>
        <v/>
      </c>
      <c r="S641" s="32" t="str">
        <f t="shared" si="6"/>
        <v/>
      </c>
      <c r="T641" s="37" t="str">
        <f t="shared" si="7"/>
        <v/>
      </c>
      <c r="U641" s="37" t="str">
        <f t="array" ref="U641">IF($F641="","",IFERROR(INDEX(Config!$F:$F,MATCH($F641,Config!$D:$D,0)),0))</f>
        <v/>
      </c>
    </row>
    <row r="642" ht="15.0" customHeight="1">
      <c r="A642" s="34"/>
      <c r="B642" s="35"/>
      <c r="C642" s="15"/>
      <c r="D642" s="15"/>
      <c r="E642" s="15"/>
      <c r="F642" s="15"/>
      <c r="G642" s="36" t="str">
        <f t="array" ref="G642">IF($F642="","",IFERROR(INDEX(Config!$E:$E,MATCH($F642,Config!$D:$D,0)),0))</f>
        <v/>
      </c>
      <c r="H642" s="16"/>
      <c r="I642" s="36" t="str">
        <f t="shared" si="1"/>
        <v/>
      </c>
      <c r="J642" s="16"/>
      <c r="K642" s="15"/>
      <c r="L642" s="15"/>
      <c r="M642" s="36" t="str">
        <f t="array" ref="M642">IF($A642="","",IF($L642="Atendido",IFERROR($I642*INDEX(Config!$B:$B,MATCH($C642,Config!$A:$A,0)),0),0))</f>
        <v/>
      </c>
      <c r="N642" s="36" t="str">
        <f t="shared" si="2"/>
        <v/>
      </c>
      <c r="O642" s="36" t="str">
        <f t="shared" si="3"/>
        <v/>
      </c>
      <c r="P642" s="15"/>
      <c r="Q642" s="37" t="str">
        <f t="shared" si="4"/>
        <v/>
      </c>
      <c r="R642" s="37" t="str">
        <f t="shared" si="5"/>
        <v/>
      </c>
      <c r="S642" s="32" t="str">
        <f t="shared" si="6"/>
        <v/>
      </c>
      <c r="T642" s="37" t="str">
        <f t="shared" si="7"/>
        <v/>
      </c>
      <c r="U642" s="37" t="str">
        <f t="array" ref="U642">IF($F642="","",IFERROR(INDEX(Config!$F:$F,MATCH($F642,Config!$D:$D,0)),0))</f>
        <v/>
      </c>
    </row>
    <row r="643" ht="15.0" customHeight="1">
      <c r="A643" s="34"/>
      <c r="B643" s="35"/>
      <c r="C643" s="15"/>
      <c r="D643" s="15"/>
      <c r="E643" s="15"/>
      <c r="F643" s="15"/>
      <c r="G643" s="36" t="str">
        <f t="array" ref="G643">IF($F643="","",IFERROR(INDEX(Config!$E:$E,MATCH($F643,Config!$D:$D,0)),0))</f>
        <v/>
      </c>
      <c r="H643" s="16"/>
      <c r="I643" s="36" t="str">
        <f t="shared" si="1"/>
        <v/>
      </c>
      <c r="J643" s="16"/>
      <c r="K643" s="15"/>
      <c r="L643" s="15"/>
      <c r="M643" s="36" t="str">
        <f t="array" ref="M643">IF($A643="","",IF($L643="Atendido",IFERROR($I643*INDEX(Config!$B:$B,MATCH($C643,Config!$A:$A,0)),0),0))</f>
        <v/>
      </c>
      <c r="N643" s="36" t="str">
        <f t="shared" si="2"/>
        <v/>
      </c>
      <c r="O643" s="36" t="str">
        <f t="shared" si="3"/>
        <v/>
      </c>
      <c r="P643" s="15"/>
      <c r="Q643" s="37" t="str">
        <f t="shared" si="4"/>
        <v/>
      </c>
      <c r="R643" s="37" t="str">
        <f t="shared" si="5"/>
        <v/>
      </c>
      <c r="S643" s="32" t="str">
        <f t="shared" si="6"/>
        <v/>
      </c>
      <c r="T643" s="37" t="str">
        <f t="shared" si="7"/>
        <v/>
      </c>
      <c r="U643" s="37" t="str">
        <f t="array" ref="U643">IF($F643="","",IFERROR(INDEX(Config!$F:$F,MATCH($F643,Config!$D:$D,0)),0))</f>
        <v/>
      </c>
    </row>
    <row r="644" ht="15.0" customHeight="1">
      <c r="A644" s="34"/>
      <c r="B644" s="35"/>
      <c r="C644" s="15"/>
      <c r="D644" s="15"/>
      <c r="E644" s="15"/>
      <c r="F644" s="15"/>
      <c r="G644" s="36" t="str">
        <f t="array" ref="G644">IF($F644="","",IFERROR(INDEX(Config!$E:$E,MATCH($F644,Config!$D:$D,0)),0))</f>
        <v/>
      </c>
      <c r="H644" s="16"/>
      <c r="I644" s="36" t="str">
        <f t="shared" si="1"/>
        <v/>
      </c>
      <c r="J644" s="16"/>
      <c r="K644" s="15"/>
      <c r="L644" s="15"/>
      <c r="M644" s="36" t="str">
        <f t="array" ref="M644">IF($A644="","",IF($L644="Atendido",IFERROR($I644*INDEX(Config!$B:$B,MATCH($C644,Config!$A:$A,0)),0),0))</f>
        <v/>
      </c>
      <c r="N644" s="36" t="str">
        <f t="shared" si="2"/>
        <v/>
      </c>
      <c r="O644" s="36" t="str">
        <f t="shared" si="3"/>
        <v/>
      </c>
      <c r="P644" s="15"/>
      <c r="Q644" s="37" t="str">
        <f t="shared" si="4"/>
        <v/>
      </c>
      <c r="R644" s="37" t="str">
        <f t="shared" si="5"/>
        <v/>
      </c>
      <c r="S644" s="32" t="str">
        <f t="shared" si="6"/>
        <v/>
      </c>
      <c r="T644" s="37" t="str">
        <f t="shared" si="7"/>
        <v/>
      </c>
      <c r="U644" s="37" t="str">
        <f t="array" ref="U644">IF($F644="","",IFERROR(INDEX(Config!$F:$F,MATCH($F644,Config!$D:$D,0)),0))</f>
        <v/>
      </c>
    </row>
    <row r="645" ht="15.0" customHeight="1">
      <c r="A645" s="34"/>
      <c r="B645" s="35"/>
      <c r="C645" s="15"/>
      <c r="D645" s="15"/>
      <c r="E645" s="15"/>
      <c r="F645" s="15"/>
      <c r="G645" s="36" t="str">
        <f t="array" ref="G645">IF($F645="","",IFERROR(INDEX(Config!$E:$E,MATCH($F645,Config!$D:$D,0)),0))</f>
        <v/>
      </c>
      <c r="H645" s="16"/>
      <c r="I645" s="36" t="str">
        <f t="shared" si="1"/>
        <v/>
      </c>
      <c r="J645" s="16"/>
      <c r="K645" s="15"/>
      <c r="L645" s="15"/>
      <c r="M645" s="36" t="str">
        <f t="array" ref="M645">IF($A645="","",IF($L645="Atendido",IFERROR($I645*INDEX(Config!$B:$B,MATCH($C645,Config!$A:$A,0)),0),0))</f>
        <v/>
      </c>
      <c r="N645" s="36" t="str">
        <f t="shared" si="2"/>
        <v/>
      </c>
      <c r="O645" s="36" t="str">
        <f t="shared" si="3"/>
        <v/>
      </c>
      <c r="P645" s="15"/>
      <c r="Q645" s="37" t="str">
        <f t="shared" si="4"/>
        <v/>
      </c>
      <c r="R645" s="37" t="str">
        <f t="shared" si="5"/>
        <v/>
      </c>
      <c r="S645" s="32" t="str">
        <f t="shared" si="6"/>
        <v/>
      </c>
      <c r="T645" s="37" t="str">
        <f t="shared" si="7"/>
        <v/>
      </c>
      <c r="U645" s="37" t="str">
        <f t="array" ref="U645">IF($F645="","",IFERROR(INDEX(Config!$F:$F,MATCH($F645,Config!$D:$D,0)),0))</f>
        <v/>
      </c>
    </row>
    <row r="646" ht="15.0" customHeight="1">
      <c r="A646" s="34"/>
      <c r="B646" s="35"/>
      <c r="C646" s="15"/>
      <c r="D646" s="15"/>
      <c r="E646" s="15"/>
      <c r="F646" s="15"/>
      <c r="G646" s="36" t="str">
        <f t="array" ref="G646">IF($F646="","",IFERROR(INDEX(Config!$E:$E,MATCH($F646,Config!$D:$D,0)),0))</f>
        <v/>
      </c>
      <c r="H646" s="16"/>
      <c r="I646" s="36" t="str">
        <f t="shared" si="1"/>
        <v/>
      </c>
      <c r="J646" s="16"/>
      <c r="K646" s="15"/>
      <c r="L646" s="15"/>
      <c r="M646" s="36" t="str">
        <f t="array" ref="M646">IF($A646="","",IF($L646="Atendido",IFERROR($I646*INDEX(Config!$B:$B,MATCH($C646,Config!$A:$A,0)),0),0))</f>
        <v/>
      </c>
      <c r="N646" s="36" t="str">
        <f t="shared" si="2"/>
        <v/>
      </c>
      <c r="O646" s="36" t="str">
        <f t="shared" si="3"/>
        <v/>
      </c>
      <c r="P646" s="15"/>
      <c r="Q646" s="37" t="str">
        <f t="shared" si="4"/>
        <v/>
      </c>
      <c r="R646" s="37" t="str">
        <f t="shared" si="5"/>
        <v/>
      </c>
      <c r="S646" s="32" t="str">
        <f t="shared" si="6"/>
        <v/>
      </c>
      <c r="T646" s="37" t="str">
        <f t="shared" si="7"/>
        <v/>
      </c>
      <c r="U646" s="37" t="str">
        <f t="array" ref="U646">IF($F646="","",IFERROR(INDEX(Config!$F:$F,MATCH($F646,Config!$D:$D,0)),0))</f>
        <v/>
      </c>
    </row>
    <row r="647" ht="15.0" customHeight="1">
      <c r="A647" s="34"/>
      <c r="B647" s="35"/>
      <c r="C647" s="15"/>
      <c r="D647" s="15"/>
      <c r="E647" s="15"/>
      <c r="F647" s="15"/>
      <c r="G647" s="36" t="str">
        <f t="array" ref="G647">IF($F647="","",IFERROR(INDEX(Config!$E:$E,MATCH($F647,Config!$D:$D,0)),0))</f>
        <v/>
      </c>
      <c r="H647" s="16"/>
      <c r="I647" s="36" t="str">
        <f t="shared" si="1"/>
        <v/>
      </c>
      <c r="J647" s="16"/>
      <c r="K647" s="15"/>
      <c r="L647" s="15"/>
      <c r="M647" s="36" t="str">
        <f t="array" ref="M647">IF($A647="","",IF($L647="Atendido",IFERROR($I647*INDEX(Config!$B:$B,MATCH($C647,Config!$A:$A,0)),0),0))</f>
        <v/>
      </c>
      <c r="N647" s="36" t="str">
        <f t="shared" si="2"/>
        <v/>
      </c>
      <c r="O647" s="36" t="str">
        <f t="shared" si="3"/>
        <v/>
      </c>
      <c r="P647" s="15"/>
      <c r="Q647" s="37" t="str">
        <f t="shared" si="4"/>
        <v/>
      </c>
      <c r="R647" s="37" t="str">
        <f t="shared" si="5"/>
        <v/>
      </c>
      <c r="S647" s="32" t="str">
        <f t="shared" si="6"/>
        <v/>
      </c>
      <c r="T647" s="37" t="str">
        <f t="shared" si="7"/>
        <v/>
      </c>
      <c r="U647" s="37" t="str">
        <f t="array" ref="U647">IF($F647="","",IFERROR(INDEX(Config!$F:$F,MATCH($F647,Config!$D:$D,0)),0))</f>
        <v/>
      </c>
    </row>
    <row r="648" ht="15.0" customHeight="1">
      <c r="A648" s="34"/>
      <c r="B648" s="35"/>
      <c r="C648" s="15"/>
      <c r="D648" s="15"/>
      <c r="E648" s="15"/>
      <c r="F648" s="15"/>
      <c r="G648" s="36" t="str">
        <f t="array" ref="G648">IF($F648="","",IFERROR(INDEX(Config!$E:$E,MATCH($F648,Config!$D:$D,0)),0))</f>
        <v/>
      </c>
      <c r="H648" s="16"/>
      <c r="I648" s="36" t="str">
        <f t="shared" si="1"/>
        <v/>
      </c>
      <c r="J648" s="16"/>
      <c r="K648" s="15"/>
      <c r="L648" s="15"/>
      <c r="M648" s="36" t="str">
        <f t="array" ref="M648">IF($A648="","",IF($L648="Atendido",IFERROR($I648*INDEX(Config!$B:$B,MATCH($C648,Config!$A:$A,0)),0),0))</f>
        <v/>
      </c>
      <c r="N648" s="36" t="str">
        <f t="shared" si="2"/>
        <v/>
      </c>
      <c r="O648" s="36" t="str">
        <f t="shared" si="3"/>
        <v/>
      </c>
      <c r="P648" s="15"/>
      <c r="Q648" s="37" t="str">
        <f t="shared" si="4"/>
        <v/>
      </c>
      <c r="R648" s="37" t="str">
        <f t="shared" si="5"/>
        <v/>
      </c>
      <c r="S648" s="32" t="str">
        <f t="shared" si="6"/>
        <v/>
      </c>
      <c r="T648" s="37" t="str">
        <f t="shared" si="7"/>
        <v/>
      </c>
      <c r="U648" s="37" t="str">
        <f t="array" ref="U648">IF($F648="","",IFERROR(INDEX(Config!$F:$F,MATCH($F648,Config!$D:$D,0)),0))</f>
        <v/>
      </c>
    </row>
    <row r="649" ht="15.0" customHeight="1">
      <c r="A649" s="34"/>
      <c r="B649" s="35"/>
      <c r="C649" s="15"/>
      <c r="D649" s="15"/>
      <c r="E649" s="15"/>
      <c r="F649" s="15"/>
      <c r="G649" s="36" t="str">
        <f t="array" ref="G649">IF($F649="","",IFERROR(INDEX(Config!$E:$E,MATCH($F649,Config!$D:$D,0)),0))</f>
        <v/>
      </c>
      <c r="H649" s="16"/>
      <c r="I649" s="36" t="str">
        <f t="shared" si="1"/>
        <v/>
      </c>
      <c r="J649" s="16"/>
      <c r="K649" s="15"/>
      <c r="L649" s="15"/>
      <c r="M649" s="36" t="str">
        <f t="array" ref="M649">IF($A649="","",IF($L649="Atendido",IFERROR($I649*INDEX(Config!$B:$B,MATCH($C649,Config!$A:$A,0)),0),0))</f>
        <v/>
      </c>
      <c r="N649" s="36" t="str">
        <f t="shared" si="2"/>
        <v/>
      </c>
      <c r="O649" s="36" t="str">
        <f t="shared" si="3"/>
        <v/>
      </c>
      <c r="P649" s="15"/>
      <c r="Q649" s="37" t="str">
        <f t="shared" si="4"/>
        <v/>
      </c>
      <c r="R649" s="37" t="str">
        <f t="shared" si="5"/>
        <v/>
      </c>
      <c r="S649" s="32" t="str">
        <f t="shared" si="6"/>
        <v/>
      </c>
      <c r="T649" s="37" t="str">
        <f t="shared" si="7"/>
        <v/>
      </c>
      <c r="U649" s="37" t="str">
        <f t="array" ref="U649">IF($F649="","",IFERROR(INDEX(Config!$F:$F,MATCH($F649,Config!$D:$D,0)),0))</f>
        <v/>
      </c>
    </row>
    <row r="650" ht="15.0" customHeight="1">
      <c r="A650" s="34"/>
      <c r="B650" s="35"/>
      <c r="C650" s="15"/>
      <c r="D650" s="15"/>
      <c r="E650" s="15"/>
      <c r="F650" s="15"/>
      <c r="G650" s="36" t="str">
        <f t="array" ref="G650">IF($F650="","",IFERROR(INDEX(Config!$E:$E,MATCH($F650,Config!$D:$D,0)),0))</f>
        <v/>
      </c>
      <c r="H650" s="16"/>
      <c r="I650" s="36" t="str">
        <f t="shared" si="1"/>
        <v/>
      </c>
      <c r="J650" s="16"/>
      <c r="K650" s="15"/>
      <c r="L650" s="15"/>
      <c r="M650" s="36" t="str">
        <f t="array" ref="M650">IF($A650="","",IF($L650="Atendido",IFERROR($I650*INDEX(Config!$B:$B,MATCH($C650,Config!$A:$A,0)),0),0))</f>
        <v/>
      </c>
      <c r="N650" s="36" t="str">
        <f t="shared" si="2"/>
        <v/>
      </c>
      <c r="O650" s="36" t="str">
        <f t="shared" si="3"/>
        <v/>
      </c>
      <c r="P650" s="15"/>
      <c r="Q650" s="37" t="str">
        <f t="shared" si="4"/>
        <v/>
      </c>
      <c r="R650" s="37" t="str">
        <f t="shared" si="5"/>
        <v/>
      </c>
      <c r="S650" s="32" t="str">
        <f t="shared" si="6"/>
        <v/>
      </c>
      <c r="T650" s="37" t="str">
        <f t="shared" si="7"/>
        <v/>
      </c>
      <c r="U650" s="37" t="str">
        <f t="array" ref="U650">IF($F650="","",IFERROR(INDEX(Config!$F:$F,MATCH($F650,Config!$D:$D,0)),0))</f>
        <v/>
      </c>
    </row>
    <row r="651" ht="15.0" customHeight="1">
      <c r="A651" s="34"/>
      <c r="B651" s="35"/>
      <c r="C651" s="15"/>
      <c r="D651" s="15"/>
      <c r="E651" s="15"/>
      <c r="F651" s="15"/>
      <c r="G651" s="36" t="str">
        <f t="array" ref="G651">IF($F651="","",IFERROR(INDEX(Config!$E:$E,MATCH($F651,Config!$D:$D,0)),0))</f>
        <v/>
      </c>
      <c r="H651" s="16"/>
      <c r="I651" s="36" t="str">
        <f t="shared" si="1"/>
        <v/>
      </c>
      <c r="J651" s="16"/>
      <c r="K651" s="15"/>
      <c r="L651" s="15"/>
      <c r="M651" s="36" t="str">
        <f t="array" ref="M651">IF($A651="","",IF($L651="Atendido",IFERROR($I651*INDEX(Config!$B:$B,MATCH($C651,Config!$A:$A,0)),0),0))</f>
        <v/>
      </c>
      <c r="N651" s="36" t="str">
        <f t="shared" si="2"/>
        <v/>
      </c>
      <c r="O651" s="36" t="str">
        <f t="shared" si="3"/>
        <v/>
      </c>
      <c r="P651" s="15"/>
      <c r="Q651" s="37" t="str">
        <f t="shared" si="4"/>
        <v/>
      </c>
      <c r="R651" s="37" t="str">
        <f t="shared" si="5"/>
        <v/>
      </c>
      <c r="S651" s="32" t="str">
        <f t="shared" si="6"/>
        <v/>
      </c>
      <c r="T651" s="37" t="str">
        <f t="shared" si="7"/>
        <v/>
      </c>
      <c r="U651" s="37" t="str">
        <f t="array" ref="U651">IF($F651="","",IFERROR(INDEX(Config!$F:$F,MATCH($F651,Config!$D:$D,0)),0))</f>
        <v/>
      </c>
    </row>
    <row r="652" ht="15.0" customHeight="1">
      <c r="A652" s="34"/>
      <c r="B652" s="35"/>
      <c r="C652" s="15"/>
      <c r="D652" s="15"/>
      <c r="E652" s="15"/>
      <c r="F652" s="15"/>
      <c r="G652" s="36" t="str">
        <f t="array" ref="G652">IF($F652="","",IFERROR(INDEX(Config!$E:$E,MATCH($F652,Config!$D:$D,0)),0))</f>
        <v/>
      </c>
      <c r="H652" s="16"/>
      <c r="I652" s="36" t="str">
        <f t="shared" si="1"/>
        <v/>
      </c>
      <c r="J652" s="16"/>
      <c r="K652" s="15"/>
      <c r="L652" s="15"/>
      <c r="M652" s="36" t="str">
        <f t="array" ref="M652">IF($A652="","",IF($L652="Atendido",IFERROR($I652*INDEX(Config!$B:$B,MATCH($C652,Config!$A:$A,0)),0),0))</f>
        <v/>
      </c>
      <c r="N652" s="36" t="str">
        <f t="shared" si="2"/>
        <v/>
      </c>
      <c r="O652" s="36" t="str">
        <f t="shared" si="3"/>
        <v/>
      </c>
      <c r="P652" s="15"/>
      <c r="Q652" s="37" t="str">
        <f t="shared" si="4"/>
        <v/>
      </c>
      <c r="R652" s="37" t="str">
        <f t="shared" si="5"/>
        <v/>
      </c>
      <c r="S652" s="32" t="str">
        <f t="shared" si="6"/>
        <v/>
      </c>
      <c r="T652" s="37" t="str">
        <f t="shared" si="7"/>
        <v/>
      </c>
      <c r="U652" s="37" t="str">
        <f t="array" ref="U652">IF($F652="","",IFERROR(INDEX(Config!$F:$F,MATCH($F652,Config!$D:$D,0)),0))</f>
        <v/>
      </c>
    </row>
    <row r="653" ht="15.0" customHeight="1">
      <c r="A653" s="34"/>
      <c r="B653" s="35"/>
      <c r="C653" s="15"/>
      <c r="D653" s="15"/>
      <c r="E653" s="15"/>
      <c r="F653" s="15"/>
      <c r="G653" s="36" t="str">
        <f t="array" ref="G653">IF($F653="","",IFERROR(INDEX(Config!$E:$E,MATCH($F653,Config!$D:$D,0)),0))</f>
        <v/>
      </c>
      <c r="H653" s="16"/>
      <c r="I653" s="36" t="str">
        <f t="shared" si="1"/>
        <v/>
      </c>
      <c r="J653" s="16"/>
      <c r="K653" s="15"/>
      <c r="L653" s="15"/>
      <c r="M653" s="36" t="str">
        <f t="array" ref="M653">IF($A653="","",IF($L653="Atendido",IFERROR($I653*INDEX(Config!$B:$B,MATCH($C653,Config!$A:$A,0)),0),0))</f>
        <v/>
      </c>
      <c r="N653" s="36" t="str">
        <f t="shared" si="2"/>
        <v/>
      </c>
      <c r="O653" s="36" t="str">
        <f t="shared" si="3"/>
        <v/>
      </c>
      <c r="P653" s="15"/>
      <c r="Q653" s="37" t="str">
        <f t="shared" si="4"/>
        <v/>
      </c>
      <c r="R653" s="37" t="str">
        <f t="shared" si="5"/>
        <v/>
      </c>
      <c r="S653" s="32" t="str">
        <f t="shared" si="6"/>
        <v/>
      </c>
      <c r="T653" s="37" t="str">
        <f t="shared" si="7"/>
        <v/>
      </c>
      <c r="U653" s="37" t="str">
        <f t="array" ref="U653">IF($F653="","",IFERROR(INDEX(Config!$F:$F,MATCH($F653,Config!$D:$D,0)),0))</f>
        <v/>
      </c>
    </row>
    <row r="654" ht="15.0" customHeight="1">
      <c r="A654" s="34"/>
      <c r="B654" s="35"/>
      <c r="C654" s="15"/>
      <c r="D654" s="15"/>
      <c r="E654" s="15"/>
      <c r="F654" s="15"/>
      <c r="G654" s="36" t="str">
        <f t="array" ref="G654">IF($F654="","",IFERROR(INDEX(Config!$E:$E,MATCH($F654,Config!$D:$D,0)),0))</f>
        <v/>
      </c>
      <c r="H654" s="16"/>
      <c r="I654" s="36" t="str">
        <f t="shared" si="1"/>
        <v/>
      </c>
      <c r="J654" s="16"/>
      <c r="K654" s="15"/>
      <c r="L654" s="15"/>
      <c r="M654" s="36" t="str">
        <f t="array" ref="M654">IF($A654="","",IF($L654="Atendido",IFERROR($I654*INDEX(Config!$B:$B,MATCH($C654,Config!$A:$A,0)),0),0))</f>
        <v/>
      </c>
      <c r="N654" s="36" t="str">
        <f t="shared" si="2"/>
        <v/>
      </c>
      <c r="O654" s="36" t="str">
        <f t="shared" si="3"/>
        <v/>
      </c>
      <c r="P654" s="15"/>
      <c r="Q654" s="37" t="str">
        <f t="shared" si="4"/>
        <v/>
      </c>
      <c r="R654" s="37" t="str">
        <f t="shared" si="5"/>
        <v/>
      </c>
      <c r="S654" s="32" t="str">
        <f t="shared" si="6"/>
        <v/>
      </c>
      <c r="T654" s="37" t="str">
        <f t="shared" si="7"/>
        <v/>
      </c>
      <c r="U654" s="37" t="str">
        <f t="array" ref="U654">IF($F654="","",IFERROR(INDEX(Config!$F:$F,MATCH($F654,Config!$D:$D,0)),0))</f>
        <v/>
      </c>
    </row>
    <row r="655" ht="15.0" customHeight="1">
      <c r="A655" s="34"/>
      <c r="B655" s="35"/>
      <c r="C655" s="15"/>
      <c r="D655" s="15"/>
      <c r="E655" s="15"/>
      <c r="F655" s="15"/>
      <c r="G655" s="36" t="str">
        <f t="array" ref="G655">IF($F655="","",IFERROR(INDEX(Config!$E:$E,MATCH($F655,Config!$D:$D,0)),0))</f>
        <v/>
      </c>
      <c r="H655" s="16"/>
      <c r="I655" s="36" t="str">
        <f t="shared" si="1"/>
        <v/>
      </c>
      <c r="J655" s="16"/>
      <c r="K655" s="15"/>
      <c r="L655" s="15"/>
      <c r="M655" s="36" t="str">
        <f t="array" ref="M655">IF($A655="","",IF($L655="Atendido",IFERROR($I655*INDEX(Config!$B:$B,MATCH($C655,Config!$A:$A,0)),0),0))</f>
        <v/>
      </c>
      <c r="N655" s="36" t="str">
        <f t="shared" si="2"/>
        <v/>
      </c>
      <c r="O655" s="36" t="str">
        <f t="shared" si="3"/>
        <v/>
      </c>
      <c r="P655" s="15"/>
      <c r="Q655" s="37" t="str">
        <f t="shared" si="4"/>
        <v/>
      </c>
      <c r="R655" s="37" t="str">
        <f t="shared" si="5"/>
        <v/>
      </c>
      <c r="S655" s="32" t="str">
        <f t="shared" si="6"/>
        <v/>
      </c>
      <c r="T655" s="37" t="str">
        <f t="shared" si="7"/>
        <v/>
      </c>
      <c r="U655" s="37" t="str">
        <f t="array" ref="U655">IF($F655="","",IFERROR(INDEX(Config!$F:$F,MATCH($F655,Config!$D:$D,0)),0))</f>
        <v/>
      </c>
    </row>
    <row r="656" ht="15.0" customHeight="1">
      <c r="A656" s="34"/>
      <c r="B656" s="35"/>
      <c r="C656" s="15"/>
      <c r="D656" s="15"/>
      <c r="E656" s="15"/>
      <c r="F656" s="15"/>
      <c r="G656" s="36" t="str">
        <f t="array" ref="G656">IF($F656="","",IFERROR(INDEX(Config!$E:$E,MATCH($F656,Config!$D:$D,0)),0))</f>
        <v/>
      </c>
      <c r="H656" s="16"/>
      <c r="I656" s="36" t="str">
        <f t="shared" si="1"/>
        <v/>
      </c>
      <c r="J656" s="16"/>
      <c r="K656" s="15"/>
      <c r="L656" s="15"/>
      <c r="M656" s="36" t="str">
        <f t="array" ref="M656">IF($A656="","",IF($L656="Atendido",IFERROR($I656*INDEX(Config!$B:$B,MATCH($C656,Config!$A:$A,0)),0),0))</f>
        <v/>
      </c>
      <c r="N656" s="36" t="str">
        <f t="shared" si="2"/>
        <v/>
      </c>
      <c r="O656" s="36" t="str">
        <f t="shared" si="3"/>
        <v/>
      </c>
      <c r="P656" s="15"/>
      <c r="Q656" s="37" t="str">
        <f t="shared" si="4"/>
        <v/>
      </c>
      <c r="R656" s="37" t="str">
        <f t="shared" si="5"/>
        <v/>
      </c>
      <c r="S656" s="32" t="str">
        <f t="shared" si="6"/>
        <v/>
      </c>
      <c r="T656" s="37" t="str">
        <f t="shared" si="7"/>
        <v/>
      </c>
      <c r="U656" s="37" t="str">
        <f t="array" ref="U656">IF($F656="","",IFERROR(INDEX(Config!$F:$F,MATCH($F656,Config!$D:$D,0)),0))</f>
        <v/>
      </c>
    </row>
    <row r="657" ht="15.0" customHeight="1">
      <c r="A657" s="34"/>
      <c r="B657" s="35"/>
      <c r="C657" s="15"/>
      <c r="D657" s="15"/>
      <c r="E657" s="15"/>
      <c r="F657" s="15"/>
      <c r="G657" s="36" t="str">
        <f t="array" ref="G657">IF($F657="","",IFERROR(INDEX(Config!$E:$E,MATCH($F657,Config!$D:$D,0)),0))</f>
        <v/>
      </c>
      <c r="H657" s="16"/>
      <c r="I657" s="36" t="str">
        <f t="shared" si="1"/>
        <v/>
      </c>
      <c r="J657" s="16"/>
      <c r="K657" s="15"/>
      <c r="L657" s="15"/>
      <c r="M657" s="36" t="str">
        <f t="array" ref="M657">IF($A657="","",IF($L657="Atendido",IFERROR($I657*INDEX(Config!$B:$B,MATCH($C657,Config!$A:$A,0)),0),0))</f>
        <v/>
      </c>
      <c r="N657" s="36" t="str">
        <f t="shared" si="2"/>
        <v/>
      </c>
      <c r="O657" s="36" t="str">
        <f t="shared" si="3"/>
        <v/>
      </c>
      <c r="P657" s="15"/>
      <c r="Q657" s="37" t="str">
        <f t="shared" si="4"/>
        <v/>
      </c>
      <c r="R657" s="37" t="str">
        <f t="shared" si="5"/>
        <v/>
      </c>
      <c r="S657" s="32" t="str">
        <f t="shared" si="6"/>
        <v/>
      </c>
      <c r="T657" s="37" t="str">
        <f t="shared" si="7"/>
        <v/>
      </c>
      <c r="U657" s="37" t="str">
        <f t="array" ref="U657">IF($F657="","",IFERROR(INDEX(Config!$F:$F,MATCH($F657,Config!$D:$D,0)),0))</f>
        <v/>
      </c>
    </row>
    <row r="658" ht="15.0" customHeight="1">
      <c r="A658" s="34"/>
      <c r="B658" s="35"/>
      <c r="C658" s="15"/>
      <c r="D658" s="15"/>
      <c r="E658" s="15"/>
      <c r="F658" s="15"/>
      <c r="G658" s="36" t="str">
        <f t="array" ref="G658">IF($F658="","",IFERROR(INDEX(Config!$E:$E,MATCH($F658,Config!$D:$D,0)),0))</f>
        <v/>
      </c>
      <c r="H658" s="16"/>
      <c r="I658" s="36" t="str">
        <f t="shared" si="1"/>
        <v/>
      </c>
      <c r="J658" s="16"/>
      <c r="K658" s="15"/>
      <c r="L658" s="15"/>
      <c r="M658" s="36" t="str">
        <f t="array" ref="M658">IF($A658="","",IF($L658="Atendido",IFERROR($I658*INDEX(Config!$B:$B,MATCH($C658,Config!$A:$A,0)),0),0))</f>
        <v/>
      </c>
      <c r="N658" s="36" t="str">
        <f t="shared" si="2"/>
        <v/>
      </c>
      <c r="O658" s="36" t="str">
        <f t="shared" si="3"/>
        <v/>
      </c>
      <c r="P658" s="15"/>
      <c r="Q658" s="37" t="str">
        <f t="shared" si="4"/>
        <v/>
      </c>
      <c r="R658" s="37" t="str">
        <f t="shared" si="5"/>
        <v/>
      </c>
      <c r="S658" s="32" t="str">
        <f t="shared" si="6"/>
        <v/>
      </c>
      <c r="T658" s="37" t="str">
        <f t="shared" si="7"/>
        <v/>
      </c>
      <c r="U658" s="37" t="str">
        <f t="array" ref="U658">IF($F658="","",IFERROR(INDEX(Config!$F:$F,MATCH($F658,Config!$D:$D,0)),0))</f>
        <v/>
      </c>
    </row>
    <row r="659" ht="15.0" customHeight="1">
      <c r="A659" s="34"/>
      <c r="B659" s="35"/>
      <c r="C659" s="15"/>
      <c r="D659" s="15"/>
      <c r="E659" s="15"/>
      <c r="F659" s="15"/>
      <c r="G659" s="36" t="str">
        <f t="array" ref="G659">IF($F659="","",IFERROR(INDEX(Config!$E:$E,MATCH($F659,Config!$D:$D,0)),0))</f>
        <v/>
      </c>
      <c r="H659" s="16"/>
      <c r="I659" s="36" t="str">
        <f t="shared" si="1"/>
        <v/>
      </c>
      <c r="J659" s="16"/>
      <c r="K659" s="15"/>
      <c r="L659" s="15"/>
      <c r="M659" s="36" t="str">
        <f t="array" ref="M659">IF($A659="","",IF($L659="Atendido",IFERROR($I659*INDEX(Config!$B:$B,MATCH($C659,Config!$A:$A,0)),0),0))</f>
        <v/>
      </c>
      <c r="N659" s="36" t="str">
        <f t="shared" si="2"/>
        <v/>
      </c>
      <c r="O659" s="36" t="str">
        <f t="shared" si="3"/>
        <v/>
      </c>
      <c r="P659" s="15"/>
      <c r="Q659" s="37" t="str">
        <f t="shared" si="4"/>
        <v/>
      </c>
      <c r="R659" s="37" t="str">
        <f t="shared" si="5"/>
        <v/>
      </c>
      <c r="S659" s="32" t="str">
        <f t="shared" si="6"/>
        <v/>
      </c>
      <c r="T659" s="37" t="str">
        <f t="shared" si="7"/>
        <v/>
      </c>
      <c r="U659" s="37" t="str">
        <f t="array" ref="U659">IF($F659="","",IFERROR(INDEX(Config!$F:$F,MATCH($F659,Config!$D:$D,0)),0))</f>
        <v/>
      </c>
    </row>
    <row r="660" ht="15.0" customHeight="1">
      <c r="A660" s="34"/>
      <c r="B660" s="35"/>
      <c r="C660" s="15"/>
      <c r="D660" s="15"/>
      <c r="E660" s="15"/>
      <c r="F660" s="15"/>
      <c r="G660" s="36" t="str">
        <f t="array" ref="G660">IF($F660="","",IFERROR(INDEX(Config!$E:$E,MATCH($F660,Config!$D:$D,0)),0))</f>
        <v/>
      </c>
      <c r="H660" s="16"/>
      <c r="I660" s="36" t="str">
        <f t="shared" si="1"/>
        <v/>
      </c>
      <c r="J660" s="16"/>
      <c r="K660" s="15"/>
      <c r="L660" s="15"/>
      <c r="M660" s="36" t="str">
        <f t="array" ref="M660">IF($A660="","",IF($L660="Atendido",IFERROR($I660*INDEX(Config!$B:$B,MATCH($C660,Config!$A:$A,0)),0),0))</f>
        <v/>
      </c>
      <c r="N660" s="36" t="str">
        <f t="shared" si="2"/>
        <v/>
      </c>
      <c r="O660" s="36" t="str">
        <f t="shared" si="3"/>
        <v/>
      </c>
      <c r="P660" s="15"/>
      <c r="Q660" s="37" t="str">
        <f t="shared" si="4"/>
        <v/>
      </c>
      <c r="R660" s="37" t="str">
        <f t="shared" si="5"/>
        <v/>
      </c>
      <c r="S660" s="32" t="str">
        <f t="shared" si="6"/>
        <v/>
      </c>
      <c r="T660" s="37" t="str">
        <f t="shared" si="7"/>
        <v/>
      </c>
      <c r="U660" s="37" t="str">
        <f t="array" ref="U660">IF($F660="","",IFERROR(INDEX(Config!$F:$F,MATCH($F660,Config!$D:$D,0)),0))</f>
        <v/>
      </c>
    </row>
    <row r="661" ht="15.0" customHeight="1">
      <c r="A661" s="34"/>
      <c r="B661" s="35"/>
      <c r="C661" s="15"/>
      <c r="D661" s="15"/>
      <c r="E661" s="15"/>
      <c r="F661" s="15"/>
      <c r="G661" s="36" t="str">
        <f t="array" ref="G661">IF($F661="","",IFERROR(INDEX(Config!$E:$E,MATCH($F661,Config!$D:$D,0)),0))</f>
        <v/>
      </c>
      <c r="H661" s="16"/>
      <c r="I661" s="36" t="str">
        <f t="shared" si="1"/>
        <v/>
      </c>
      <c r="J661" s="16"/>
      <c r="K661" s="15"/>
      <c r="L661" s="15"/>
      <c r="M661" s="36" t="str">
        <f t="array" ref="M661">IF($A661="","",IF($L661="Atendido",IFERROR($I661*INDEX(Config!$B:$B,MATCH($C661,Config!$A:$A,0)),0),0))</f>
        <v/>
      </c>
      <c r="N661" s="36" t="str">
        <f t="shared" si="2"/>
        <v/>
      </c>
      <c r="O661" s="36" t="str">
        <f t="shared" si="3"/>
        <v/>
      </c>
      <c r="P661" s="15"/>
      <c r="Q661" s="37" t="str">
        <f t="shared" si="4"/>
        <v/>
      </c>
      <c r="R661" s="37" t="str">
        <f t="shared" si="5"/>
        <v/>
      </c>
      <c r="S661" s="32" t="str">
        <f t="shared" si="6"/>
        <v/>
      </c>
      <c r="T661" s="37" t="str">
        <f t="shared" si="7"/>
        <v/>
      </c>
      <c r="U661" s="37" t="str">
        <f t="array" ref="U661">IF($F661="","",IFERROR(INDEX(Config!$F:$F,MATCH($F661,Config!$D:$D,0)),0))</f>
        <v/>
      </c>
    </row>
    <row r="662" ht="15.0" customHeight="1">
      <c r="A662" s="34"/>
      <c r="B662" s="35"/>
      <c r="C662" s="15"/>
      <c r="D662" s="15"/>
      <c r="E662" s="15"/>
      <c r="F662" s="15"/>
      <c r="G662" s="36" t="str">
        <f t="array" ref="G662">IF($F662="","",IFERROR(INDEX(Config!$E:$E,MATCH($F662,Config!$D:$D,0)),0))</f>
        <v/>
      </c>
      <c r="H662" s="16"/>
      <c r="I662" s="36" t="str">
        <f t="shared" si="1"/>
        <v/>
      </c>
      <c r="J662" s="16"/>
      <c r="K662" s="15"/>
      <c r="L662" s="15"/>
      <c r="M662" s="36" t="str">
        <f t="array" ref="M662">IF($A662="","",IF($L662="Atendido",IFERROR($I662*INDEX(Config!$B:$B,MATCH($C662,Config!$A:$A,0)),0),0))</f>
        <v/>
      </c>
      <c r="N662" s="36" t="str">
        <f t="shared" si="2"/>
        <v/>
      </c>
      <c r="O662" s="36" t="str">
        <f t="shared" si="3"/>
        <v/>
      </c>
      <c r="P662" s="15"/>
      <c r="Q662" s="37" t="str">
        <f t="shared" si="4"/>
        <v/>
      </c>
      <c r="R662" s="37" t="str">
        <f t="shared" si="5"/>
        <v/>
      </c>
      <c r="S662" s="32" t="str">
        <f t="shared" si="6"/>
        <v/>
      </c>
      <c r="T662" s="37" t="str">
        <f t="shared" si="7"/>
        <v/>
      </c>
      <c r="U662" s="37" t="str">
        <f t="array" ref="U662">IF($F662="","",IFERROR(INDEX(Config!$F:$F,MATCH($F662,Config!$D:$D,0)),0))</f>
        <v/>
      </c>
    </row>
    <row r="663" ht="15.0" customHeight="1">
      <c r="A663" s="34"/>
      <c r="B663" s="35"/>
      <c r="C663" s="15"/>
      <c r="D663" s="15"/>
      <c r="E663" s="15"/>
      <c r="F663" s="15"/>
      <c r="G663" s="36" t="str">
        <f t="array" ref="G663">IF($F663="","",IFERROR(INDEX(Config!$E:$E,MATCH($F663,Config!$D:$D,0)),0))</f>
        <v/>
      </c>
      <c r="H663" s="16"/>
      <c r="I663" s="36" t="str">
        <f t="shared" si="1"/>
        <v/>
      </c>
      <c r="J663" s="16"/>
      <c r="K663" s="15"/>
      <c r="L663" s="15"/>
      <c r="M663" s="36" t="str">
        <f t="array" ref="M663">IF($A663="","",IF($L663="Atendido",IFERROR($I663*INDEX(Config!$B:$B,MATCH($C663,Config!$A:$A,0)),0),0))</f>
        <v/>
      </c>
      <c r="N663" s="36" t="str">
        <f t="shared" si="2"/>
        <v/>
      </c>
      <c r="O663" s="36" t="str">
        <f t="shared" si="3"/>
        <v/>
      </c>
      <c r="P663" s="15"/>
      <c r="Q663" s="37" t="str">
        <f t="shared" si="4"/>
        <v/>
      </c>
      <c r="R663" s="37" t="str">
        <f t="shared" si="5"/>
        <v/>
      </c>
      <c r="S663" s="32" t="str">
        <f t="shared" si="6"/>
        <v/>
      </c>
      <c r="T663" s="37" t="str">
        <f t="shared" si="7"/>
        <v/>
      </c>
      <c r="U663" s="37" t="str">
        <f t="array" ref="U663">IF($F663="","",IFERROR(INDEX(Config!$F:$F,MATCH($F663,Config!$D:$D,0)),0))</f>
        <v/>
      </c>
    </row>
    <row r="664" ht="15.0" customHeight="1">
      <c r="A664" s="34"/>
      <c r="B664" s="35"/>
      <c r="C664" s="15"/>
      <c r="D664" s="15"/>
      <c r="E664" s="15"/>
      <c r="F664" s="15"/>
      <c r="G664" s="36" t="str">
        <f t="array" ref="G664">IF($F664="","",IFERROR(INDEX(Config!$E:$E,MATCH($F664,Config!$D:$D,0)),0))</f>
        <v/>
      </c>
      <c r="H664" s="16"/>
      <c r="I664" s="36" t="str">
        <f t="shared" si="1"/>
        <v/>
      </c>
      <c r="J664" s="16"/>
      <c r="K664" s="15"/>
      <c r="L664" s="15"/>
      <c r="M664" s="36" t="str">
        <f t="array" ref="M664">IF($A664="","",IF($L664="Atendido",IFERROR($I664*INDEX(Config!$B:$B,MATCH($C664,Config!$A:$A,0)),0),0))</f>
        <v/>
      </c>
      <c r="N664" s="36" t="str">
        <f t="shared" si="2"/>
        <v/>
      </c>
      <c r="O664" s="36" t="str">
        <f t="shared" si="3"/>
        <v/>
      </c>
      <c r="P664" s="15"/>
      <c r="Q664" s="37" t="str">
        <f t="shared" si="4"/>
        <v/>
      </c>
      <c r="R664" s="37" t="str">
        <f t="shared" si="5"/>
        <v/>
      </c>
      <c r="S664" s="32" t="str">
        <f t="shared" si="6"/>
        <v/>
      </c>
      <c r="T664" s="37" t="str">
        <f t="shared" si="7"/>
        <v/>
      </c>
      <c r="U664" s="37" t="str">
        <f t="array" ref="U664">IF($F664="","",IFERROR(INDEX(Config!$F:$F,MATCH($F664,Config!$D:$D,0)),0))</f>
        <v/>
      </c>
    </row>
    <row r="665" ht="15.0" customHeight="1">
      <c r="A665" s="34"/>
      <c r="B665" s="35"/>
      <c r="C665" s="15"/>
      <c r="D665" s="15"/>
      <c r="E665" s="15"/>
      <c r="F665" s="15"/>
      <c r="G665" s="36" t="str">
        <f t="array" ref="G665">IF($F665="","",IFERROR(INDEX(Config!$E:$E,MATCH($F665,Config!$D:$D,0)),0))</f>
        <v/>
      </c>
      <c r="H665" s="16"/>
      <c r="I665" s="36" t="str">
        <f t="shared" si="1"/>
        <v/>
      </c>
      <c r="J665" s="16"/>
      <c r="K665" s="15"/>
      <c r="L665" s="15"/>
      <c r="M665" s="36" t="str">
        <f t="array" ref="M665">IF($A665="","",IF($L665="Atendido",IFERROR($I665*INDEX(Config!$B:$B,MATCH($C665,Config!$A:$A,0)),0),0))</f>
        <v/>
      </c>
      <c r="N665" s="36" t="str">
        <f t="shared" si="2"/>
        <v/>
      </c>
      <c r="O665" s="36" t="str">
        <f t="shared" si="3"/>
        <v/>
      </c>
      <c r="P665" s="15"/>
      <c r="Q665" s="37" t="str">
        <f t="shared" si="4"/>
        <v/>
      </c>
      <c r="R665" s="37" t="str">
        <f t="shared" si="5"/>
        <v/>
      </c>
      <c r="S665" s="32" t="str">
        <f t="shared" si="6"/>
        <v/>
      </c>
      <c r="T665" s="37" t="str">
        <f t="shared" si="7"/>
        <v/>
      </c>
      <c r="U665" s="37" t="str">
        <f t="array" ref="U665">IF($F665="","",IFERROR(INDEX(Config!$F:$F,MATCH($F665,Config!$D:$D,0)),0))</f>
        <v/>
      </c>
    </row>
    <row r="666" ht="15.0" customHeight="1">
      <c r="A666" s="34"/>
      <c r="B666" s="35"/>
      <c r="C666" s="15"/>
      <c r="D666" s="15"/>
      <c r="E666" s="15"/>
      <c r="F666" s="15"/>
      <c r="G666" s="36" t="str">
        <f t="array" ref="G666">IF($F666="","",IFERROR(INDEX(Config!$E:$E,MATCH($F666,Config!$D:$D,0)),0))</f>
        <v/>
      </c>
      <c r="H666" s="16"/>
      <c r="I666" s="36" t="str">
        <f t="shared" si="1"/>
        <v/>
      </c>
      <c r="J666" s="16"/>
      <c r="K666" s="15"/>
      <c r="L666" s="15"/>
      <c r="M666" s="36" t="str">
        <f t="array" ref="M666">IF($A666="","",IF($L666="Atendido",IFERROR($I666*INDEX(Config!$B:$B,MATCH($C666,Config!$A:$A,0)),0),0))</f>
        <v/>
      </c>
      <c r="N666" s="36" t="str">
        <f t="shared" si="2"/>
        <v/>
      </c>
      <c r="O666" s="36" t="str">
        <f t="shared" si="3"/>
        <v/>
      </c>
      <c r="P666" s="15"/>
      <c r="Q666" s="37" t="str">
        <f t="shared" si="4"/>
        <v/>
      </c>
      <c r="R666" s="37" t="str">
        <f t="shared" si="5"/>
        <v/>
      </c>
      <c r="S666" s="32" t="str">
        <f t="shared" si="6"/>
        <v/>
      </c>
      <c r="T666" s="37" t="str">
        <f t="shared" si="7"/>
        <v/>
      </c>
      <c r="U666" s="37" t="str">
        <f t="array" ref="U666">IF($F666="","",IFERROR(INDEX(Config!$F:$F,MATCH($F666,Config!$D:$D,0)),0))</f>
        <v/>
      </c>
    </row>
    <row r="667" ht="15.0" customHeight="1">
      <c r="A667" s="34"/>
      <c r="B667" s="35"/>
      <c r="C667" s="15"/>
      <c r="D667" s="15"/>
      <c r="E667" s="15"/>
      <c r="F667" s="15"/>
      <c r="G667" s="36" t="str">
        <f t="array" ref="G667">IF($F667="","",IFERROR(INDEX(Config!$E:$E,MATCH($F667,Config!$D:$D,0)),0))</f>
        <v/>
      </c>
      <c r="H667" s="16"/>
      <c r="I667" s="36" t="str">
        <f t="shared" si="1"/>
        <v/>
      </c>
      <c r="J667" s="16"/>
      <c r="K667" s="15"/>
      <c r="L667" s="15"/>
      <c r="M667" s="36" t="str">
        <f t="array" ref="M667">IF($A667="","",IF($L667="Atendido",IFERROR($I667*INDEX(Config!$B:$B,MATCH($C667,Config!$A:$A,0)),0),0))</f>
        <v/>
      </c>
      <c r="N667" s="36" t="str">
        <f t="shared" si="2"/>
        <v/>
      </c>
      <c r="O667" s="36" t="str">
        <f t="shared" si="3"/>
        <v/>
      </c>
      <c r="P667" s="15"/>
      <c r="Q667" s="37" t="str">
        <f t="shared" si="4"/>
        <v/>
      </c>
      <c r="R667" s="37" t="str">
        <f t="shared" si="5"/>
        <v/>
      </c>
      <c r="S667" s="32" t="str">
        <f t="shared" si="6"/>
        <v/>
      </c>
      <c r="T667" s="37" t="str">
        <f t="shared" si="7"/>
        <v/>
      </c>
      <c r="U667" s="37" t="str">
        <f t="array" ref="U667">IF($F667="","",IFERROR(INDEX(Config!$F:$F,MATCH($F667,Config!$D:$D,0)),0))</f>
        <v/>
      </c>
    </row>
    <row r="668" ht="15.0" customHeight="1">
      <c r="A668" s="34"/>
      <c r="B668" s="35"/>
      <c r="C668" s="15"/>
      <c r="D668" s="15"/>
      <c r="E668" s="15"/>
      <c r="F668" s="15"/>
      <c r="G668" s="36" t="str">
        <f t="array" ref="G668">IF($F668="","",IFERROR(INDEX(Config!$E:$E,MATCH($F668,Config!$D:$D,0)),0))</f>
        <v/>
      </c>
      <c r="H668" s="16"/>
      <c r="I668" s="36" t="str">
        <f t="shared" si="1"/>
        <v/>
      </c>
      <c r="J668" s="16"/>
      <c r="K668" s="15"/>
      <c r="L668" s="15"/>
      <c r="M668" s="36" t="str">
        <f t="array" ref="M668">IF($A668="","",IF($L668="Atendido",IFERROR($I668*INDEX(Config!$B:$B,MATCH($C668,Config!$A:$A,0)),0),0))</f>
        <v/>
      </c>
      <c r="N668" s="36" t="str">
        <f t="shared" si="2"/>
        <v/>
      </c>
      <c r="O668" s="36" t="str">
        <f t="shared" si="3"/>
        <v/>
      </c>
      <c r="P668" s="15"/>
      <c r="Q668" s="37" t="str">
        <f t="shared" si="4"/>
        <v/>
      </c>
      <c r="R668" s="37" t="str">
        <f t="shared" si="5"/>
        <v/>
      </c>
      <c r="S668" s="32" t="str">
        <f t="shared" si="6"/>
        <v/>
      </c>
      <c r="T668" s="37" t="str">
        <f t="shared" si="7"/>
        <v/>
      </c>
      <c r="U668" s="37" t="str">
        <f t="array" ref="U668">IF($F668="","",IFERROR(INDEX(Config!$F:$F,MATCH($F668,Config!$D:$D,0)),0))</f>
        <v/>
      </c>
    </row>
    <row r="669" ht="15.0" customHeight="1">
      <c r="A669" s="34"/>
      <c r="B669" s="35"/>
      <c r="C669" s="15"/>
      <c r="D669" s="15"/>
      <c r="E669" s="15"/>
      <c r="F669" s="15"/>
      <c r="G669" s="36" t="str">
        <f t="array" ref="G669">IF($F669="","",IFERROR(INDEX(Config!$E:$E,MATCH($F669,Config!$D:$D,0)),0))</f>
        <v/>
      </c>
      <c r="H669" s="16"/>
      <c r="I669" s="36" t="str">
        <f t="shared" si="1"/>
        <v/>
      </c>
      <c r="J669" s="16"/>
      <c r="K669" s="15"/>
      <c r="L669" s="15"/>
      <c r="M669" s="36" t="str">
        <f t="array" ref="M669">IF($A669="","",IF($L669="Atendido",IFERROR($I669*INDEX(Config!$B:$B,MATCH($C669,Config!$A:$A,0)),0),0))</f>
        <v/>
      </c>
      <c r="N669" s="36" t="str">
        <f t="shared" si="2"/>
        <v/>
      </c>
      <c r="O669" s="36" t="str">
        <f t="shared" si="3"/>
        <v/>
      </c>
      <c r="P669" s="15"/>
      <c r="Q669" s="37" t="str">
        <f t="shared" si="4"/>
        <v/>
      </c>
      <c r="R669" s="37" t="str">
        <f t="shared" si="5"/>
        <v/>
      </c>
      <c r="S669" s="32" t="str">
        <f t="shared" si="6"/>
        <v/>
      </c>
      <c r="T669" s="37" t="str">
        <f t="shared" si="7"/>
        <v/>
      </c>
      <c r="U669" s="37" t="str">
        <f t="array" ref="U669">IF($F669="","",IFERROR(INDEX(Config!$F:$F,MATCH($F669,Config!$D:$D,0)),0))</f>
        <v/>
      </c>
    </row>
    <row r="670" ht="15.0" customHeight="1">
      <c r="A670" s="34"/>
      <c r="B670" s="35"/>
      <c r="C670" s="15"/>
      <c r="D670" s="15"/>
      <c r="E670" s="15"/>
      <c r="F670" s="15"/>
      <c r="G670" s="36" t="str">
        <f t="array" ref="G670">IF($F670="","",IFERROR(INDEX(Config!$E:$E,MATCH($F670,Config!$D:$D,0)),0))</f>
        <v/>
      </c>
      <c r="H670" s="16"/>
      <c r="I670" s="36" t="str">
        <f t="shared" si="1"/>
        <v/>
      </c>
      <c r="J670" s="16"/>
      <c r="K670" s="15"/>
      <c r="L670" s="15"/>
      <c r="M670" s="36" t="str">
        <f t="array" ref="M670">IF($A670="","",IF($L670="Atendido",IFERROR($I670*INDEX(Config!$B:$B,MATCH($C670,Config!$A:$A,0)),0),0))</f>
        <v/>
      </c>
      <c r="N670" s="36" t="str">
        <f t="shared" si="2"/>
        <v/>
      </c>
      <c r="O670" s="36" t="str">
        <f t="shared" si="3"/>
        <v/>
      </c>
      <c r="P670" s="15"/>
      <c r="Q670" s="37" t="str">
        <f t="shared" si="4"/>
        <v/>
      </c>
      <c r="R670" s="37" t="str">
        <f t="shared" si="5"/>
        <v/>
      </c>
      <c r="S670" s="32" t="str">
        <f t="shared" si="6"/>
        <v/>
      </c>
      <c r="T670" s="37" t="str">
        <f t="shared" si="7"/>
        <v/>
      </c>
      <c r="U670" s="37" t="str">
        <f t="array" ref="U670">IF($F670="","",IFERROR(INDEX(Config!$F:$F,MATCH($F670,Config!$D:$D,0)),0))</f>
        <v/>
      </c>
    </row>
    <row r="671" ht="15.0" customHeight="1">
      <c r="A671" s="34"/>
      <c r="B671" s="35"/>
      <c r="C671" s="15"/>
      <c r="D671" s="15"/>
      <c r="E671" s="15"/>
      <c r="F671" s="15"/>
      <c r="G671" s="36" t="str">
        <f t="array" ref="G671">IF($F671="","",IFERROR(INDEX(Config!$E:$E,MATCH($F671,Config!$D:$D,0)),0))</f>
        <v/>
      </c>
      <c r="H671" s="16"/>
      <c r="I671" s="36" t="str">
        <f t="shared" si="1"/>
        <v/>
      </c>
      <c r="J671" s="16"/>
      <c r="K671" s="15"/>
      <c r="L671" s="15"/>
      <c r="M671" s="36" t="str">
        <f t="array" ref="M671">IF($A671="","",IF($L671="Atendido",IFERROR($I671*INDEX(Config!$B:$B,MATCH($C671,Config!$A:$A,0)),0),0))</f>
        <v/>
      </c>
      <c r="N671" s="36" t="str">
        <f t="shared" si="2"/>
        <v/>
      </c>
      <c r="O671" s="36" t="str">
        <f t="shared" si="3"/>
        <v/>
      </c>
      <c r="P671" s="15"/>
      <c r="Q671" s="37" t="str">
        <f t="shared" si="4"/>
        <v/>
      </c>
      <c r="R671" s="37" t="str">
        <f t="shared" si="5"/>
        <v/>
      </c>
      <c r="S671" s="32" t="str">
        <f t="shared" si="6"/>
        <v/>
      </c>
      <c r="T671" s="37" t="str">
        <f t="shared" si="7"/>
        <v/>
      </c>
      <c r="U671" s="37" t="str">
        <f t="array" ref="U671">IF($F671="","",IFERROR(INDEX(Config!$F:$F,MATCH($F671,Config!$D:$D,0)),0))</f>
        <v/>
      </c>
    </row>
    <row r="672" ht="15.0" customHeight="1">
      <c r="A672" s="34"/>
      <c r="B672" s="35"/>
      <c r="C672" s="15"/>
      <c r="D672" s="15"/>
      <c r="E672" s="15"/>
      <c r="F672" s="15"/>
      <c r="G672" s="36" t="str">
        <f t="array" ref="G672">IF($F672="","",IFERROR(INDEX(Config!$E:$E,MATCH($F672,Config!$D:$D,0)),0))</f>
        <v/>
      </c>
      <c r="H672" s="16"/>
      <c r="I672" s="36" t="str">
        <f t="shared" si="1"/>
        <v/>
      </c>
      <c r="J672" s="16"/>
      <c r="K672" s="15"/>
      <c r="L672" s="15"/>
      <c r="M672" s="36" t="str">
        <f t="array" ref="M672">IF($A672="","",IF($L672="Atendido",IFERROR($I672*INDEX(Config!$B:$B,MATCH($C672,Config!$A:$A,0)),0),0))</f>
        <v/>
      </c>
      <c r="N672" s="36" t="str">
        <f t="shared" si="2"/>
        <v/>
      </c>
      <c r="O672" s="36" t="str">
        <f t="shared" si="3"/>
        <v/>
      </c>
      <c r="P672" s="15"/>
      <c r="Q672" s="37" t="str">
        <f t="shared" si="4"/>
        <v/>
      </c>
      <c r="R672" s="37" t="str">
        <f t="shared" si="5"/>
        <v/>
      </c>
      <c r="S672" s="32" t="str">
        <f t="shared" si="6"/>
        <v/>
      </c>
      <c r="T672" s="37" t="str">
        <f t="shared" si="7"/>
        <v/>
      </c>
      <c r="U672" s="37" t="str">
        <f t="array" ref="U672">IF($F672="","",IFERROR(INDEX(Config!$F:$F,MATCH($F672,Config!$D:$D,0)),0))</f>
        <v/>
      </c>
    </row>
    <row r="673" ht="15.0" customHeight="1">
      <c r="A673" s="34"/>
      <c r="B673" s="35"/>
      <c r="C673" s="15"/>
      <c r="D673" s="15"/>
      <c r="E673" s="15"/>
      <c r="F673" s="15"/>
      <c r="G673" s="36" t="str">
        <f t="array" ref="G673">IF($F673="","",IFERROR(INDEX(Config!$E:$E,MATCH($F673,Config!$D:$D,0)),0))</f>
        <v/>
      </c>
      <c r="H673" s="16"/>
      <c r="I673" s="36" t="str">
        <f t="shared" si="1"/>
        <v/>
      </c>
      <c r="J673" s="16"/>
      <c r="K673" s="15"/>
      <c r="L673" s="15"/>
      <c r="M673" s="36" t="str">
        <f t="array" ref="M673">IF($A673="","",IF($L673="Atendido",IFERROR($I673*INDEX(Config!$B:$B,MATCH($C673,Config!$A:$A,0)),0),0))</f>
        <v/>
      </c>
      <c r="N673" s="36" t="str">
        <f t="shared" si="2"/>
        <v/>
      </c>
      <c r="O673" s="36" t="str">
        <f t="shared" si="3"/>
        <v/>
      </c>
      <c r="P673" s="15"/>
      <c r="Q673" s="37" t="str">
        <f t="shared" si="4"/>
        <v/>
      </c>
      <c r="R673" s="37" t="str">
        <f t="shared" si="5"/>
        <v/>
      </c>
      <c r="S673" s="32" t="str">
        <f t="shared" si="6"/>
        <v/>
      </c>
      <c r="T673" s="37" t="str">
        <f t="shared" si="7"/>
        <v/>
      </c>
      <c r="U673" s="37" t="str">
        <f t="array" ref="U673">IF($F673="","",IFERROR(INDEX(Config!$F:$F,MATCH($F673,Config!$D:$D,0)),0))</f>
        <v/>
      </c>
    </row>
    <row r="674" ht="15.0" customHeight="1">
      <c r="A674" s="34"/>
      <c r="B674" s="35"/>
      <c r="C674" s="15"/>
      <c r="D674" s="15"/>
      <c r="E674" s="15"/>
      <c r="F674" s="15"/>
      <c r="G674" s="36" t="str">
        <f t="array" ref="G674">IF($F674="","",IFERROR(INDEX(Config!$E:$E,MATCH($F674,Config!$D:$D,0)),0))</f>
        <v/>
      </c>
      <c r="H674" s="16"/>
      <c r="I674" s="36" t="str">
        <f t="shared" si="1"/>
        <v/>
      </c>
      <c r="J674" s="16"/>
      <c r="K674" s="15"/>
      <c r="L674" s="15"/>
      <c r="M674" s="36" t="str">
        <f t="array" ref="M674">IF($A674="","",IF($L674="Atendido",IFERROR($I674*INDEX(Config!$B:$B,MATCH($C674,Config!$A:$A,0)),0),0))</f>
        <v/>
      </c>
      <c r="N674" s="36" t="str">
        <f t="shared" si="2"/>
        <v/>
      </c>
      <c r="O674" s="36" t="str">
        <f t="shared" si="3"/>
        <v/>
      </c>
      <c r="P674" s="15"/>
      <c r="Q674" s="37" t="str">
        <f t="shared" si="4"/>
        <v/>
      </c>
      <c r="R674" s="37" t="str">
        <f t="shared" si="5"/>
        <v/>
      </c>
      <c r="S674" s="32" t="str">
        <f t="shared" si="6"/>
        <v/>
      </c>
      <c r="T674" s="37" t="str">
        <f t="shared" si="7"/>
        <v/>
      </c>
      <c r="U674" s="37" t="str">
        <f t="array" ref="U674">IF($F674="","",IFERROR(INDEX(Config!$F:$F,MATCH($F674,Config!$D:$D,0)),0))</f>
        <v/>
      </c>
    </row>
    <row r="675" ht="15.0" customHeight="1">
      <c r="A675" s="34"/>
      <c r="B675" s="35"/>
      <c r="C675" s="15"/>
      <c r="D675" s="15"/>
      <c r="E675" s="15"/>
      <c r="F675" s="15"/>
      <c r="G675" s="36" t="str">
        <f t="array" ref="G675">IF($F675="","",IFERROR(INDEX(Config!$E:$E,MATCH($F675,Config!$D:$D,0)),0))</f>
        <v/>
      </c>
      <c r="H675" s="16"/>
      <c r="I675" s="36" t="str">
        <f t="shared" si="1"/>
        <v/>
      </c>
      <c r="J675" s="16"/>
      <c r="K675" s="15"/>
      <c r="L675" s="15"/>
      <c r="M675" s="36" t="str">
        <f t="array" ref="M675">IF($A675="","",IF($L675="Atendido",IFERROR($I675*INDEX(Config!$B:$B,MATCH($C675,Config!$A:$A,0)),0),0))</f>
        <v/>
      </c>
      <c r="N675" s="36" t="str">
        <f t="shared" si="2"/>
        <v/>
      </c>
      <c r="O675" s="36" t="str">
        <f t="shared" si="3"/>
        <v/>
      </c>
      <c r="P675" s="15"/>
      <c r="Q675" s="37" t="str">
        <f t="shared" si="4"/>
        <v/>
      </c>
      <c r="R675" s="37" t="str">
        <f t="shared" si="5"/>
        <v/>
      </c>
      <c r="S675" s="32" t="str">
        <f t="shared" si="6"/>
        <v/>
      </c>
      <c r="T675" s="37" t="str">
        <f t="shared" si="7"/>
        <v/>
      </c>
      <c r="U675" s="37" t="str">
        <f t="array" ref="U675">IF($F675="","",IFERROR(INDEX(Config!$F:$F,MATCH($F675,Config!$D:$D,0)),0))</f>
        <v/>
      </c>
    </row>
    <row r="676" ht="15.0" customHeight="1">
      <c r="A676" s="34"/>
      <c r="B676" s="35"/>
      <c r="C676" s="15"/>
      <c r="D676" s="15"/>
      <c r="E676" s="15"/>
      <c r="F676" s="15"/>
      <c r="G676" s="36" t="str">
        <f t="array" ref="G676">IF($F676="","",IFERROR(INDEX(Config!$E:$E,MATCH($F676,Config!$D:$D,0)),0))</f>
        <v/>
      </c>
      <c r="H676" s="16"/>
      <c r="I676" s="36" t="str">
        <f t="shared" si="1"/>
        <v/>
      </c>
      <c r="J676" s="16"/>
      <c r="K676" s="15"/>
      <c r="L676" s="15"/>
      <c r="M676" s="36" t="str">
        <f t="array" ref="M676">IF($A676="","",IF($L676="Atendido",IFERROR($I676*INDEX(Config!$B:$B,MATCH($C676,Config!$A:$A,0)),0),0))</f>
        <v/>
      </c>
      <c r="N676" s="36" t="str">
        <f t="shared" si="2"/>
        <v/>
      </c>
      <c r="O676" s="36" t="str">
        <f t="shared" si="3"/>
        <v/>
      </c>
      <c r="P676" s="15"/>
      <c r="Q676" s="37" t="str">
        <f t="shared" si="4"/>
        <v/>
      </c>
      <c r="R676" s="37" t="str">
        <f t="shared" si="5"/>
        <v/>
      </c>
      <c r="S676" s="32" t="str">
        <f t="shared" si="6"/>
        <v/>
      </c>
      <c r="T676" s="37" t="str">
        <f t="shared" si="7"/>
        <v/>
      </c>
      <c r="U676" s="37" t="str">
        <f t="array" ref="U676">IF($F676="","",IFERROR(INDEX(Config!$F:$F,MATCH($F676,Config!$D:$D,0)),0))</f>
        <v/>
      </c>
    </row>
    <row r="677" ht="15.0" customHeight="1">
      <c r="A677" s="34"/>
      <c r="B677" s="35"/>
      <c r="C677" s="15"/>
      <c r="D677" s="15"/>
      <c r="E677" s="15"/>
      <c r="F677" s="15"/>
      <c r="G677" s="36" t="str">
        <f t="array" ref="G677">IF($F677="","",IFERROR(INDEX(Config!$E:$E,MATCH($F677,Config!$D:$D,0)),0))</f>
        <v/>
      </c>
      <c r="H677" s="16"/>
      <c r="I677" s="36" t="str">
        <f t="shared" si="1"/>
        <v/>
      </c>
      <c r="J677" s="16"/>
      <c r="K677" s="15"/>
      <c r="L677" s="15"/>
      <c r="M677" s="36" t="str">
        <f t="array" ref="M677">IF($A677="","",IF($L677="Atendido",IFERROR($I677*INDEX(Config!$B:$B,MATCH($C677,Config!$A:$A,0)),0),0))</f>
        <v/>
      </c>
      <c r="N677" s="36" t="str">
        <f t="shared" si="2"/>
        <v/>
      </c>
      <c r="O677" s="36" t="str">
        <f t="shared" si="3"/>
        <v/>
      </c>
      <c r="P677" s="15"/>
      <c r="Q677" s="37" t="str">
        <f t="shared" si="4"/>
        <v/>
      </c>
      <c r="R677" s="37" t="str">
        <f t="shared" si="5"/>
        <v/>
      </c>
      <c r="S677" s="32" t="str">
        <f t="shared" si="6"/>
        <v/>
      </c>
      <c r="T677" s="37" t="str">
        <f t="shared" si="7"/>
        <v/>
      </c>
      <c r="U677" s="37" t="str">
        <f t="array" ref="U677">IF($F677="","",IFERROR(INDEX(Config!$F:$F,MATCH($F677,Config!$D:$D,0)),0))</f>
        <v/>
      </c>
    </row>
    <row r="678" ht="15.0" customHeight="1">
      <c r="A678" s="34"/>
      <c r="B678" s="35"/>
      <c r="C678" s="15"/>
      <c r="D678" s="15"/>
      <c r="E678" s="15"/>
      <c r="F678" s="15"/>
      <c r="G678" s="36" t="str">
        <f t="array" ref="G678">IF($F678="","",IFERROR(INDEX(Config!$E:$E,MATCH($F678,Config!$D:$D,0)),0))</f>
        <v/>
      </c>
      <c r="H678" s="16"/>
      <c r="I678" s="36" t="str">
        <f t="shared" si="1"/>
        <v/>
      </c>
      <c r="J678" s="16"/>
      <c r="K678" s="15"/>
      <c r="L678" s="15"/>
      <c r="M678" s="36" t="str">
        <f t="array" ref="M678">IF($A678="","",IF($L678="Atendido",IFERROR($I678*INDEX(Config!$B:$B,MATCH($C678,Config!$A:$A,0)),0),0))</f>
        <v/>
      </c>
      <c r="N678" s="36" t="str">
        <f t="shared" si="2"/>
        <v/>
      </c>
      <c r="O678" s="36" t="str">
        <f t="shared" si="3"/>
        <v/>
      </c>
      <c r="P678" s="15"/>
      <c r="Q678" s="37" t="str">
        <f t="shared" si="4"/>
        <v/>
      </c>
      <c r="R678" s="37" t="str">
        <f t="shared" si="5"/>
        <v/>
      </c>
      <c r="S678" s="32" t="str">
        <f t="shared" si="6"/>
        <v/>
      </c>
      <c r="T678" s="37" t="str">
        <f t="shared" si="7"/>
        <v/>
      </c>
      <c r="U678" s="37" t="str">
        <f t="array" ref="U678">IF($F678="","",IFERROR(INDEX(Config!$F:$F,MATCH($F678,Config!$D:$D,0)),0))</f>
        <v/>
      </c>
    </row>
    <row r="679" ht="15.0" customHeight="1">
      <c r="A679" s="34"/>
      <c r="B679" s="35"/>
      <c r="C679" s="15"/>
      <c r="D679" s="15"/>
      <c r="E679" s="15"/>
      <c r="F679" s="15"/>
      <c r="G679" s="36" t="str">
        <f t="array" ref="G679">IF($F679="","",IFERROR(INDEX(Config!$E:$E,MATCH($F679,Config!$D:$D,0)),0))</f>
        <v/>
      </c>
      <c r="H679" s="16"/>
      <c r="I679" s="36" t="str">
        <f t="shared" si="1"/>
        <v/>
      </c>
      <c r="J679" s="16"/>
      <c r="K679" s="15"/>
      <c r="L679" s="15"/>
      <c r="M679" s="36" t="str">
        <f t="array" ref="M679">IF($A679="","",IF($L679="Atendido",IFERROR($I679*INDEX(Config!$B:$B,MATCH($C679,Config!$A:$A,0)),0),0))</f>
        <v/>
      </c>
      <c r="N679" s="36" t="str">
        <f t="shared" si="2"/>
        <v/>
      </c>
      <c r="O679" s="36" t="str">
        <f t="shared" si="3"/>
        <v/>
      </c>
      <c r="P679" s="15"/>
      <c r="Q679" s="37" t="str">
        <f t="shared" si="4"/>
        <v/>
      </c>
      <c r="R679" s="37" t="str">
        <f t="shared" si="5"/>
        <v/>
      </c>
      <c r="S679" s="32" t="str">
        <f t="shared" si="6"/>
        <v/>
      </c>
      <c r="T679" s="37" t="str">
        <f t="shared" si="7"/>
        <v/>
      </c>
      <c r="U679" s="37" t="str">
        <f t="array" ref="U679">IF($F679="","",IFERROR(INDEX(Config!$F:$F,MATCH($F679,Config!$D:$D,0)),0))</f>
        <v/>
      </c>
    </row>
    <row r="680" ht="15.0" customHeight="1">
      <c r="A680" s="34"/>
      <c r="B680" s="35"/>
      <c r="C680" s="15"/>
      <c r="D680" s="15"/>
      <c r="E680" s="15"/>
      <c r="F680" s="15"/>
      <c r="G680" s="36" t="str">
        <f t="array" ref="G680">IF($F680="","",IFERROR(INDEX(Config!$E:$E,MATCH($F680,Config!$D:$D,0)),0))</f>
        <v/>
      </c>
      <c r="H680" s="16"/>
      <c r="I680" s="36" t="str">
        <f t="shared" si="1"/>
        <v/>
      </c>
      <c r="J680" s="16"/>
      <c r="K680" s="15"/>
      <c r="L680" s="15"/>
      <c r="M680" s="36" t="str">
        <f t="array" ref="M680">IF($A680="","",IF($L680="Atendido",IFERROR($I680*INDEX(Config!$B:$B,MATCH($C680,Config!$A:$A,0)),0),0))</f>
        <v/>
      </c>
      <c r="N680" s="36" t="str">
        <f t="shared" si="2"/>
        <v/>
      </c>
      <c r="O680" s="36" t="str">
        <f t="shared" si="3"/>
        <v/>
      </c>
      <c r="P680" s="15"/>
      <c r="Q680" s="37" t="str">
        <f t="shared" si="4"/>
        <v/>
      </c>
      <c r="R680" s="37" t="str">
        <f t="shared" si="5"/>
        <v/>
      </c>
      <c r="S680" s="32" t="str">
        <f t="shared" si="6"/>
        <v/>
      </c>
      <c r="T680" s="37" t="str">
        <f t="shared" si="7"/>
        <v/>
      </c>
      <c r="U680" s="37" t="str">
        <f t="array" ref="U680">IF($F680="","",IFERROR(INDEX(Config!$F:$F,MATCH($F680,Config!$D:$D,0)),0))</f>
        <v/>
      </c>
    </row>
    <row r="681" ht="15.0" customHeight="1">
      <c r="A681" s="34"/>
      <c r="B681" s="35"/>
      <c r="C681" s="15"/>
      <c r="D681" s="15"/>
      <c r="E681" s="15"/>
      <c r="F681" s="15"/>
      <c r="G681" s="36" t="str">
        <f t="array" ref="G681">IF($F681="","",IFERROR(INDEX(Config!$E:$E,MATCH($F681,Config!$D:$D,0)),0))</f>
        <v/>
      </c>
      <c r="H681" s="16"/>
      <c r="I681" s="36" t="str">
        <f t="shared" si="1"/>
        <v/>
      </c>
      <c r="J681" s="16"/>
      <c r="K681" s="15"/>
      <c r="L681" s="15"/>
      <c r="M681" s="36" t="str">
        <f t="array" ref="M681">IF($A681="","",IF($L681="Atendido",IFERROR($I681*INDEX(Config!$B:$B,MATCH($C681,Config!$A:$A,0)),0),0))</f>
        <v/>
      </c>
      <c r="N681" s="36" t="str">
        <f t="shared" si="2"/>
        <v/>
      </c>
      <c r="O681" s="36" t="str">
        <f t="shared" si="3"/>
        <v/>
      </c>
      <c r="P681" s="15"/>
      <c r="Q681" s="37" t="str">
        <f t="shared" si="4"/>
        <v/>
      </c>
      <c r="R681" s="37" t="str">
        <f t="shared" si="5"/>
        <v/>
      </c>
      <c r="S681" s="32" t="str">
        <f t="shared" si="6"/>
        <v/>
      </c>
      <c r="T681" s="37" t="str">
        <f t="shared" si="7"/>
        <v/>
      </c>
      <c r="U681" s="37" t="str">
        <f t="array" ref="U681">IF($F681="","",IFERROR(INDEX(Config!$F:$F,MATCH($F681,Config!$D:$D,0)),0))</f>
        <v/>
      </c>
    </row>
    <row r="682" ht="15.0" customHeight="1">
      <c r="A682" s="34"/>
      <c r="B682" s="35"/>
      <c r="C682" s="15"/>
      <c r="D682" s="15"/>
      <c r="E682" s="15"/>
      <c r="F682" s="15"/>
      <c r="G682" s="36" t="str">
        <f t="array" ref="G682">IF($F682="","",IFERROR(INDEX(Config!$E:$E,MATCH($F682,Config!$D:$D,0)),0))</f>
        <v/>
      </c>
      <c r="H682" s="16"/>
      <c r="I682" s="36" t="str">
        <f t="shared" si="1"/>
        <v/>
      </c>
      <c r="J682" s="16"/>
      <c r="K682" s="15"/>
      <c r="L682" s="15"/>
      <c r="M682" s="36" t="str">
        <f t="array" ref="M682">IF($A682="","",IF($L682="Atendido",IFERROR($I682*INDEX(Config!$B:$B,MATCH($C682,Config!$A:$A,0)),0),0))</f>
        <v/>
      </c>
      <c r="N682" s="36" t="str">
        <f t="shared" si="2"/>
        <v/>
      </c>
      <c r="O682" s="36" t="str">
        <f t="shared" si="3"/>
        <v/>
      </c>
      <c r="P682" s="15"/>
      <c r="Q682" s="37" t="str">
        <f t="shared" si="4"/>
        <v/>
      </c>
      <c r="R682" s="37" t="str">
        <f t="shared" si="5"/>
        <v/>
      </c>
      <c r="S682" s="32" t="str">
        <f t="shared" si="6"/>
        <v/>
      </c>
      <c r="T682" s="37" t="str">
        <f t="shared" si="7"/>
        <v/>
      </c>
      <c r="U682" s="37" t="str">
        <f t="array" ref="U682">IF($F682="","",IFERROR(INDEX(Config!$F:$F,MATCH($F682,Config!$D:$D,0)),0))</f>
        <v/>
      </c>
    </row>
    <row r="683" ht="15.0" customHeight="1">
      <c r="A683" s="34"/>
      <c r="B683" s="35"/>
      <c r="C683" s="15"/>
      <c r="D683" s="15"/>
      <c r="E683" s="15"/>
      <c r="F683" s="15"/>
      <c r="G683" s="36" t="str">
        <f t="array" ref="G683">IF($F683="","",IFERROR(INDEX(Config!$E:$E,MATCH($F683,Config!$D:$D,0)),0))</f>
        <v/>
      </c>
      <c r="H683" s="16"/>
      <c r="I683" s="36" t="str">
        <f t="shared" si="1"/>
        <v/>
      </c>
      <c r="J683" s="16"/>
      <c r="K683" s="15"/>
      <c r="L683" s="15"/>
      <c r="M683" s="36" t="str">
        <f t="array" ref="M683">IF($A683="","",IF($L683="Atendido",IFERROR($I683*INDEX(Config!$B:$B,MATCH($C683,Config!$A:$A,0)),0),0))</f>
        <v/>
      </c>
      <c r="N683" s="36" t="str">
        <f t="shared" si="2"/>
        <v/>
      </c>
      <c r="O683" s="36" t="str">
        <f t="shared" si="3"/>
        <v/>
      </c>
      <c r="P683" s="15"/>
      <c r="Q683" s="37" t="str">
        <f t="shared" si="4"/>
        <v/>
      </c>
      <c r="R683" s="37" t="str">
        <f t="shared" si="5"/>
        <v/>
      </c>
      <c r="S683" s="32" t="str">
        <f t="shared" si="6"/>
        <v/>
      </c>
      <c r="T683" s="37" t="str">
        <f t="shared" si="7"/>
        <v/>
      </c>
      <c r="U683" s="37" t="str">
        <f t="array" ref="U683">IF($F683="","",IFERROR(INDEX(Config!$F:$F,MATCH($F683,Config!$D:$D,0)),0))</f>
        <v/>
      </c>
    </row>
    <row r="684" ht="15.0" customHeight="1">
      <c r="A684" s="34"/>
      <c r="B684" s="35"/>
      <c r="C684" s="15"/>
      <c r="D684" s="15"/>
      <c r="E684" s="15"/>
      <c r="F684" s="15"/>
      <c r="G684" s="36" t="str">
        <f t="array" ref="G684">IF($F684="","",IFERROR(INDEX(Config!$E:$E,MATCH($F684,Config!$D:$D,0)),0))</f>
        <v/>
      </c>
      <c r="H684" s="16"/>
      <c r="I684" s="36" t="str">
        <f t="shared" si="1"/>
        <v/>
      </c>
      <c r="J684" s="16"/>
      <c r="K684" s="15"/>
      <c r="L684" s="15"/>
      <c r="M684" s="36" t="str">
        <f t="array" ref="M684">IF($A684="","",IF($L684="Atendido",IFERROR($I684*INDEX(Config!$B:$B,MATCH($C684,Config!$A:$A,0)),0),0))</f>
        <v/>
      </c>
      <c r="N684" s="36" t="str">
        <f t="shared" si="2"/>
        <v/>
      </c>
      <c r="O684" s="36" t="str">
        <f t="shared" si="3"/>
        <v/>
      </c>
      <c r="P684" s="15"/>
      <c r="Q684" s="37" t="str">
        <f t="shared" si="4"/>
        <v/>
      </c>
      <c r="R684" s="37" t="str">
        <f t="shared" si="5"/>
        <v/>
      </c>
      <c r="S684" s="32" t="str">
        <f t="shared" si="6"/>
        <v/>
      </c>
      <c r="T684" s="37" t="str">
        <f t="shared" si="7"/>
        <v/>
      </c>
      <c r="U684" s="37" t="str">
        <f t="array" ref="U684">IF($F684="","",IFERROR(INDEX(Config!$F:$F,MATCH($F684,Config!$D:$D,0)),0))</f>
        <v/>
      </c>
    </row>
    <row r="685" ht="15.0" customHeight="1">
      <c r="A685" s="34"/>
      <c r="B685" s="35"/>
      <c r="C685" s="15"/>
      <c r="D685" s="15"/>
      <c r="E685" s="15"/>
      <c r="F685" s="15"/>
      <c r="G685" s="36" t="str">
        <f t="array" ref="G685">IF($F685="","",IFERROR(INDEX(Config!$E:$E,MATCH($F685,Config!$D:$D,0)),0))</f>
        <v/>
      </c>
      <c r="H685" s="16"/>
      <c r="I685" s="36" t="str">
        <f t="shared" si="1"/>
        <v/>
      </c>
      <c r="J685" s="16"/>
      <c r="K685" s="15"/>
      <c r="L685" s="15"/>
      <c r="M685" s="36" t="str">
        <f t="array" ref="M685">IF($A685="","",IF($L685="Atendido",IFERROR($I685*INDEX(Config!$B:$B,MATCH($C685,Config!$A:$A,0)),0),0))</f>
        <v/>
      </c>
      <c r="N685" s="36" t="str">
        <f t="shared" si="2"/>
        <v/>
      </c>
      <c r="O685" s="36" t="str">
        <f t="shared" si="3"/>
        <v/>
      </c>
      <c r="P685" s="15"/>
      <c r="Q685" s="37" t="str">
        <f t="shared" si="4"/>
        <v/>
      </c>
      <c r="R685" s="37" t="str">
        <f t="shared" si="5"/>
        <v/>
      </c>
      <c r="S685" s="32" t="str">
        <f t="shared" si="6"/>
        <v/>
      </c>
      <c r="T685" s="37" t="str">
        <f t="shared" si="7"/>
        <v/>
      </c>
      <c r="U685" s="37" t="str">
        <f t="array" ref="U685">IF($F685="","",IFERROR(INDEX(Config!$F:$F,MATCH($F685,Config!$D:$D,0)),0))</f>
        <v/>
      </c>
    </row>
    <row r="686" ht="15.0" customHeight="1">
      <c r="A686" s="34"/>
      <c r="B686" s="35"/>
      <c r="C686" s="15"/>
      <c r="D686" s="15"/>
      <c r="E686" s="15"/>
      <c r="F686" s="15"/>
      <c r="G686" s="36" t="str">
        <f t="array" ref="G686">IF($F686="","",IFERROR(INDEX(Config!$E:$E,MATCH($F686,Config!$D:$D,0)),0))</f>
        <v/>
      </c>
      <c r="H686" s="16"/>
      <c r="I686" s="36" t="str">
        <f t="shared" si="1"/>
        <v/>
      </c>
      <c r="J686" s="16"/>
      <c r="K686" s="15"/>
      <c r="L686" s="15"/>
      <c r="M686" s="36" t="str">
        <f t="array" ref="M686">IF($A686="","",IF($L686="Atendido",IFERROR($I686*INDEX(Config!$B:$B,MATCH($C686,Config!$A:$A,0)),0),0))</f>
        <v/>
      </c>
      <c r="N686" s="36" t="str">
        <f t="shared" si="2"/>
        <v/>
      </c>
      <c r="O686" s="36" t="str">
        <f t="shared" si="3"/>
        <v/>
      </c>
      <c r="P686" s="15"/>
      <c r="Q686" s="37" t="str">
        <f t="shared" si="4"/>
        <v/>
      </c>
      <c r="R686" s="37" t="str">
        <f t="shared" si="5"/>
        <v/>
      </c>
      <c r="S686" s="32" t="str">
        <f t="shared" si="6"/>
        <v/>
      </c>
      <c r="T686" s="37" t="str">
        <f t="shared" si="7"/>
        <v/>
      </c>
      <c r="U686" s="37" t="str">
        <f t="array" ref="U686">IF($F686="","",IFERROR(INDEX(Config!$F:$F,MATCH($F686,Config!$D:$D,0)),0))</f>
        <v/>
      </c>
    </row>
    <row r="687" ht="15.0" customHeight="1">
      <c r="A687" s="34"/>
      <c r="B687" s="35"/>
      <c r="C687" s="15"/>
      <c r="D687" s="15"/>
      <c r="E687" s="15"/>
      <c r="F687" s="15"/>
      <c r="G687" s="36" t="str">
        <f t="array" ref="G687">IF($F687="","",IFERROR(INDEX(Config!$E:$E,MATCH($F687,Config!$D:$D,0)),0))</f>
        <v/>
      </c>
      <c r="H687" s="16"/>
      <c r="I687" s="36" t="str">
        <f t="shared" si="1"/>
        <v/>
      </c>
      <c r="J687" s="16"/>
      <c r="K687" s="15"/>
      <c r="L687" s="15"/>
      <c r="M687" s="36" t="str">
        <f t="array" ref="M687">IF($A687="","",IF($L687="Atendido",IFERROR($I687*INDEX(Config!$B:$B,MATCH($C687,Config!$A:$A,0)),0),0))</f>
        <v/>
      </c>
      <c r="N687" s="36" t="str">
        <f t="shared" si="2"/>
        <v/>
      </c>
      <c r="O687" s="36" t="str">
        <f t="shared" si="3"/>
        <v/>
      </c>
      <c r="P687" s="15"/>
      <c r="Q687" s="37" t="str">
        <f t="shared" si="4"/>
        <v/>
      </c>
      <c r="R687" s="37" t="str">
        <f t="shared" si="5"/>
        <v/>
      </c>
      <c r="S687" s="32" t="str">
        <f t="shared" si="6"/>
        <v/>
      </c>
      <c r="T687" s="37" t="str">
        <f t="shared" si="7"/>
        <v/>
      </c>
      <c r="U687" s="37" t="str">
        <f t="array" ref="U687">IF($F687="","",IFERROR(INDEX(Config!$F:$F,MATCH($F687,Config!$D:$D,0)),0))</f>
        <v/>
      </c>
    </row>
    <row r="688" ht="15.0" customHeight="1">
      <c r="A688" s="34"/>
      <c r="B688" s="35"/>
      <c r="C688" s="15"/>
      <c r="D688" s="15"/>
      <c r="E688" s="15"/>
      <c r="F688" s="15"/>
      <c r="G688" s="36" t="str">
        <f t="array" ref="G688">IF($F688="","",IFERROR(INDEX(Config!$E:$E,MATCH($F688,Config!$D:$D,0)),0))</f>
        <v/>
      </c>
      <c r="H688" s="16"/>
      <c r="I688" s="36" t="str">
        <f t="shared" si="1"/>
        <v/>
      </c>
      <c r="J688" s="16"/>
      <c r="K688" s="15"/>
      <c r="L688" s="15"/>
      <c r="M688" s="36" t="str">
        <f t="array" ref="M688">IF($A688="","",IF($L688="Atendido",IFERROR($I688*INDEX(Config!$B:$B,MATCH($C688,Config!$A:$A,0)),0),0))</f>
        <v/>
      </c>
      <c r="N688" s="36" t="str">
        <f t="shared" si="2"/>
        <v/>
      </c>
      <c r="O688" s="36" t="str">
        <f t="shared" si="3"/>
        <v/>
      </c>
      <c r="P688" s="15"/>
      <c r="Q688" s="37" t="str">
        <f t="shared" si="4"/>
        <v/>
      </c>
      <c r="R688" s="37" t="str">
        <f t="shared" si="5"/>
        <v/>
      </c>
      <c r="S688" s="32" t="str">
        <f t="shared" si="6"/>
        <v/>
      </c>
      <c r="T688" s="37" t="str">
        <f t="shared" si="7"/>
        <v/>
      </c>
      <c r="U688" s="37" t="str">
        <f t="array" ref="U688">IF($F688="","",IFERROR(INDEX(Config!$F:$F,MATCH($F688,Config!$D:$D,0)),0))</f>
        <v/>
      </c>
    </row>
    <row r="689" ht="15.0" customHeight="1">
      <c r="A689" s="34"/>
      <c r="B689" s="35"/>
      <c r="C689" s="15"/>
      <c r="D689" s="15"/>
      <c r="E689" s="15"/>
      <c r="F689" s="15"/>
      <c r="G689" s="36" t="str">
        <f t="array" ref="G689">IF($F689="","",IFERROR(INDEX(Config!$E:$E,MATCH($F689,Config!$D:$D,0)),0))</f>
        <v/>
      </c>
      <c r="H689" s="16"/>
      <c r="I689" s="36" t="str">
        <f t="shared" si="1"/>
        <v/>
      </c>
      <c r="J689" s="16"/>
      <c r="K689" s="15"/>
      <c r="L689" s="15"/>
      <c r="M689" s="36" t="str">
        <f t="array" ref="M689">IF($A689="","",IF($L689="Atendido",IFERROR($I689*INDEX(Config!$B:$B,MATCH($C689,Config!$A:$A,0)),0),0))</f>
        <v/>
      </c>
      <c r="N689" s="36" t="str">
        <f t="shared" si="2"/>
        <v/>
      </c>
      <c r="O689" s="36" t="str">
        <f t="shared" si="3"/>
        <v/>
      </c>
      <c r="P689" s="15"/>
      <c r="Q689" s="37" t="str">
        <f t="shared" si="4"/>
        <v/>
      </c>
      <c r="R689" s="37" t="str">
        <f t="shared" si="5"/>
        <v/>
      </c>
      <c r="S689" s="32" t="str">
        <f t="shared" si="6"/>
        <v/>
      </c>
      <c r="T689" s="37" t="str">
        <f t="shared" si="7"/>
        <v/>
      </c>
      <c r="U689" s="37" t="str">
        <f t="array" ref="U689">IF($F689="","",IFERROR(INDEX(Config!$F:$F,MATCH($F689,Config!$D:$D,0)),0))</f>
        <v/>
      </c>
    </row>
    <row r="690" ht="15.0" customHeight="1">
      <c r="A690" s="34"/>
      <c r="B690" s="35"/>
      <c r="C690" s="15"/>
      <c r="D690" s="15"/>
      <c r="E690" s="15"/>
      <c r="F690" s="15"/>
      <c r="G690" s="36" t="str">
        <f t="array" ref="G690">IF($F690="","",IFERROR(INDEX(Config!$E:$E,MATCH($F690,Config!$D:$D,0)),0))</f>
        <v/>
      </c>
      <c r="H690" s="16"/>
      <c r="I690" s="36" t="str">
        <f t="shared" si="1"/>
        <v/>
      </c>
      <c r="J690" s="16"/>
      <c r="K690" s="15"/>
      <c r="L690" s="15"/>
      <c r="M690" s="36" t="str">
        <f t="array" ref="M690">IF($A690="","",IF($L690="Atendido",IFERROR($I690*INDEX(Config!$B:$B,MATCH($C690,Config!$A:$A,0)),0),0))</f>
        <v/>
      </c>
      <c r="N690" s="36" t="str">
        <f t="shared" si="2"/>
        <v/>
      </c>
      <c r="O690" s="36" t="str">
        <f t="shared" si="3"/>
        <v/>
      </c>
      <c r="P690" s="15"/>
      <c r="Q690" s="37" t="str">
        <f t="shared" si="4"/>
        <v/>
      </c>
      <c r="R690" s="37" t="str">
        <f t="shared" si="5"/>
        <v/>
      </c>
      <c r="S690" s="32" t="str">
        <f t="shared" si="6"/>
        <v/>
      </c>
      <c r="T690" s="37" t="str">
        <f t="shared" si="7"/>
        <v/>
      </c>
      <c r="U690" s="37" t="str">
        <f t="array" ref="U690">IF($F690="","",IFERROR(INDEX(Config!$F:$F,MATCH($F690,Config!$D:$D,0)),0))</f>
        <v/>
      </c>
    </row>
    <row r="691" ht="15.0" customHeight="1">
      <c r="A691" s="34"/>
      <c r="B691" s="35"/>
      <c r="C691" s="15"/>
      <c r="D691" s="15"/>
      <c r="E691" s="15"/>
      <c r="F691" s="15"/>
      <c r="G691" s="36" t="str">
        <f t="array" ref="G691">IF($F691="","",IFERROR(INDEX(Config!$E:$E,MATCH($F691,Config!$D:$D,0)),0))</f>
        <v/>
      </c>
      <c r="H691" s="16"/>
      <c r="I691" s="36" t="str">
        <f t="shared" si="1"/>
        <v/>
      </c>
      <c r="J691" s="16"/>
      <c r="K691" s="15"/>
      <c r="L691" s="15"/>
      <c r="M691" s="36" t="str">
        <f t="array" ref="M691">IF($A691="","",IF($L691="Atendido",IFERROR($I691*INDEX(Config!$B:$B,MATCH($C691,Config!$A:$A,0)),0),0))</f>
        <v/>
      </c>
      <c r="N691" s="36" t="str">
        <f t="shared" si="2"/>
        <v/>
      </c>
      <c r="O691" s="36" t="str">
        <f t="shared" si="3"/>
        <v/>
      </c>
      <c r="P691" s="15"/>
      <c r="Q691" s="37" t="str">
        <f t="shared" si="4"/>
        <v/>
      </c>
      <c r="R691" s="37" t="str">
        <f t="shared" si="5"/>
        <v/>
      </c>
      <c r="S691" s="32" t="str">
        <f t="shared" si="6"/>
        <v/>
      </c>
      <c r="T691" s="37" t="str">
        <f t="shared" si="7"/>
        <v/>
      </c>
      <c r="U691" s="37" t="str">
        <f t="array" ref="U691">IF($F691="","",IFERROR(INDEX(Config!$F:$F,MATCH($F691,Config!$D:$D,0)),0))</f>
        <v/>
      </c>
    </row>
    <row r="692" ht="15.0" customHeight="1">
      <c r="A692" s="34"/>
      <c r="B692" s="35"/>
      <c r="C692" s="15"/>
      <c r="D692" s="15"/>
      <c r="E692" s="15"/>
      <c r="F692" s="15"/>
      <c r="G692" s="36" t="str">
        <f t="array" ref="G692">IF($F692="","",IFERROR(INDEX(Config!$E:$E,MATCH($F692,Config!$D:$D,0)),0))</f>
        <v/>
      </c>
      <c r="H692" s="16"/>
      <c r="I692" s="36" t="str">
        <f t="shared" si="1"/>
        <v/>
      </c>
      <c r="J692" s="16"/>
      <c r="K692" s="15"/>
      <c r="L692" s="15"/>
      <c r="M692" s="36" t="str">
        <f t="array" ref="M692">IF($A692="","",IF($L692="Atendido",IFERROR($I692*INDEX(Config!$B:$B,MATCH($C692,Config!$A:$A,0)),0),0))</f>
        <v/>
      </c>
      <c r="N692" s="36" t="str">
        <f t="shared" si="2"/>
        <v/>
      </c>
      <c r="O692" s="36" t="str">
        <f t="shared" si="3"/>
        <v/>
      </c>
      <c r="P692" s="15"/>
      <c r="Q692" s="37" t="str">
        <f t="shared" si="4"/>
        <v/>
      </c>
      <c r="R692" s="37" t="str">
        <f t="shared" si="5"/>
        <v/>
      </c>
      <c r="S692" s="32" t="str">
        <f t="shared" si="6"/>
        <v/>
      </c>
      <c r="T692" s="37" t="str">
        <f t="shared" si="7"/>
        <v/>
      </c>
      <c r="U692" s="37" t="str">
        <f t="array" ref="U692">IF($F692="","",IFERROR(INDEX(Config!$F:$F,MATCH($F692,Config!$D:$D,0)),0))</f>
        <v/>
      </c>
    </row>
    <row r="693" ht="15.0" customHeight="1">
      <c r="A693" s="34"/>
      <c r="B693" s="35"/>
      <c r="C693" s="15"/>
      <c r="D693" s="15"/>
      <c r="E693" s="15"/>
      <c r="F693" s="15"/>
      <c r="G693" s="36" t="str">
        <f t="array" ref="G693">IF($F693="","",IFERROR(INDEX(Config!$E:$E,MATCH($F693,Config!$D:$D,0)),0))</f>
        <v/>
      </c>
      <c r="H693" s="16"/>
      <c r="I693" s="36" t="str">
        <f t="shared" si="1"/>
        <v/>
      </c>
      <c r="J693" s="16"/>
      <c r="K693" s="15"/>
      <c r="L693" s="15"/>
      <c r="M693" s="36" t="str">
        <f t="array" ref="M693">IF($A693="","",IF($L693="Atendido",IFERROR($I693*INDEX(Config!$B:$B,MATCH($C693,Config!$A:$A,0)),0),0))</f>
        <v/>
      </c>
      <c r="N693" s="36" t="str">
        <f t="shared" si="2"/>
        <v/>
      </c>
      <c r="O693" s="36" t="str">
        <f t="shared" si="3"/>
        <v/>
      </c>
      <c r="P693" s="15"/>
      <c r="Q693" s="37" t="str">
        <f t="shared" si="4"/>
        <v/>
      </c>
      <c r="R693" s="37" t="str">
        <f t="shared" si="5"/>
        <v/>
      </c>
      <c r="S693" s="32" t="str">
        <f t="shared" si="6"/>
        <v/>
      </c>
      <c r="T693" s="37" t="str">
        <f t="shared" si="7"/>
        <v/>
      </c>
      <c r="U693" s="37" t="str">
        <f t="array" ref="U693">IF($F693="","",IFERROR(INDEX(Config!$F:$F,MATCH($F693,Config!$D:$D,0)),0))</f>
        <v/>
      </c>
    </row>
    <row r="694" ht="15.0" customHeight="1">
      <c r="A694" s="34"/>
      <c r="B694" s="35"/>
      <c r="C694" s="15"/>
      <c r="D694" s="15"/>
      <c r="E694" s="15"/>
      <c r="F694" s="15"/>
      <c r="G694" s="36" t="str">
        <f t="array" ref="G694">IF($F694="","",IFERROR(INDEX(Config!$E:$E,MATCH($F694,Config!$D:$D,0)),0))</f>
        <v/>
      </c>
      <c r="H694" s="16"/>
      <c r="I694" s="36" t="str">
        <f t="shared" si="1"/>
        <v/>
      </c>
      <c r="J694" s="16"/>
      <c r="K694" s="15"/>
      <c r="L694" s="15"/>
      <c r="M694" s="36" t="str">
        <f t="array" ref="M694">IF($A694="","",IF($L694="Atendido",IFERROR($I694*INDEX(Config!$B:$B,MATCH($C694,Config!$A:$A,0)),0),0))</f>
        <v/>
      </c>
      <c r="N694" s="36" t="str">
        <f t="shared" si="2"/>
        <v/>
      </c>
      <c r="O694" s="36" t="str">
        <f t="shared" si="3"/>
        <v/>
      </c>
      <c r="P694" s="15"/>
      <c r="Q694" s="37" t="str">
        <f t="shared" si="4"/>
        <v/>
      </c>
      <c r="R694" s="37" t="str">
        <f t="shared" si="5"/>
        <v/>
      </c>
      <c r="S694" s="32" t="str">
        <f t="shared" si="6"/>
        <v/>
      </c>
      <c r="T694" s="37" t="str">
        <f t="shared" si="7"/>
        <v/>
      </c>
      <c r="U694" s="37" t="str">
        <f t="array" ref="U694">IF($F694="","",IFERROR(INDEX(Config!$F:$F,MATCH($F694,Config!$D:$D,0)),0))</f>
        <v/>
      </c>
    </row>
    <row r="695" ht="15.0" customHeight="1">
      <c r="A695" s="34"/>
      <c r="B695" s="35"/>
      <c r="C695" s="15"/>
      <c r="D695" s="15"/>
      <c r="E695" s="15"/>
      <c r="F695" s="15"/>
      <c r="G695" s="36" t="str">
        <f t="array" ref="G695">IF($F695="","",IFERROR(INDEX(Config!$E:$E,MATCH($F695,Config!$D:$D,0)),0))</f>
        <v/>
      </c>
      <c r="H695" s="16"/>
      <c r="I695" s="36" t="str">
        <f t="shared" si="1"/>
        <v/>
      </c>
      <c r="J695" s="16"/>
      <c r="K695" s="15"/>
      <c r="L695" s="15"/>
      <c r="M695" s="36" t="str">
        <f t="array" ref="M695">IF($A695="","",IF($L695="Atendido",IFERROR($I695*INDEX(Config!$B:$B,MATCH($C695,Config!$A:$A,0)),0),0))</f>
        <v/>
      </c>
      <c r="N695" s="36" t="str">
        <f t="shared" si="2"/>
        <v/>
      </c>
      <c r="O695" s="36" t="str">
        <f t="shared" si="3"/>
        <v/>
      </c>
      <c r="P695" s="15"/>
      <c r="Q695" s="37" t="str">
        <f t="shared" si="4"/>
        <v/>
      </c>
      <c r="R695" s="37" t="str">
        <f t="shared" si="5"/>
        <v/>
      </c>
      <c r="S695" s="32" t="str">
        <f t="shared" si="6"/>
        <v/>
      </c>
      <c r="T695" s="37" t="str">
        <f t="shared" si="7"/>
        <v/>
      </c>
      <c r="U695" s="37" t="str">
        <f t="array" ref="U695">IF($F695="","",IFERROR(INDEX(Config!$F:$F,MATCH($F695,Config!$D:$D,0)),0))</f>
        <v/>
      </c>
    </row>
    <row r="696" ht="15.0" customHeight="1">
      <c r="A696" s="34"/>
      <c r="B696" s="35"/>
      <c r="C696" s="15"/>
      <c r="D696" s="15"/>
      <c r="E696" s="15"/>
      <c r="F696" s="15"/>
      <c r="G696" s="36" t="str">
        <f t="array" ref="G696">IF($F696="","",IFERROR(INDEX(Config!$E:$E,MATCH($F696,Config!$D:$D,0)),0))</f>
        <v/>
      </c>
      <c r="H696" s="16"/>
      <c r="I696" s="36" t="str">
        <f t="shared" si="1"/>
        <v/>
      </c>
      <c r="J696" s="16"/>
      <c r="K696" s="15"/>
      <c r="L696" s="15"/>
      <c r="M696" s="36" t="str">
        <f t="array" ref="M696">IF($A696="","",IF($L696="Atendido",IFERROR($I696*INDEX(Config!$B:$B,MATCH($C696,Config!$A:$A,0)),0),0))</f>
        <v/>
      </c>
      <c r="N696" s="36" t="str">
        <f t="shared" si="2"/>
        <v/>
      </c>
      <c r="O696" s="36" t="str">
        <f t="shared" si="3"/>
        <v/>
      </c>
      <c r="P696" s="15"/>
      <c r="Q696" s="37" t="str">
        <f t="shared" si="4"/>
        <v/>
      </c>
      <c r="R696" s="37" t="str">
        <f t="shared" si="5"/>
        <v/>
      </c>
      <c r="S696" s="32" t="str">
        <f t="shared" si="6"/>
        <v/>
      </c>
      <c r="T696" s="37" t="str">
        <f t="shared" si="7"/>
        <v/>
      </c>
      <c r="U696" s="37" t="str">
        <f t="array" ref="U696">IF($F696="","",IFERROR(INDEX(Config!$F:$F,MATCH($F696,Config!$D:$D,0)),0))</f>
        <v/>
      </c>
    </row>
    <row r="697" ht="15.0" customHeight="1">
      <c r="A697" s="34"/>
      <c r="B697" s="35"/>
      <c r="C697" s="15"/>
      <c r="D697" s="15"/>
      <c r="E697" s="15"/>
      <c r="F697" s="15"/>
      <c r="G697" s="36" t="str">
        <f t="array" ref="G697">IF($F697="","",IFERROR(INDEX(Config!$E:$E,MATCH($F697,Config!$D:$D,0)),0))</f>
        <v/>
      </c>
      <c r="H697" s="16"/>
      <c r="I697" s="36" t="str">
        <f t="shared" si="1"/>
        <v/>
      </c>
      <c r="J697" s="16"/>
      <c r="K697" s="15"/>
      <c r="L697" s="15"/>
      <c r="M697" s="36" t="str">
        <f t="array" ref="M697">IF($A697="","",IF($L697="Atendido",IFERROR($I697*INDEX(Config!$B:$B,MATCH($C697,Config!$A:$A,0)),0),0))</f>
        <v/>
      </c>
      <c r="N697" s="36" t="str">
        <f t="shared" si="2"/>
        <v/>
      </c>
      <c r="O697" s="36" t="str">
        <f t="shared" si="3"/>
        <v/>
      </c>
      <c r="P697" s="15"/>
      <c r="Q697" s="37" t="str">
        <f t="shared" si="4"/>
        <v/>
      </c>
      <c r="R697" s="37" t="str">
        <f t="shared" si="5"/>
        <v/>
      </c>
      <c r="S697" s="32" t="str">
        <f t="shared" si="6"/>
        <v/>
      </c>
      <c r="T697" s="37" t="str">
        <f t="shared" si="7"/>
        <v/>
      </c>
      <c r="U697" s="37" t="str">
        <f t="array" ref="U697">IF($F697="","",IFERROR(INDEX(Config!$F:$F,MATCH($F697,Config!$D:$D,0)),0))</f>
        <v/>
      </c>
    </row>
    <row r="698" ht="15.0" customHeight="1">
      <c r="A698" s="34"/>
      <c r="B698" s="35"/>
      <c r="C698" s="15"/>
      <c r="D698" s="15"/>
      <c r="E698" s="15"/>
      <c r="F698" s="15"/>
      <c r="G698" s="36" t="str">
        <f t="array" ref="G698">IF($F698="","",IFERROR(INDEX(Config!$E:$E,MATCH($F698,Config!$D:$D,0)),0))</f>
        <v/>
      </c>
      <c r="H698" s="16"/>
      <c r="I698" s="36" t="str">
        <f t="shared" si="1"/>
        <v/>
      </c>
      <c r="J698" s="16"/>
      <c r="K698" s="15"/>
      <c r="L698" s="15"/>
      <c r="M698" s="36" t="str">
        <f t="array" ref="M698">IF($A698="","",IF($L698="Atendido",IFERROR($I698*INDEX(Config!$B:$B,MATCH($C698,Config!$A:$A,0)),0),0))</f>
        <v/>
      </c>
      <c r="N698" s="36" t="str">
        <f t="shared" si="2"/>
        <v/>
      </c>
      <c r="O698" s="36" t="str">
        <f t="shared" si="3"/>
        <v/>
      </c>
      <c r="P698" s="15"/>
      <c r="Q698" s="37" t="str">
        <f t="shared" si="4"/>
        <v/>
      </c>
      <c r="R698" s="37" t="str">
        <f t="shared" si="5"/>
        <v/>
      </c>
      <c r="S698" s="32" t="str">
        <f t="shared" si="6"/>
        <v/>
      </c>
      <c r="T698" s="37" t="str">
        <f t="shared" si="7"/>
        <v/>
      </c>
      <c r="U698" s="37" t="str">
        <f t="array" ref="U698">IF($F698="","",IFERROR(INDEX(Config!$F:$F,MATCH($F698,Config!$D:$D,0)),0))</f>
        <v/>
      </c>
    </row>
    <row r="699" ht="15.0" customHeight="1">
      <c r="A699" s="34"/>
      <c r="B699" s="35"/>
      <c r="C699" s="15"/>
      <c r="D699" s="15"/>
      <c r="E699" s="15"/>
      <c r="F699" s="15"/>
      <c r="G699" s="36" t="str">
        <f t="array" ref="G699">IF($F699="","",IFERROR(INDEX(Config!$E:$E,MATCH($F699,Config!$D:$D,0)),0))</f>
        <v/>
      </c>
      <c r="H699" s="16"/>
      <c r="I699" s="36" t="str">
        <f t="shared" si="1"/>
        <v/>
      </c>
      <c r="J699" s="16"/>
      <c r="K699" s="15"/>
      <c r="L699" s="15"/>
      <c r="M699" s="36" t="str">
        <f t="array" ref="M699">IF($A699="","",IF($L699="Atendido",IFERROR($I699*INDEX(Config!$B:$B,MATCH($C699,Config!$A:$A,0)),0),0))</f>
        <v/>
      </c>
      <c r="N699" s="36" t="str">
        <f t="shared" si="2"/>
        <v/>
      </c>
      <c r="O699" s="36" t="str">
        <f t="shared" si="3"/>
        <v/>
      </c>
      <c r="P699" s="15"/>
      <c r="Q699" s="37" t="str">
        <f t="shared" si="4"/>
        <v/>
      </c>
      <c r="R699" s="37" t="str">
        <f t="shared" si="5"/>
        <v/>
      </c>
      <c r="S699" s="32" t="str">
        <f t="shared" si="6"/>
        <v/>
      </c>
      <c r="T699" s="37" t="str">
        <f t="shared" si="7"/>
        <v/>
      </c>
      <c r="U699" s="37" t="str">
        <f t="array" ref="U699">IF($F699="","",IFERROR(INDEX(Config!$F:$F,MATCH($F699,Config!$D:$D,0)),0))</f>
        <v/>
      </c>
    </row>
    <row r="700" ht="15.0" customHeight="1">
      <c r="A700" s="34"/>
      <c r="B700" s="35"/>
      <c r="C700" s="15"/>
      <c r="D700" s="15"/>
      <c r="E700" s="15"/>
      <c r="F700" s="15"/>
      <c r="G700" s="36" t="str">
        <f t="array" ref="G700">IF($F700="","",IFERROR(INDEX(Config!$E:$E,MATCH($F700,Config!$D:$D,0)),0))</f>
        <v/>
      </c>
      <c r="H700" s="16"/>
      <c r="I700" s="36" t="str">
        <f t="shared" si="1"/>
        <v/>
      </c>
      <c r="J700" s="16"/>
      <c r="K700" s="15"/>
      <c r="L700" s="15"/>
      <c r="M700" s="36" t="str">
        <f t="array" ref="M700">IF($A700="","",IF($L700="Atendido",IFERROR($I700*INDEX(Config!$B:$B,MATCH($C700,Config!$A:$A,0)),0),0))</f>
        <v/>
      </c>
      <c r="N700" s="36" t="str">
        <f t="shared" si="2"/>
        <v/>
      </c>
      <c r="O700" s="36" t="str">
        <f t="shared" si="3"/>
        <v/>
      </c>
      <c r="P700" s="15"/>
      <c r="Q700" s="37" t="str">
        <f t="shared" si="4"/>
        <v/>
      </c>
      <c r="R700" s="37" t="str">
        <f t="shared" si="5"/>
        <v/>
      </c>
      <c r="S700" s="32" t="str">
        <f t="shared" si="6"/>
        <v/>
      </c>
      <c r="T700" s="37" t="str">
        <f t="shared" si="7"/>
        <v/>
      </c>
      <c r="U700" s="37" t="str">
        <f t="array" ref="U700">IF($F700="","",IFERROR(INDEX(Config!$F:$F,MATCH($F700,Config!$D:$D,0)),0))</f>
        <v/>
      </c>
    </row>
    <row r="701" ht="15.0" customHeight="1">
      <c r="A701" s="34"/>
      <c r="B701" s="35"/>
      <c r="C701" s="15"/>
      <c r="D701" s="15"/>
      <c r="E701" s="15"/>
      <c r="F701" s="15"/>
      <c r="G701" s="36" t="str">
        <f t="array" ref="G701">IF($F701="","",IFERROR(INDEX(Config!$E:$E,MATCH($F701,Config!$D:$D,0)),0))</f>
        <v/>
      </c>
      <c r="H701" s="16"/>
      <c r="I701" s="36" t="str">
        <f t="shared" si="1"/>
        <v/>
      </c>
      <c r="J701" s="16"/>
      <c r="K701" s="15"/>
      <c r="L701" s="15"/>
      <c r="M701" s="36" t="str">
        <f t="array" ref="M701">IF($A701="","",IF($L701="Atendido",IFERROR($I701*INDEX(Config!$B:$B,MATCH($C701,Config!$A:$A,0)),0),0))</f>
        <v/>
      </c>
      <c r="N701" s="36" t="str">
        <f t="shared" si="2"/>
        <v/>
      </c>
      <c r="O701" s="36" t="str">
        <f t="shared" si="3"/>
        <v/>
      </c>
      <c r="P701" s="15"/>
      <c r="Q701" s="37" t="str">
        <f t="shared" si="4"/>
        <v/>
      </c>
      <c r="R701" s="37" t="str">
        <f t="shared" si="5"/>
        <v/>
      </c>
      <c r="S701" s="32" t="str">
        <f t="shared" si="6"/>
        <v/>
      </c>
      <c r="T701" s="37" t="str">
        <f t="shared" si="7"/>
        <v/>
      </c>
      <c r="U701" s="37" t="str">
        <f t="array" ref="U701">IF($F701="","",IFERROR(INDEX(Config!$F:$F,MATCH($F701,Config!$D:$D,0)),0))</f>
        <v/>
      </c>
    </row>
    <row r="702" ht="15.0" customHeight="1">
      <c r="A702" s="34"/>
      <c r="B702" s="35"/>
      <c r="C702" s="15"/>
      <c r="D702" s="15"/>
      <c r="E702" s="15"/>
      <c r="F702" s="15"/>
      <c r="G702" s="36" t="str">
        <f t="array" ref="G702">IF($F702="","",IFERROR(INDEX(Config!$E:$E,MATCH($F702,Config!$D:$D,0)),0))</f>
        <v/>
      </c>
      <c r="H702" s="16"/>
      <c r="I702" s="36" t="str">
        <f t="shared" si="1"/>
        <v/>
      </c>
      <c r="J702" s="16"/>
      <c r="K702" s="15"/>
      <c r="L702" s="15"/>
      <c r="M702" s="36" t="str">
        <f t="array" ref="M702">IF($A702="","",IF($L702="Atendido",IFERROR($I702*INDEX(Config!$B:$B,MATCH($C702,Config!$A:$A,0)),0),0))</f>
        <v/>
      </c>
      <c r="N702" s="36" t="str">
        <f t="shared" si="2"/>
        <v/>
      </c>
      <c r="O702" s="36" t="str">
        <f t="shared" si="3"/>
        <v/>
      </c>
      <c r="P702" s="15"/>
      <c r="Q702" s="37" t="str">
        <f t="shared" si="4"/>
        <v/>
      </c>
      <c r="R702" s="37" t="str">
        <f t="shared" si="5"/>
        <v/>
      </c>
      <c r="S702" s="32" t="str">
        <f t="shared" si="6"/>
        <v/>
      </c>
      <c r="T702" s="37" t="str">
        <f t="shared" si="7"/>
        <v/>
      </c>
      <c r="U702" s="37" t="str">
        <f t="array" ref="U702">IF($F702="","",IFERROR(INDEX(Config!$F:$F,MATCH($F702,Config!$D:$D,0)),0))</f>
        <v/>
      </c>
    </row>
    <row r="703" ht="15.0" customHeight="1">
      <c r="A703" s="34"/>
      <c r="B703" s="35"/>
      <c r="C703" s="15"/>
      <c r="D703" s="15"/>
      <c r="E703" s="15"/>
      <c r="F703" s="15"/>
      <c r="G703" s="36" t="str">
        <f t="array" ref="G703">IF($F703="","",IFERROR(INDEX(Config!$E:$E,MATCH($F703,Config!$D:$D,0)),0))</f>
        <v/>
      </c>
      <c r="H703" s="16"/>
      <c r="I703" s="36" t="str">
        <f t="shared" si="1"/>
        <v/>
      </c>
      <c r="J703" s="16"/>
      <c r="K703" s="15"/>
      <c r="L703" s="15"/>
      <c r="M703" s="36" t="str">
        <f t="array" ref="M703">IF($A703="","",IF($L703="Atendido",IFERROR($I703*INDEX(Config!$B:$B,MATCH($C703,Config!$A:$A,0)),0),0))</f>
        <v/>
      </c>
      <c r="N703" s="36" t="str">
        <f t="shared" si="2"/>
        <v/>
      </c>
      <c r="O703" s="36" t="str">
        <f t="shared" si="3"/>
        <v/>
      </c>
      <c r="P703" s="15"/>
      <c r="Q703" s="37" t="str">
        <f t="shared" si="4"/>
        <v/>
      </c>
      <c r="R703" s="37" t="str">
        <f t="shared" si="5"/>
        <v/>
      </c>
      <c r="S703" s="32" t="str">
        <f t="shared" si="6"/>
        <v/>
      </c>
      <c r="T703" s="37" t="str">
        <f t="shared" si="7"/>
        <v/>
      </c>
      <c r="U703" s="37" t="str">
        <f t="array" ref="U703">IF($F703="","",IFERROR(INDEX(Config!$F:$F,MATCH($F703,Config!$D:$D,0)),0))</f>
        <v/>
      </c>
    </row>
    <row r="704" ht="15.0" customHeight="1">
      <c r="A704" s="34"/>
      <c r="B704" s="35"/>
      <c r="C704" s="15"/>
      <c r="D704" s="15"/>
      <c r="E704" s="15"/>
      <c r="F704" s="15"/>
      <c r="G704" s="36" t="str">
        <f t="array" ref="G704">IF($F704="","",IFERROR(INDEX(Config!$E:$E,MATCH($F704,Config!$D:$D,0)),0))</f>
        <v/>
      </c>
      <c r="H704" s="16"/>
      <c r="I704" s="36" t="str">
        <f t="shared" si="1"/>
        <v/>
      </c>
      <c r="J704" s="16"/>
      <c r="K704" s="15"/>
      <c r="L704" s="15"/>
      <c r="M704" s="36" t="str">
        <f t="array" ref="M704">IF($A704="","",IF($L704="Atendido",IFERROR($I704*INDEX(Config!$B:$B,MATCH($C704,Config!$A:$A,0)),0),0))</f>
        <v/>
      </c>
      <c r="N704" s="36" t="str">
        <f t="shared" si="2"/>
        <v/>
      </c>
      <c r="O704" s="36" t="str">
        <f t="shared" si="3"/>
        <v/>
      </c>
      <c r="P704" s="15"/>
      <c r="Q704" s="37" t="str">
        <f t="shared" si="4"/>
        <v/>
      </c>
      <c r="R704" s="37" t="str">
        <f t="shared" si="5"/>
        <v/>
      </c>
      <c r="S704" s="32" t="str">
        <f t="shared" si="6"/>
        <v/>
      </c>
      <c r="T704" s="37" t="str">
        <f t="shared" si="7"/>
        <v/>
      </c>
      <c r="U704" s="37" t="str">
        <f t="array" ref="U704">IF($F704="","",IFERROR(INDEX(Config!$F:$F,MATCH($F704,Config!$D:$D,0)),0))</f>
        <v/>
      </c>
    </row>
    <row r="705" ht="15.0" customHeight="1">
      <c r="A705" s="34"/>
      <c r="B705" s="35"/>
      <c r="C705" s="15"/>
      <c r="D705" s="15"/>
      <c r="E705" s="15"/>
      <c r="F705" s="15"/>
      <c r="G705" s="36" t="str">
        <f t="array" ref="G705">IF($F705="","",IFERROR(INDEX(Config!$E:$E,MATCH($F705,Config!$D:$D,0)),0))</f>
        <v/>
      </c>
      <c r="H705" s="16"/>
      <c r="I705" s="36" t="str">
        <f t="shared" si="1"/>
        <v/>
      </c>
      <c r="J705" s="16"/>
      <c r="K705" s="15"/>
      <c r="L705" s="15"/>
      <c r="M705" s="36" t="str">
        <f t="array" ref="M705">IF($A705="","",IF($L705="Atendido",IFERROR($I705*INDEX(Config!$B:$B,MATCH($C705,Config!$A:$A,0)),0),0))</f>
        <v/>
      </c>
      <c r="N705" s="36" t="str">
        <f t="shared" si="2"/>
        <v/>
      </c>
      <c r="O705" s="36" t="str">
        <f t="shared" si="3"/>
        <v/>
      </c>
      <c r="P705" s="15"/>
      <c r="Q705" s="37" t="str">
        <f t="shared" si="4"/>
        <v/>
      </c>
      <c r="R705" s="37" t="str">
        <f t="shared" si="5"/>
        <v/>
      </c>
      <c r="S705" s="32" t="str">
        <f t="shared" si="6"/>
        <v/>
      </c>
      <c r="T705" s="37" t="str">
        <f t="shared" si="7"/>
        <v/>
      </c>
      <c r="U705" s="37" t="str">
        <f t="array" ref="U705">IF($F705="","",IFERROR(INDEX(Config!$F:$F,MATCH($F705,Config!$D:$D,0)),0))</f>
        <v/>
      </c>
    </row>
    <row r="706" ht="15.0" customHeight="1">
      <c r="A706" s="34"/>
      <c r="B706" s="35"/>
      <c r="C706" s="15"/>
      <c r="D706" s="15"/>
      <c r="E706" s="15"/>
      <c r="F706" s="15"/>
      <c r="G706" s="36" t="str">
        <f t="array" ref="G706">IF($F706="","",IFERROR(INDEX(Config!$E:$E,MATCH($F706,Config!$D:$D,0)),0))</f>
        <v/>
      </c>
      <c r="H706" s="16"/>
      <c r="I706" s="36" t="str">
        <f t="shared" si="1"/>
        <v/>
      </c>
      <c r="J706" s="16"/>
      <c r="K706" s="15"/>
      <c r="L706" s="15"/>
      <c r="M706" s="36" t="str">
        <f t="array" ref="M706">IF($A706="","",IF($L706="Atendido",IFERROR($I706*INDEX(Config!$B:$B,MATCH($C706,Config!$A:$A,0)),0),0))</f>
        <v/>
      </c>
      <c r="N706" s="36" t="str">
        <f t="shared" si="2"/>
        <v/>
      </c>
      <c r="O706" s="36" t="str">
        <f t="shared" si="3"/>
        <v/>
      </c>
      <c r="P706" s="15"/>
      <c r="Q706" s="37" t="str">
        <f t="shared" si="4"/>
        <v/>
      </c>
      <c r="R706" s="37" t="str">
        <f t="shared" si="5"/>
        <v/>
      </c>
      <c r="S706" s="32" t="str">
        <f t="shared" si="6"/>
        <v/>
      </c>
      <c r="T706" s="37" t="str">
        <f t="shared" si="7"/>
        <v/>
      </c>
      <c r="U706" s="37" t="str">
        <f t="array" ref="U706">IF($F706="","",IFERROR(INDEX(Config!$F:$F,MATCH($F706,Config!$D:$D,0)),0))</f>
        <v/>
      </c>
    </row>
    <row r="707" ht="15.0" customHeight="1">
      <c r="A707" s="34"/>
      <c r="B707" s="35"/>
      <c r="C707" s="15"/>
      <c r="D707" s="15"/>
      <c r="E707" s="15"/>
      <c r="F707" s="15"/>
      <c r="G707" s="36" t="str">
        <f t="array" ref="G707">IF($F707="","",IFERROR(INDEX(Config!$E:$E,MATCH($F707,Config!$D:$D,0)),0))</f>
        <v/>
      </c>
      <c r="H707" s="16"/>
      <c r="I707" s="36" t="str">
        <f t="shared" si="1"/>
        <v/>
      </c>
      <c r="J707" s="16"/>
      <c r="K707" s="15"/>
      <c r="L707" s="15"/>
      <c r="M707" s="36" t="str">
        <f t="array" ref="M707">IF($A707="","",IF($L707="Atendido",IFERROR($I707*INDEX(Config!$B:$B,MATCH($C707,Config!$A:$A,0)),0),0))</f>
        <v/>
      </c>
      <c r="N707" s="36" t="str">
        <f t="shared" si="2"/>
        <v/>
      </c>
      <c r="O707" s="36" t="str">
        <f t="shared" si="3"/>
        <v/>
      </c>
      <c r="P707" s="15"/>
      <c r="Q707" s="37" t="str">
        <f t="shared" si="4"/>
        <v/>
      </c>
      <c r="R707" s="37" t="str">
        <f t="shared" si="5"/>
        <v/>
      </c>
      <c r="S707" s="32" t="str">
        <f t="shared" si="6"/>
        <v/>
      </c>
      <c r="T707" s="37" t="str">
        <f t="shared" si="7"/>
        <v/>
      </c>
      <c r="U707" s="37" t="str">
        <f t="array" ref="U707">IF($F707="","",IFERROR(INDEX(Config!$F:$F,MATCH($F707,Config!$D:$D,0)),0))</f>
        <v/>
      </c>
    </row>
    <row r="708" ht="15.0" customHeight="1">
      <c r="A708" s="34"/>
      <c r="B708" s="35"/>
      <c r="C708" s="15"/>
      <c r="D708" s="15"/>
      <c r="E708" s="15"/>
      <c r="F708" s="15"/>
      <c r="G708" s="36" t="str">
        <f t="array" ref="G708">IF($F708="","",IFERROR(INDEX(Config!$E:$E,MATCH($F708,Config!$D:$D,0)),0))</f>
        <v/>
      </c>
      <c r="H708" s="16"/>
      <c r="I708" s="36" t="str">
        <f t="shared" si="1"/>
        <v/>
      </c>
      <c r="J708" s="16"/>
      <c r="K708" s="15"/>
      <c r="L708" s="15"/>
      <c r="M708" s="36" t="str">
        <f t="array" ref="M708">IF($A708="","",IF($L708="Atendido",IFERROR($I708*INDEX(Config!$B:$B,MATCH($C708,Config!$A:$A,0)),0),0))</f>
        <v/>
      </c>
      <c r="N708" s="36" t="str">
        <f t="shared" si="2"/>
        <v/>
      </c>
      <c r="O708" s="36" t="str">
        <f t="shared" si="3"/>
        <v/>
      </c>
      <c r="P708" s="15"/>
      <c r="Q708" s="37" t="str">
        <f t="shared" si="4"/>
        <v/>
      </c>
      <c r="R708" s="37" t="str">
        <f t="shared" si="5"/>
        <v/>
      </c>
      <c r="S708" s="32" t="str">
        <f t="shared" si="6"/>
        <v/>
      </c>
      <c r="T708" s="37" t="str">
        <f t="shared" si="7"/>
        <v/>
      </c>
      <c r="U708" s="37" t="str">
        <f t="array" ref="U708">IF($F708="","",IFERROR(INDEX(Config!$F:$F,MATCH($F708,Config!$D:$D,0)),0))</f>
        <v/>
      </c>
    </row>
    <row r="709" ht="15.0" customHeight="1">
      <c r="A709" s="34"/>
      <c r="B709" s="35"/>
      <c r="C709" s="15"/>
      <c r="D709" s="15"/>
      <c r="E709" s="15"/>
      <c r="F709" s="15"/>
      <c r="G709" s="36" t="str">
        <f t="array" ref="G709">IF($F709="","",IFERROR(INDEX(Config!$E:$E,MATCH($F709,Config!$D:$D,0)),0))</f>
        <v/>
      </c>
      <c r="H709" s="16"/>
      <c r="I709" s="36" t="str">
        <f t="shared" si="1"/>
        <v/>
      </c>
      <c r="J709" s="16"/>
      <c r="K709" s="15"/>
      <c r="L709" s="15"/>
      <c r="M709" s="36" t="str">
        <f t="array" ref="M709">IF($A709="","",IF($L709="Atendido",IFERROR($I709*INDEX(Config!$B:$B,MATCH($C709,Config!$A:$A,0)),0),0))</f>
        <v/>
      </c>
      <c r="N709" s="36" t="str">
        <f t="shared" si="2"/>
        <v/>
      </c>
      <c r="O709" s="36" t="str">
        <f t="shared" si="3"/>
        <v/>
      </c>
      <c r="P709" s="15"/>
      <c r="Q709" s="37" t="str">
        <f t="shared" si="4"/>
        <v/>
      </c>
      <c r="R709" s="37" t="str">
        <f t="shared" si="5"/>
        <v/>
      </c>
      <c r="S709" s="32" t="str">
        <f t="shared" si="6"/>
        <v/>
      </c>
      <c r="T709" s="37" t="str">
        <f t="shared" si="7"/>
        <v/>
      </c>
      <c r="U709" s="37" t="str">
        <f t="array" ref="U709">IF($F709="","",IFERROR(INDEX(Config!$F:$F,MATCH($F709,Config!$D:$D,0)),0))</f>
        <v/>
      </c>
    </row>
    <row r="710" ht="15.0" customHeight="1">
      <c r="A710" s="34"/>
      <c r="B710" s="35"/>
      <c r="C710" s="15"/>
      <c r="D710" s="15"/>
      <c r="E710" s="15"/>
      <c r="F710" s="15"/>
      <c r="G710" s="36" t="str">
        <f t="array" ref="G710">IF($F710="","",IFERROR(INDEX(Config!$E:$E,MATCH($F710,Config!$D:$D,0)),0))</f>
        <v/>
      </c>
      <c r="H710" s="16"/>
      <c r="I710" s="36" t="str">
        <f t="shared" si="1"/>
        <v/>
      </c>
      <c r="J710" s="16"/>
      <c r="K710" s="15"/>
      <c r="L710" s="15"/>
      <c r="M710" s="36" t="str">
        <f t="array" ref="M710">IF($A710="","",IF($L710="Atendido",IFERROR($I710*INDEX(Config!$B:$B,MATCH($C710,Config!$A:$A,0)),0),0))</f>
        <v/>
      </c>
      <c r="N710" s="36" t="str">
        <f t="shared" si="2"/>
        <v/>
      </c>
      <c r="O710" s="36" t="str">
        <f t="shared" si="3"/>
        <v/>
      </c>
      <c r="P710" s="15"/>
      <c r="Q710" s="37" t="str">
        <f t="shared" si="4"/>
        <v/>
      </c>
      <c r="R710" s="37" t="str">
        <f t="shared" si="5"/>
        <v/>
      </c>
      <c r="S710" s="32" t="str">
        <f t="shared" si="6"/>
        <v/>
      </c>
      <c r="T710" s="37" t="str">
        <f t="shared" si="7"/>
        <v/>
      </c>
      <c r="U710" s="37" t="str">
        <f t="array" ref="U710">IF($F710="","",IFERROR(INDEX(Config!$F:$F,MATCH($F710,Config!$D:$D,0)),0))</f>
        <v/>
      </c>
    </row>
    <row r="711" ht="15.0" customHeight="1">
      <c r="A711" s="34"/>
      <c r="B711" s="35"/>
      <c r="C711" s="15"/>
      <c r="D711" s="15"/>
      <c r="E711" s="15"/>
      <c r="F711" s="15"/>
      <c r="G711" s="36" t="str">
        <f t="array" ref="G711">IF($F711="","",IFERROR(INDEX(Config!$E:$E,MATCH($F711,Config!$D:$D,0)),0))</f>
        <v/>
      </c>
      <c r="H711" s="16"/>
      <c r="I711" s="36" t="str">
        <f t="shared" si="1"/>
        <v/>
      </c>
      <c r="J711" s="16"/>
      <c r="K711" s="15"/>
      <c r="L711" s="15"/>
      <c r="M711" s="36" t="str">
        <f t="array" ref="M711">IF($A711="","",IF($L711="Atendido",IFERROR($I711*INDEX(Config!$B:$B,MATCH($C711,Config!$A:$A,0)),0),0))</f>
        <v/>
      </c>
      <c r="N711" s="36" t="str">
        <f t="shared" si="2"/>
        <v/>
      </c>
      <c r="O711" s="36" t="str">
        <f t="shared" si="3"/>
        <v/>
      </c>
      <c r="P711" s="15"/>
      <c r="Q711" s="37" t="str">
        <f t="shared" si="4"/>
        <v/>
      </c>
      <c r="R711" s="37" t="str">
        <f t="shared" si="5"/>
        <v/>
      </c>
      <c r="S711" s="32" t="str">
        <f t="shared" si="6"/>
        <v/>
      </c>
      <c r="T711" s="37" t="str">
        <f t="shared" si="7"/>
        <v/>
      </c>
      <c r="U711" s="37" t="str">
        <f t="array" ref="U711">IF($F711="","",IFERROR(INDEX(Config!$F:$F,MATCH($F711,Config!$D:$D,0)),0))</f>
        <v/>
      </c>
    </row>
    <row r="712" ht="15.0" customHeight="1">
      <c r="A712" s="34"/>
      <c r="B712" s="35"/>
      <c r="C712" s="15"/>
      <c r="D712" s="15"/>
      <c r="E712" s="15"/>
      <c r="F712" s="15"/>
      <c r="G712" s="36" t="str">
        <f t="array" ref="G712">IF($F712="","",IFERROR(INDEX(Config!$E:$E,MATCH($F712,Config!$D:$D,0)),0))</f>
        <v/>
      </c>
      <c r="H712" s="16"/>
      <c r="I712" s="36" t="str">
        <f t="shared" si="1"/>
        <v/>
      </c>
      <c r="J712" s="16"/>
      <c r="K712" s="15"/>
      <c r="L712" s="15"/>
      <c r="M712" s="36" t="str">
        <f t="array" ref="M712">IF($A712="","",IF($L712="Atendido",IFERROR($I712*INDEX(Config!$B:$B,MATCH($C712,Config!$A:$A,0)),0),0))</f>
        <v/>
      </c>
      <c r="N712" s="36" t="str">
        <f t="shared" si="2"/>
        <v/>
      </c>
      <c r="O712" s="36" t="str">
        <f t="shared" si="3"/>
        <v/>
      </c>
      <c r="P712" s="15"/>
      <c r="Q712" s="37" t="str">
        <f t="shared" si="4"/>
        <v/>
      </c>
      <c r="R712" s="37" t="str">
        <f t="shared" si="5"/>
        <v/>
      </c>
      <c r="S712" s="32" t="str">
        <f t="shared" si="6"/>
        <v/>
      </c>
      <c r="T712" s="37" t="str">
        <f t="shared" si="7"/>
        <v/>
      </c>
      <c r="U712" s="37" t="str">
        <f t="array" ref="U712">IF($F712="","",IFERROR(INDEX(Config!$F:$F,MATCH($F712,Config!$D:$D,0)),0))</f>
        <v/>
      </c>
    </row>
    <row r="713" ht="15.0" customHeight="1">
      <c r="A713" s="34"/>
      <c r="B713" s="35"/>
      <c r="C713" s="15"/>
      <c r="D713" s="15"/>
      <c r="E713" s="15"/>
      <c r="F713" s="15"/>
      <c r="G713" s="36" t="str">
        <f t="array" ref="G713">IF($F713="","",IFERROR(INDEX(Config!$E:$E,MATCH($F713,Config!$D:$D,0)),0))</f>
        <v/>
      </c>
      <c r="H713" s="16"/>
      <c r="I713" s="36" t="str">
        <f t="shared" si="1"/>
        <v/>
      </c>
      <c r="J713" s="16"/>
      <c r="K713" s="15"/>
      <c r="L713" s="15"/>
      <c r="M713" s="36" t="str">
        <f t="array" ref="M713">IF($A713="","",IF($L713="Atendido",IFERROR($I713*INDEX(Config!$B:$B,MATCH($C713,Config!$A:$A,0)),0),0))</f>
        <v/>
      </c>
      <c r="N713" s="36" t="str">
        <f t="shared" si="2"/>
        <v/>
      </c>
      <c r="O713" s="36" t="str">
        <f t="shared" si="3"/>
        <v/>
      </c>
      <c r="P713" s="15"/>
      <c r="Q713" s="37" t="str">
        <f t="shared" si="4"/>
        <v/>
      </c>
      <c r="R713" s="37" t="str">
        <f t="shared" si="5"/>
        <v/>
      </c>
      <c r="S713" s="32" t="str">
        <f t="shared" si="6"/>
        <v/>
      </c>
      <c r="T713" s="37" t="str">
        <f t="shared" si="7"/>
        <v/>
      </c>
      <c r="U713" s="37" t="str">
        <f t="array" ref="U713">IF($F713="","",IFERROR(INDEX(Config!$F:$F,MATCH($F713,Config!$D:$D,0)),0))</f>
        <v/>
      </c>
    </row>
    <row r="714" ht="15.0" customHeight="1">
      <c r="A714" s="34"/>
      <c r="B714" s="35"/>
      <c r="C714" s="15"/>
      <c r="D714" s="15"/>
      <c r="E714" s="15"/>
      <c r="F714" s="15"/>
      <c r="G714" s="36" t="str">
        <f t="array" ref="G714">IF($F714="","",IFERROR(INDEX(Config!$E:$E,MATCH($F714,Config!$D:$D,0)),0))</f>
        <v/>
      </c>
      <c r="H714" s="16"/>
      <c r="I714" s="36" t="str">
        <f t="shared" si="1"/>
        <v/>
      </c>
      <c r="J714" s="16"/>
      <c r="K714" s="15"/>
      <c r="L714" s="15"/>
      <c r="M714" s="36" t="str">
        <f t="array" ref="M714">IF($A714="","",IF($L714="Atendido",IFERROR($I714*INDEX(Config!$B:$B,MATCH($C714,Config!$A:$A,0)),0),0))</f>
        <v/>
      </c>
      <c r="N714" s="36" t="str">
        <f t="shared" si="2"/>
        <v/>
      </c>
      <c r="O714" s="36" t="str">
        <f t="shared" si="3"/>
        <v/>
      </c>
      <c r="P714" s="15"/>
      <c r="Q714" s="37" t="str">
        <f t="shared" si="4"/>
        <v/>
      </c>
      <c r="R714" s="37" t="str">
        <f t="shared" si="5"/>
        <v/>
      </c>
      <c r="S714" s="32" t="str">
        <f t="shared" si="6"/>
        <v/>
      </c>
      <c r="T714" s="37" t="str">
        <f t="shared" si="7"/>
        <v/>
      </c>
      <c r="U714" s="37" t="str">
        <f t="array" ref="U714">IF($F714="","",IFERROR(INDEX(Config!$F:$F,MATCH($F714,Config!$D:$D,0)),0))</f>
        <v/>
      </c>
    </row>
    <row r="715" ht="15.0" customHeight="1">
      <c r="A715" s="34"/>
      <c r="B715" s="35"/>
      <c r="C715" s="15"/>
      <c r="D715" s="15"/>
      <c r="E715" s="15"/>
      <c r="F715" s="15"/>
      <c r="G715" s="36" t="str">
        <f t="array" ref="G715">IF($F715="","",IFERROR(INDEX(Config!$E:$E,MATCH($F715,Config!$D:$D,0)),0))</f>
        <v/>
      </c>
      <c r="H715" s="16"/>
      <c r="I715" s="36" t="str">
        <f t="shared" si="1"/>
        <v/>
      </c>
      <c r="J715" s="16"/>
      <c r="K715" s="15"/>
      <c r="L715" s="15"/>
      <c r="M715" s="36" t="str">
        <f t="array" ref="M715">IF($A715="","",IF($L715="Atendido",IFERROR($I715*INDEX(Config!$B:$B,MATCH($C715,Config!$A:$A,0)),0),0))</f>
        <v/>
      </c>
      <c r="N715" s="36" t="str">
        <f t="shared" si="2"/>
        <v/>
      </c>
      <c r="O715" s="36" t="str">
        <f t="shared" si="3"/>
        <v/>
      </c>
      <c r="P715" s="15"/>
      <c r="Q715" s="37" t="str">
        <f t="shared" si="4"/>
        <v/>
      </c>
      <c r="R715" s="37" t="str">
        <f t="shared" si="5"/>
        <v/>
      </c>
      <c r="S715" s="32" t="str">
        <f t="shared" si="6"/>
        <v/>
      </c>
      <c r="T715" s="37" t="str">
        <f t="shared" si="7"/>
        <v/>
      </c>
      <c r="U715" s="37" t="str">
        <f t="array" ref="U715">IF($F715="","",IFERROR(INDEX(Config!$F:$F,MATCH($F715,Config!$D:$D,0)),0))</f>
        <v/>
      </c>
    </row>
    <row r="716" ht="15.0" customHeight="1">
      <c r="A716" s="34"/>
      <c r="B716" s="35"/>
      <c r="C716" s="15"/>
      <c r="D716" s="15"/>
      <c r="E716" s="15"/>
      <c r="F716" s="15"/>
      <c r="G716" s="36" t="str">
        <f t="array" ref="G716">IF($F716="","",IFERROR(INDEX(Config!$E:$E,MATCH($F716,Config!$D:$D,0)),0))</f>
        <v/>
      </c>
      <c r="H716" s="16"/>
      <c r="I716" s="36" t="str">
        <f t="shared" si="1"/>
        <v/>
      </c>
      <c r="J716" s="16"/>
      <c r="K716" s="15"/>
      <c r="L716" s="15"/>
      <c r="M716" s="36" t="str">
        <f t="array" ref="M716">IF($A716="","",IF($L716="Atendido",IFERROR($I716*INDEX(Config!$B:$B,MATCH($C716,Config!$A:$A,0)),0),0))</f>
        <v/>
      </c>
      <c r="N716" s="36" t="str">
        <f t="shared" si="2"/>
        <v/>
      </c>
      <c r="O716" s="36" t="str">
        <f t="shared" si="3"/>
        <v/>
      </c>
      <c r="P716" s="15"/>
      <c r="Q716" s="37" t="str">
        <f t="shared" si="4"/>
        <v/>
      </c>
      <c r="R716" s="37" t="str">
        <f t="shared" si="5"/>
        <v/>
      </c>
      <c r="S716" s="32" t="str">
        <f t="shared" si="6"/>
        <v/>
      </c>
      <c r="T716" s="37" t="str">
        <f t="shared" si="7"/>
        <v/>
      </c>
      <c r="U716" s="37" t="str">
        <f t="array" ref="U716">IF($F716="","",IFERROR(INDEX(Config!$F:$F,MATCH($F716,Config!$D:$D,0)),0))</f>
        <v/>
      </c>
    </row>
    <row r="717" ht="15.0" customHeight="1">
      <c r="A717" s="34"/>
      <c r="B717" s="35"/>
      <c r="C717" s="15"/>
      <c r="D717" s="15"/>
      <c r="E717" s="15"/>
      <c r="F717" s="15"/>
      <c r="G717" s="36" t="str">
        <f t="array" ref="G717">IF($F717="","",IFERROR(INDEX(Config!$E:$E,MATCH($F717,Config!$D:$D,0)),0))</f>
        <v/>
      </c>
      <c r="H717" s="16"/>
      <c r="I717" s="36" t="str">
        <f t="shared" si="1"/>
        <v/>
      </c>
      <c r="J717" s="16"/>
      <c r="K717" s="15"/>
      <c r="L717" s="15"/>
      <c r="M717" s="36" t="str">
        <f t="array" ref="M717">IF($A717="","",IF($L717="Atendido",IFERROR($I717*INDEX(Config!$B:$B,MATCH($C717,Config!$A:$A,0)),0),0))</f>
        <v/>
      </c>
      <c r="N717" s="36" t="str">
        <f t="shared" si="2"/>
        <v/>
      </c>
      <c r="O717" s="36" t="str">
        <f t="shared" si="3"/>
        <v/>
      </c>
      <c r="P717" s="15"/>
      <c r="Q717" s="37" t="str">
        <f t="shared" si="4"/>
        <v/>
      </c>
      <c r="R717" s="37" t="str">
        <f t="shared" si="5"/>
        <v/>
      </c>
      <c r="S717" s="32" t="str">
        <f t="shared" si="6"/>
        <v/>
      </c>
      <c r="T717" s="37" t="str">
        <f t="shared" si="7"/>
        <v/>
      </c>
      <c r="U717" s="37" t="str">
        <f t="array" ref="U717">IF($F717="","",IFERROR(INDEX(Config!$F:$F,MATCH($F717,Config!$D:$D,0)),0))</f>
        <v/>
      </c>
    </row>
    <row r="718" ht="15.0" customHeight="1">
      <c r="A718" s="34"/>
      <c r="B718" s="35"/>
      <c r="C718" s="15"/>
      <c r="D718" s="15"/>
      <c r="E718" s="15"/>
      <c r="F718" s="15"/>
      <c r="G718" s="36" t="str">
        <f t="array" ref="G718">IF($F718="","",IFERROR(INDEX(Config!$E:$E,MATCH($F718,Config!$D:$D,0)),0))</f>
        <v/>
      </c>
      <c r="H718" s="16"/>
      <c r="I718" s="36" t="str">
        <f t="shared" si="1"/>
        <v/>
      </c>
      <c r="J718" s="16"/>
      <c r="K718" s="15"/>
      <c r="L718" s="15"/>
      <c r="M718" s="36" t="str">
        <f t="array" ref="M718">IF($A718="","",IF($L718="Atendido",IFERROR($I718*INDEX(Config!$B:$B,MATCH($C718,Config!$A:$A,0)),0),0))</f>
        <v/>
      </c>
      <c r="N718" s="36" t="str">
        <f t="shared" si="2"/>
        <v/>
      </c>
      <c r="O718" s="36" t="str">
        <f t="shared" si="3"/>
        <v/>
      </c>
      <c r="P718" s="15"/>
      <c r="Q718" s="37" t="str">
        <f t="shared" si="4"/>
        <v/>
      </c>
      <c r="R718" s="37" t="str">
        <f t="shared" si="5"/>
        <v/>
      </c>
      <c r="S718" s="32" t="str">
        <f t="shared" si="6"/>
        <v/>
      </c>
      <c r="T718" s="37" t="str">
        <f t="shared" si="7"/>
        <v/>
      </c>
      <c r="U718" s="37" t="str">
        <f t="array" ref="U718">IF($F718="","",IFERROR(INDEX(Config!$F:$F,MATCH($F718,Config!$D:$D,0)),0))</f>
        <v/>
      </c>
    </row>
    <row r="719" ht="15.0" customHeight="1">
      <c r="A719" s="34"/>
      <c r="B719" s="35"/>
      <c r="C719" s="15"/>
      <c r="D719" s="15"/>
      <c r="E719" s="15"/>
      <c r="F719" s="15"/>
      <c r="G719" s="36" t="str">
        <f t="array" ref="G719">IF($F719="","",IFERROR(INDEX(Config!$E:$E,MATCH($F719,Config!$D:$D,0)),0))</f>
        <v/>
      </c>
      <c r="H719" s="16"/>
      <c r="I719" s="36" t="str">
        <f t="shared" si="1"/>
        <v/>
      </c>
      <c r="J719" s="16"/>
      <c r="K719" s="15"/>
      <c r="L719" s="15"/>
      <c r="M719" s="36" t="str">
        <f t="array" ref="M719">IF($A719="","",IF($L719="Atendido",IFERROR($I719*INDEX(Config!$B:$B,MATCH($C719,Config!$A:$A,0)),0),0))</f>
        <v/>
      </c>
      <c r="N719" s="36" t="str">
        <f t="shared" si="2"/>
        <v/>
      </c>
      <c r="O719" s="36" t="str">
        <f t="shared" si="3"/>
        <v/>
      </c>
      <c r="P719" s="15"/>
      <c r="Q719" s="37" t="str">
        <f t="shared" si="4"/>
        <v/>
      </c>
      <c r="R719" s="37" t="str">
        <f t="shared" si="5"/>
        <v/>
      </c>
      <c r="S719" s="32" t="str">
        <f t="shared" si="6"/>
        <v/>
      </c>
      <c r="T719" s="37" t="str">
        <f t="shared" si="7"/>
        <v/>
      </c>
      <c r="U719" s="37" t="str">
        <f t="array" ref="U719">IF($F719="","",IFERROR(INDEX(Config!$F:$F,MATCH($F719,Config!$D:$D,0)),0))</f>
        <v/>
      </c>
    </row>
    <row r="720" ht="15.0" customHeight="1">
      <c r="A720" s="34"/>
      <c r="B720" s="35"/>
      <c r="C720" s="15"/>
      <c r="D720" s="15"/>
      <c r="E720" s="15"/>
      <c r="F720" s="15"/>
      <c r="G720" s="36" t="str">
        <f t="array" ref="G720">IF($F720="","",IFERROR(INDEX(Config!$E:$E,MATCH($F720,Config!$D:$D,0)),0))</f>
        <v/>
      </c>
      <c r="H720" s="16"/>
      <c r="I720" s="36" t="str">
        <f t="shared" si="1"/>
        <v/>
      </c>
      <c r="J720" s="16"/>
      <c r="K720" s="15"/>
      <c r="L720" s="15"/>
      <c r="M720" s="36" t="str">
        <f t="array" ref="M720">IF($A720="","",IF($L720="Atendido",IFERROR($I720*INDEX(Config!$B:$B,MATCH($C720,Config!$A:$A,0)),0),0))</f>
        <v/>
      </c>
      <c r="N720" s="36" t="str">
        <f t="shared" si="2"/>
        <v/>
      </c>
      <c r="O720" s="36" t="str">
        <f t="shared" si="3"/>
        <v/>
      </c>
      <c r="P720" s="15"/>
      <c r="Q720" s="37" t="str">
        <f t="shared" si="4"/>
        <v/>
      </c>
      <c r="R720" s="37" t="str">
        <f t="shared" si="5"/>
        <v/>
      </c>
      <c r="S720" s="32" t="str">
        <f t="shared" si="6"/>
        <v/>
      </c>
      <c r="T720" s="37" t="str">
        <f t="shared" si="7"/>
        <v/>
      </c>
      <c r="U720" s="37" t="str">
        <f t="array" ref="U720">IF($F720="","",IFERROR(INDEX(Config!$F:$F,MATCH($F720,Config!$D:$D,0)),0))</f>
        <v/>
      </c>
    </row>
    <row r="721" ht="15.0" customHeight="1">
      <c r="A721" s="34"/>
      <c r="B721" s="35"/>
      <c r="C721" s="15"/>
      <c r="D721" s="15"/>
      <c r="E721" s="15"/>
      <c r="F721" s="15"/>
      <c r="G721" s="36" t="str">
        <f t="array" ref="G721">IF($F721="","",IFERROR(INDEX(Config!$E:$E,MATCH($F721,Config!$D:$D,0)),0))</f>
        <v/>
      </c>
      <c r="H721" s="16"/>
      <c r="I721" s="36" t="str">
        <f t="shared" si="1"/>
        <v/>
      </c>
      <c r="J721" s="16"/>
      <c r="K721" s="15"/>
      <c r="L721" s="15"/>
      <c r="M721" s="36" t="str">
        <f t="array" ref="M721">IF($A721="","",IF($L721="Atendido",IFERROR($I721*INDEX(Config!$B:$B,MATCH($C721,Config!$A:$A,0)),0),0))</f>
        <v/>
      </c>
      <c r="N721" s="36" t="str">
        <f t="shared" si="2"/>
        <v/>
      </c>
      <c r="O721" s="36" t="str">
        <f t="shared" si="3"/>
        <v/>
      </c>
      <c r="P721" s="15"/>
      <c r="Q721" s="37" t="str">
        <f t="shared" si="4"/>
        <v/>
      </c>
      <c r="R721" s="37" t="str">
        <f t="shared" si="5"/>
        <v/>
      </c>
      <c r="S721" s="32" t="str">
        <f t="shared" si="6"/>
        <v/>
      </c>
      <c r="T721" s="37" t="str">
        <f t="shared" si="7"/>
        <v/>
      </c>
      <c r="U721" s="37" t="str">
        <f t="array" ref="U721">IF($F721="","",IFERROR(INDEX(Config!$F:$F,MATCH($F721,Config!$D:$D,0)),0))</f>
        <v/>
      </c>
    </row>
    <row r="722" ht="15.0" customHeight="1">
      <c r="A722" s="34"/>
      <c r="B722" s="35"/>
      <c r="C722" s="15"/>
      <c r="D722" s="15"/>
      <c r="E722" s="15"/>
      <c r="F722" s="15"/>
      <c r="G722" s="36" t="str">
        <f t="array" ref="G722">IF($F722="","",IFERROR(INDEX(Config!$E:$E,MATCH($F722,Config!$D:$D,0)),0))</f>
        <v/>
      </c>
      <c r="H722" s="16"/>
      <c r="I722" s="36" t="str">
        <f t="shared" si="1"/>
        <v/>
      </c>
      <c r="J722" s="16"/>
      <c r="K722" s="15"/>
      <c r="L722" s="15"/>
      <c r="M722" s="36" t="str">
        <f t="array" ref="M722">IF($A722="","",IF($L722="Atendido",IFERROR($I722*INDEX(Config!$B:$B,MATCH($C722,Config!$A:$A,0)),0),0))</f>
        <v/>
      </c>
      <c r="N722" s="36" t="str">
        <f t="shared" si="2"/>
        <v/>
      </c>
      <c r="O722" s="36" t="str">
        <f t="shared" si="3"/>
        <v/>
      </c>
      <c r="P722" s="15"/>
      <c r="Q722" s="37" t="str">
        <f t="shared" si="4"/>
        <v/>
      </c>
      <c r="R722" s="37" t="str">
        <f t="shared" si="5"/>
        <v/>
      </c>
      <c r="S722" s="32" t="str">
        <f t="shared" si="6"/>
        <v/>
      </c>
      <c r="T722" s="37" t="str">
        <f t="shared" si="7"/>
        <v/>
      </c>
      <c r="U722" s="37" t="str">
        <f t="array" ref="U722">IF($F722="","",IFERROR(INDEX(Config!$F:$F,MATCH($F722,Config!$D:$D,0)),0))</f>
        <v/>
      </c>
    </row>
    <row r="723" ht="15.0" customHeight="1">
      <c r="A723" s="34"/>
      <c r="B723" s="35"/>
      <c r="C723" s="15"/>
      <c r="D723" s="15"/>
      <c r="E723" s="15"/>
      <c r="F723" s="15"/>
      <c r="G723" s="36" t="str">
        <f t="array" ref="G723">IF($F723="","",IFERROR(INDEX(Config!$E:$E,MATCH($F723,Config!$D:$D,0)),0))</f>
        <v/>
      </c>
      <c r="H723" s="16"/>
      <c r="I723" s="36" t="str">
        <f t="shared" si="1"/>
        <v/>
      </c>
      <c r="J723" s="16"/>
      <c r="K723" s="15"/>
      <c r="L723" s="15"/>
      <c r="M723" s="36" t="str">
        <f t="array" ref="M723">IF($A723="","",IF($L723="Atendido",IFERROR($I723*INDEX(Config!$B:$B,MATCH($C723,Config!$A:$A,0)),0),0))</f>
        <v/>
      </c>
      <c r="N723" s="36" t="str">
        <f t="shared" si="2"/>
        <v/>
      </c>
      <c r="O723" s="36" t="str">
        <f t="shared" si="3"/>
        <v/>
      </c>
      <c r="P723" s="15"/>
      <c r="Q723" s="37" t="str">
        <f t="shared" si="4"/>
        <v/>
      </c>
      <c r="R723" s="37" t="str">
        <f t="shared" si="5"/>
        <v/>
      </c>
      <c r="S723" s="32" t="str">
        <f t="shared" si="6"/>
        <v/>
      </c>
      <c r="T723" s="37" t="str">
        <f t="shared" si="7"/>
        <v/>
      </c>
      <c r="U723" s="37" t="str">
        <f t="array" ref="U723">IF($F723="","",IFERROR(INDEX(Config!$F:$F,MATCH($F723,Config!$D:$D,0)),0))</f>
        <v/>
      </c>
    </row>
    <row r="724" ht="15.0" customHeight="1">
      <c r="A724" s="34"/>
      <c r="B724" s="35"/>
      <c r="C724" s="15"/>
      <c r="D724" s="15"/>
      <c r="E724" s="15"/>
      <c r="F724" s="15"/>
      <c r="G724" s="36" t="str">
        <f t="array" ref="G724">IF($F724="","",IFERROR(INDEX(Config!$E:$E,MATCH($F724,Config!$D:$D,0)),0))</f>
        <v/>
      </c>
      <c r="H724" s="16"/>
      <c r="I724" s="36" t="str">
        <f t="shared" si="1"/>
        <v/>
      </c>
      <c r="J724" s="16"/>
      <c r="K724" s="15"/>
      <c r="L724" s="15"/>
      <c r="M724" s="36" t="str">
        <f t="array" ref="M724">IF($A724="","",IF($L724="Atendido",IFERROR($I724*INDEX(Config!$B:$B,MATCH($C724,Config!$A:$A,0)),0),0))</f>
        <v/>
      </c>
      <c r="N724" s="36" t="str">
        <f t="shared" si="2"/>
        <v/>
      </c>
      <c r="O724" s="36" t="str">
        <f t="shared" si="3"/>
        <v/>
      </c>
      <c r="P724" s="15"/>
      <c r="Q724" s="37" t="str">
        <f t="shared" si="4"/>
        <v/>
      </c>
      <c r="R724" s="37" t="str">
        <f t="shared" si="5"/>
        <v/>
      </c>
      <c r="S724" s="32" t="str">
        <f t="shared" si="6"/>
        <v/>
      </c>
      <c r="T724" s="37" t="str">
        <f t="shared" si="7"/>
        <v/>
      </c>
      <c r="U724" s="37" t="str">
        <f t="array" ref="U724">IF($F724="","",IFERROR(INDEX(Config!$F:$F,MATCH($F724,Config!$D:$D,0)),0))</f>
        <v/>
      </c>
    </row>
    <row r="725" ht="15.0" customHeight="1">
      <c r="A725" s="34"/>
      <c r="B725" s="35"/>
      <c r="C725" s="15"/>
      <c r="D725" s="15"/>
      <c r="E725" s="15"/>
      <c r="F725" s="15"/>
      <c r="G725" s="36" t="str">
        <f t="array" ref="G725">IF($F725="","",IFERROR(INDEX(Config!$E:$E,MATCH($F725,Config!$D:$D,0)),0))</f>
        <v/>
      </c>
      <c r="H725" s="16"/>
      <c r="I725" s="36" t="str">
        <f t="shared" si="1"/>
        <v/>
      </c>
      <c r="J725" s="16"/>
      <c r="K725" s="15"/>
      <c r="L725" s="15"/>
      <c r="M725" s="36" t="str">
        <f t="array" ref="M725">IF($A725="","",IF($L725="Atendido",IFERROR($I725*INDEX(Config!$B:$B,MATCH($C725,Config!$A:$A,0)),0),0))</f>
        <v/>
      </c>
      <c r="N725" s="36" t="str">
        <f t="shared" si="2"/>
        <v/>
      </c>
      <c r="O725" s="36" t="str">
        <f t="shared" si="3"/>
        <v/>
      </c>
      <c r="P725" s="15"/>
      <c r="Q725" s="37" t="str">
        <f t="shared" si="4"/>
        <v/>
      </c>
      <c r="R725" s="37" t="str">
        <f t="shared" si="5"/>
        <v/>
      </c>
      <c r="S725" s="32" t="str">
        <f t="shared" si="6"/>
        <v/>
      </c>
      <c r="T725" s="37" t="str">
        <f t="shared" si="7"/>
        <v/>
      </c>
      <c r="U725" s="37" t="str">
        <f t="array" ref="U725">IF($F725="","",IFERROR(INDEX(Config!$F:$F,MATCH($F725,Config!$D:$D,0)),0))</f>
        <v/>
      </c>
    </row>
    <row r="726" ht="15.0" customHeight="1">
      <c r="A726" s="34"/>
      <c r="B726" s="35"/>
      <c r="C726" s="15"/>
      <c r="D726" s="15"/>
      <c r="E726" s="15"/>
      <c r="F726" s="15"/>
      <c r="G726" s="36" t="str">
        <f t="array" ref="G726">IF($F726="","",IFERROR(INDEX(Config!$E:$E,MATCH($F726,Config!$D:$D,0)),0))</f>
        <v/>
      </c>
      <c r="H726" s="16"/>
      <c r="I726" s="36" t="str">
        <f t="shared" si="1"/>
        <v/>
      </c>
      <c r="J726" s="16"/>
      <c r="K726" s="15"/>
      <c r="L726" s="15"/>
      <c r="M726" s="36" t="str">
        <f t="array" ref="M726">IF($A726="","",IF($L726="Atendido",IFERROR($I726*INDEX(Config!$B:$B,MATCH($C726,Config!$A:$A,0)),0),0))</f>
        <v/>
      </c>
      <c r="N726" s="36" t="str">
        <f t="shared" si="2"/>
        <v/>
      </c>
      <c r="O726" s="36" t="str">
        <f t="shared" si="3"/>
        <v/>
      </c>
      <c r="P726" s="15"/>
      <c r="Q726" s="37" t="str">
        <f t="shared" si="4"/>
        <v/>
      </c>
      <c r="R726" s="37" t="str">
        <f t="shared" si="5"/>
        <v/>
      </c>
      <c r="S726" s="32" t="str">
        <f t="shared" si="6"/>
        <v/>
      </c>
      <c r="T726" s="37" t="str">
        <f t="shared" si="7"/>
        <v/>
      </c>
      <c r="U726" s="37" t="str">
        <f t="array" ref="U726">IF($F726="","",IFERROR(INDEX(Config!$F:$F,MATCH($F726,Config!$D:$D,0)),0))</f>
        <v/>
      </c>
    </row>
    <row r="727" ht="15.0" customHeight="1">
      <c r="A727" s="34"/>
      <c r="B727" s="35"/>
      <c r="C727" s="15"/>
      <c r="D727" s="15"/>
      <c r="E727" s="15"/>
      <c r="F727" s="15"/>
      <c r="G727" s="36" t="str">
        <f t="array" ref="G727">IF($F727="","",IFERROR(INDEX(Config!$E:$E,MATCH($F727,Config!$D:$D,0)),0))</f>
        <v/>
      </c>
      <c r="H727" s="16"/>
      <c r="I727" s="36" t="str">
        <f t="shared" si="1"/>
        <v/>
      </c>
      <c r="J727" s="16"/>
      <c r="K727" s="15"/>
      <c r="L727" s="15"/>
      <c r="M727" s="36" t="str">
        <f t="array" ref="M727">IF($A727="","",IF($L727="Atendido",IFERROR($I727*INDEX(Config!$B:$B,MATCH($C727,Config!$A:$A,0)),0),0))</f>
        <v/>
      </c>
      <c r="N727" s="36" t="str">
        <f t="shared" si="2"/>
        <v/>
      </c>
      <c r="O727" s="36" t="str">
        <f t="shared" si="3"/>
        <v/>
      </c>
      <c r="P727" s="15"/>
      <c r="Q727" s="37" t="str">
        <f t="shared" si="4"/>
        <v/>
      </c>
      <c r="R727" s="37" t="str">
        <f t="shared" si="5"/>
        <v/>
      </c>
      <c r="S727" s="32" t="str">
        <f t="shared" si="6"/>
        <v/>
      </c>
      <c r="T727" s="37" t="str">
        <f t="shared" si="7"/>
        <v/>
      </c>
      <c r="U727" s="37" t="str">
        <f t="array" ref="U727">IF($F727="","",IFERROR(INDEX(Config!$F:$F,MATCH($F727,Config!$D:$D,0)),0))</f>
        <v/>
      </c>
    </row>
    <row r="728" ht="15.0" customHeight="1">
      <c r="A728" s="34"/>
      <c r="B728" s="35"/>
      <c r="C728" s="15"/>
      <c r="D728" s="15"/>
      <c r="E728" s="15"/>
      <c r="F728" s="15"/>
      <c r="G728" s="36" t="str">
        <f t="array" ref="G728">IF($F728="","",IFERROR(INDEX(Config!$E:$E,MATCH($F728,Config!$D:$D,0)),0))</f>
        <v/>
      </c>
      <c r="H728" s="16"/>
      <c r="I728" s="36" t="str">
        <f t="shared" si="1"/>
        <v/>
      </c>
      <c r="J728" s="16"/>
      <c r="K728" s="15"/>
      <c r="L728" s="15"/>
      <c r="M728" s="36" t="str">
        <f t="array" ref="M728">IF($A728="","",IF($L728="Atendido",IFERROR($I728*INDEX(Config!$B:$B,MATCH($C728,Config!$A:$A,0)),0),0))</f>
        <v/>
      </c>
      <c r="N728" s="36" t="str">
        <f t="shared" si="2"/>
        <v/>
      </c>
      <c r="O728" s="36" t="str">
        <f t="shared" si="3"/>
        <v/>
      </c>
      <c r="P728" s="15"/>
      <c r="Q728" s="37" t="str">
        <f t="shared" si="4"/>
        <v/>
      </c>
      <c r="R728" s="37" t="str">
        <f t="shared" si="5"/>
        <v/>
      </c>
      <c r="S728" s="32" t="str">
        <f t="shared" si="6"/>
        <v/>
      </c>
      <c r="T728" s="37" t="str">
        <f t="shared" si="7"/>
        <v/>
      </c>
      <c r="U728" s="37" t="str">
        <f t="array" ref="U728">IF($F728="","",IFERROR(INDEX(Config!$F:$F,MATCH($F728,Config!$D:$D,0)),0))</f>
        <v/>
      </c>
    </row>
    <row r="729" ht="15.0" customHeight="1">
      <c r="A729" s="34"/>
      <c r="B729" s="35"/>
      <c r="C729" s="15"/>
      <c r="D729" s="15"/>
      <c r="E729" s="15"/>
      <c r="F729" s="15"/>
      <c r="G729" s="36" t="str">
        <f t="array" ref="G729">IF($F729="","",IFERROR(INDEX(Config!$E:$E,MATCH($F729,Config!$D:$D,0)),0))</f>
        <v/>
      </c>
      <c r="H729" s="16"/>
      <c r="I729" s="36" t="str">
        <f t="shared" si="1"/>
        <v/>
      </c>
      <c r="J729" s="16"/>
      <c r="K729" s="15"/>
      <c r="L729" s="15"/>
      <c r="M729" s="36" t="str">
        <f t="array" ref="M729">IF($A729="","",IF($L729="Atendido",IFERROR($I729*INDEX(Config!$B:$B,MATCH($C729,Config!$A:$A,0)),0),0))</f>
        <v/>
      </c>
      <c r="N729" s="36" t="str">
        <f t="shared" si="2"/>
        <v/>
      </c>
      <c r="O729" s="36" t="str">
        <f t="shared" si="3"/>
        <v/>
      </c>
      <c r="P729" s="15"/>
      <c r="Q729" s="37" t="str">
        <f t="shared" si="4"/>
        <v/>
      </c>
      <c r="R729" s="37" t="str">
        <f t="shared" si="5"/>
        <v/>
      </c>
      <c r="S729" s="32" t="str">
        <f t="shared" si="6"/>
        <v/>
      </c>
      <c r="T729" s="37" t="str">
        <f t="shared" si="7"/>
        <v/>
      </c>
      <c r="U729" s="37" t="str">
        <f t="array" ref="U729">IF($F729="","",IFERROR(INDEX(Config!$F:$F,MATCH($F729,Config!$D:$D,0)),0))</f>
        <v/>
      </c>
    </row>
    <row r="730" ht="15.0" customHeight="1">
      <c r="A730" s="34"/>
      <c r="B730" s="35"/>
      <c r="C730" s="15"/>
      <c r="D730" s="15"/>
      <c r="E730" s="15"/>
      <c r="F730" s="15"/>
      <c r="G730" s="36" t="str">
        <f t="array" ref="G730">IF($F730="","",IFERROR(INDEX(Config!$E:$E,MATCH($F730,Config!$D:$D,0)),0))</f>
        <v/>
      </c>
      <c r="H730" s="16"/>
      <c r="I730" s="36" t="str">
        <f t="shared" si="1"/>
        <v/>
      </c>
      <c r="J730" s="16"/>
      <c r="K730" s="15"/>
      <c r="L730" s="15"/>
      <c r="M730" s="36" t="str">
        <f t="array" ref="M730">IF($A730="","",IF($L730="Atendido",IFERROR($I730*INDEX(Config!$B:$B,MATCH($C730,Config!$A:$A,0)),0),0))</f>
        <v/>
      </c>
      <c r="N730" s="36" t="str">
        <f t="shared" si="2"/>
        <v/>
      </c>
      <c r="O730" s="36" t="str">
        <f t="shared" si="3"/>
        <v/>
      </c>
      <c r="P730" s="15"/>
      <c r="Q730" s="37" t="str">
        <f t="shared" si="4"/>
        <v/>
      </c>
      <c r="R730" s="37" t="str">
        <f t="shared" si="5"/>
        <v/>
      </c>
      <c r="S730" s="32" t="str">
        <f t="shared" si="6"/>
        <v/>
      </c>
      <c r="T730" s="37" t="str">
        <f t="shared" si="7"/>
        <v/>
      </c>
      <c r="U730" s="37" t="str">
        <f t="array" ref="U730">IF($F730="","",IFERROR(INDEX(Config!$F:$F,MATCH($F730,Config!$D:$D,0)),0))</f>
        <v/>
      </c>
    </row>
    <row r="731" ht="15.0" customHeight="1">
      <c r="A731" s="34"/>
      <c r="B731" s="35"/>
      <c r="C731" s="15"/>
      <c r="D731" s="15"/>
      <c r="E731" s="15"/>
      <c r="F731" s="15"/>
      <c r="G731" s="36" t="str">
        <f t="array" ref="G731">IF($F731="","",IFERROR(INDEX(Config!$E:$E,MATCH($F731,Config!$D:$D,0)),0))</f>
        <v/>
      </c>
      <c r="H731" s="16"/>
      <c r="I731" s="36" t="str">
        <f t="shared" si="1"/>
        <v/>
      </c>
      <c r="J731" s="16"/>
      <c r="K731" s="15"/>
      <c r="L731" s="15"/>
      <c r="M731" s="36" t="str">
        <f t="array" ref="M731">IF($A731="","",IF($L731="Atendido",IFERROR($I731*INDEX(Config!$B:$B,MATCH($C731,Config!$A:$A,0)),0),0))</f>
        <v/>
      </c>
      <c r="N731" s="36" t="str">
        <f t="shared" si="2"/>
        <v/>
      </c>
      <c r="O731" s="36" t="str">
        <f t="shared" si="3"/>
        <v/>
      </c>
      <c r="P731" s="15"/>
      <c r="Q731" s="37" t="str">
        <f t="shared" si="4"/>
        <v/>
      </c>
      <c r="R731" s="37" t="str">
        <f t="shared" si="5"/>
        <v/>
      </c>
      <c r="S731" s="32" t="str">
        <f t="shared" si="6"/>
        <v/>
      </c>
      <c r="T731" s="37" t="str">
        <f t="shared" si="7"/>
        <v/>
      </c>
      <c r="U731" s="37" t="str">
        <f t="array" ref="U731">IF($F731="","",IFERROR(INDEX(Config!$F:$F,MATCH($F731,Config!$D:$D,0)),0))</f>
        <v/>
      </c>
    </row>
    <row r="732" ht="15.0" customHeight="1">
      <c r="A732" s="34"/>
      <c r="B732" s="35"/>
      <c r="C732" s="15"/>
      <c r="D732" s="15"/>
      <c r="E732" s="15"/>
      <c r="F732" s="15"/>
      <c r="G732" s="36" t="str">
        <f t="array" ref="G732">IF($F732="","",IFERROR(INDEX(Config!$E:$E,MATCH($F732,Config!$D:$D,0)),0))</f>
        <v/>
      </c>
      <c r="H732" s="16"/>
      <c r="I732" s="36" t="str">
        <f t="shared" si="1"/>
        <v/>
      </c>
      <c r="J732" s="16"/>
      <c r="K732" s="15"/>
      <c r="L732" s="15"/>
      <c r="M732" s="36" t="str">
        <f t="array" ref="M732">IF($A732="","",IF($L732="Atendido",IFERROR($I732*INDEX(Config!$B:$B,MATCH($C732,Config!$A:$A,0)),0),0))</f>
        <v/>
      </c>
      <c r="N732" s="36" t="str">
        <f t="shared" si="2"/>
        <v/>
      </c>
      <c r="O732" s="36" t="str">
        <f t="shared" si="3"/>
        <v/>
      </c>
      <c r="P732" s="15"/>
      <c r="Q732" s="37" t="str">
        <f t="shared" si="4"/>
        <v/>
      </c>
      <c r="R732" s="37" t="str">
        <f t="shared" si="5"/>
        <v/>
      </c>
      <c r="S732" s="32" t="str">
        <f t="shared" si="6"/>
        <v/>
      </c>
      <c r="T732" s="37" t="str">
        <f t="shared" si="7"/>
        <v/>
      </c>
      <c r="U732" s="37" t="str">
        <f t="array" ref="U732">IF($F732="","",IFERROR(INDEX(Config!$F:$F,MATCH($F732,Config!$D:$D,0)),0))</f>
        <v/>
      </c>
    </row>
    <row r="733" ht="15.0" customHeight="1">
      <c r="A733" s="34"/>
      <c r="B733" s="35"/>
      <c r="C733" s="15"/>
      <c r="D733" s="15"/>
      <c r="E733" s="15"/>
      <c r="F733" s="15"/>
      <c r="G733" s="36" t="str">
        <f t="array" ref="G733">IF($F733="","",IFERROR(INDEX(Config!$E:$E,MATCH($F733,Config!$D:$D,0)),0))</f>
        <v/>
      </c>
      <c r="H733" s="16"/>
      <c r="I733" s="36" t="str">
        <f t="shared" si="1"/>
        <v/>
      </c>
      <c r="J733" s="16"/>
      <c r="K733" s="15"/>
      <c r="L733" s="15"/>
      <c r="M733" s="36" t="str">
        <f t="array" ref="M733">IF($A733="","",IF($L733="Atendido",IFERROR($I733*INDEX(Config!$B:$B,MATCH($C733,Config!$A:$A,0)),0),0))</f>
        <v/>
      </c>
      <c r="N733" s="36" t="str">
        <f t="shared" si="2"/>
        <v/>
      </c>
      <c r="O733" s="36" t="str">
        <f t="shared" si="3"/>
        <v/>
      </c>
      <c r="P733" s="15"/>
      <c r="Q733" s="37" t="str">
        <f t="shared" si="4"/>
        <v/>
      </c>
      <c r="R733" s="37" t="str">
        <f t="shared" si="5"/>
        <v/>
      </c>
      <c r="S733" s="32" t="str">
        <f t="shared" si="6"/>
        <v/>
      </c>
      <c r="T733" s="37" t="str">
        <f t="shared" si="7"/>
        <v/>
      </c>
      <c r="U733" s="37" t="str">
        <f t="array" ref="U733">IF($F733="","",IFERROR(INDEX(Config!$F:$F,MATCH($F733,Config!$D:$D,0)),0))</f>
        <v/>
      </c>
    </row>
    <row r="734" ht="15.0" customHeight="1">
      <c r="A734" s="34"/>
      <c r="B734" s="35"/>
      <c r="C734" s="15"/>
      <c r="D734" s="15"/>
      <c r="E734" s="15"/>
      <c r="F734" s="15"/>
      <c r="G734" s="36" t="str">
        <f t="array" ref="G734">IF($F734="","",IFERROR(INDEX(Config!$E:$E,MATCH($F734,Config!$D:$D,0)),0))</f>
        <v/>
      </c>
      <c r="H734" s="16"/>
      <c r="I734" s="36" t="str">
        <f t="shared" si="1"/>
        <v/>
      </c>
      <c r="J734" s="16"/>
      <c r="K734" s="15"/>
      <c r="L734" s="15"/>
      <c r="M734" s="36" t="str">
        <f t="array" ref="M734">IF($A734="","",IF($L734="Atendido",IFERROR($I734*INDEX(Config!$B:$B,MATCH($C734,Config!$A:$A,0)),0),0))</f>
        <v/>
      </c>
      <c r="N734" s="36" t="str">
        <f t="shared" si="2"/>
        <v/>
      </c>
      <c r="O734" s="36" t="str">
        <f t="shared" si="3"/>
        <v/>
      </c>
      <c r="P734" s="15"/>
      <c r="Q734" s="37" t="str">
        <f t="shared" si="4"/>
        <v/>
      </c>
      <c r="R734" s="37" t="str">
        <f t="shared" si="5"/>
        <v/>
      </c>
      <c r="S734" s="32" t="str">
        <f t="shared" si="6"/>
        <v/>
      </c>
      <c r="T734" s="37" t="str">
        <f t="shared" si="7"/>
        <v/>
      </c>
      <c r="U734" s="37" t="str">
        <f t="array" ref="U734">IF($F734="","",IFERROR(INDEX(Config!$F:$F,MATCH($F734,Config!$D:$D,0)),0))</f>
        <v/>
      </c>
    </row>
    <row r="735" ht="15.0" customHeight="1">
      <c r="A735" s="34"/>
      <c r="B735" s="35"/>
      <c r="C735" s="15"/>
      <c r="D735" s="15"/>
      <c r="E735" s="15"/>
      <c r="F735" s="15"/>
      <c r="G735" s="36" t="str">
        <f t="array" ref="G735">IF($F735="","",IFERROR(INDEX(Config!$E:$E,MATCH($F735,Config!$D:$D,0)),0))</f>
        <v/>
      </c>
      <c r="H735" s="16"/>
      <c r="I735" s="36" t="str">
        <f t="shared" si="1"/>
        <v/>
      </c>
      <c r="J735" s="16"/>
      <c r="K735" s="15"/>
      <c r="L735" s="15"/>
      <c r="M735" s="36" t="str">
        <f t="array" ref="M735">IF($A735="","",IF($L735="Atendido",IFERROR($I735*INDEX(Config!$B:$B,MATCH($C735,Config!$A:$A,0)),0),0))</f>
        <v/>
      </c>
      <c r="N735" s="36" t="str">
        <f t="shared" si="2"/>
        <v/>
      </c>
      <c r="O735" s="36" t="str">
        <f t="shared" si="3"/>
        <v/>
      </c>
      <c r="P735" s="15"/>
      <c r="Q735" s="37" t="str">
        <f t="shared" si="4"/>
        <v/>
      </c>
      <c r="R735" s="37" t="str">
        <f t="shared" si="5"/>
        <v/>
      </c>
      <c r="S735" s="32" t="str">
        <f t="shared" si="6"/>
        <v/>
      </c>
      <c r="T735" s="37" t="str">
        <f t="shared" si="7"/>
        <v/>
      </c>
      <c r="U735" s="37" t="str">
        <f t="array" ref="U735">IF($F735="","",IFERROR(INDEX(Config!$F:$F,MATCH($F735,Config!$D:$D,0)),0))</f>
        <v/>
      </c>
    </row>
    <row r="736" ht="15.0" customHeight="1">
      <c r="A736" s="34"/>
      <c r="B736" s="35"/>
      <c r="C736" s="15"/>
      <c r="D736" s="15"/>
      <c r="E736" s="15"/>
      <c r="F736" s="15"/>
      <c r="G736" s="36" t="str">
        <f t="array" ref="G736">IF($F736="","",IFERROR(INDEX(Config!$E:$E,MATCH($F736,Config!$D:$D,0)),0))</f>
        <v/>
      </c>
      <c r="H736" s="16"/>
      <c r="I736" s="36" t="str">
        <f t="shared" si="1"/>
        <v/>
      </c>
      <c r="J736" s="16"/>
      <c r="K736" s="15"/>
      <c r="L736" s="15"/>
      <c r="M736" s="36" t="str">
        <f t="array" ref="M736">IF($A736="","",IF($L736="Atendido",IFERROR($I736*INDEX(Config!$B:$B,MATCH($C736,Config!$A:$A,0)),0),0))</f>
        <v/>
      </c>
      <c r="N736" s="36" t="str">
        <f t="shared" si="2"/>
        <v/>
      </c>
      <c r="O736" s="36" t="str">
        <f t="shared" si="3"/>
        <v/>
      </c>
      <c r="P736" s="15"/>
      <c r="Q736" s="37" t="str">
        <f t="shared" si="4"/>
        <v/>
      </c>
      <c r="R736" s="37" t="str">
        <f t="shared" si="5"/>
        <v/>
      </c>
      <c r="S736" s="32" t="str">
        <f t="shared" si="6"/>
        <v/>
      </c>
      <c r="T736" s="37" t="str">
        <f t="shared" si="7"/>
        <v/>
      </c>
      <c r="U736" s="37" t="str">
        <f t="array" ref="U736">IF($F736="","",IFERROR(INDEX(Config!$F:$F,MATCH($F736,Config!$D:$D,0)),0))</f>
        <v/>
      </c>
    </row>
    <row r="737" ht="15.0" customHeight="1">
      <c r="A737" s="34"/>
      <c r="B737" s="35"/>
      <c r="C737" s="15"/>
      <c r="D737" s="15"/>
      <c r="E737" s="15"/>
      <c r="F737" s="15"/>
      <c r="G737" s="36" t="str">
        <f t="array" ref="G737">IF($F737="","",IFERROR(INDEX(Config!$E:$E,MATCH($F737,Config!$D:$D,0)),0))</f>
        <v/>
      </c>
      <c r="H737" s="16"/>
      <c r="I737" s="36" t="str">
        <f t="shared" si="1"/>
        <v/>
      </c>
      <c r="J737" s="16"/>
      <c r="K737" s="15"/>
      <c r="L737" s="15"/>
      <c r="M737" s="36" t="str">
        <f t="array" ref="M737">IF($A737="","",IF($L737="Atendido",IFERROR($I737*INDEX(Config!$B:$B,MATCH($C737,Config!$A:$A,0)),0),0))</f>
        <v/>
      </c>
      <c r="N737" s="36" t="str">
        <f t="shared" si="2"/>
        <v/>
      </c>
      <c r="O737" s="36" t="str">
        <f t="shared" si="3"/>
        <v/>
      </c>
      <c r="P737" s="15"/>
      <c r="Q737" s="37" t="str">
        <f t="shared" si="4"/>
        <v/>
      </c>
      <c r="R737" s="37" t="str">
        <f t="shared" si="5"/>
        <v/>
      </c>
      <c r="S737" s="32" t="str">
        <f t="shared" si="6"/>
        <v/>
      </c>
      <c r="T737" s="37" t="str">
        <f t="shared" si="7"/>
        <v/>
      </c>
      <c r="U737" s="37" t="str">
        <f t="array" ref="U737">IF($F737="","",IFERROR(INDEX(Config!$F:$F,MATCH($F737,Config!$D:$D,0)),0))</f>
        <v/>
      </c>
    </row>
    <row r="738" ht="15.0" customHeight="1">
      <c r="A738" s="34"/>
      <c r="B738" s="35"/>
      <c r="C738" s="15"/>
      <c r="D738" s="15"/>
      <c r="E738" s="15"/>
      <c r="F738" s="15"/>
      <c r="G738" s="36" t="str">
        <f t="array" ref="G738">IF($F738="","",IFERROR(INDEX(Config!$E:$E,MATCH($F738,Config!$D:$D,0)),0))</f>
        <v/>
      </c>
      <c r="H738" s="16"/>
      <c r="I738" s="36" t="str">
        <f t="shared" si="1"/>
        <v/>
      </c>
      <c r="J738" s="16"/>
      <c r="K738" s="15"/>
      <c r="L738" s="15"/>
      <c r="M738" s="36" t="str">
        <f t="array" ref="M738">IF($A738="","",IF($L738="Atendido",IFERROR($I738*INDEX(Config!$B:$B,MATCH($C738,Config!$A:$A,0)),0),0))</f>
        <v/>
      </c>
      <c r="N738" s="36" t="str">
        <f t="shared" si="2"/>
        <v/>
      </c>
      <c r="O738" s="36" t="str">
        <f t="shared" si="3"/>
        <v/>
      </c>
      <c r="P738" s="15"/>
      <c r="Q738" s="37" t="str">
        <f t="shared" si="4"/>
        <v/>
      </c>
      <c r="R738" s="37" t="str">
        <f t="shared" si="5"/>
        <v/>
      </c>
      <c r="S738" s="32" t="str">
        <f t="shared" si="6"/>
        <v/>
      </c>
      <c r="T738" s="37" t="str">
        <f t="shared" si="7"/>
        <v/>
      </c>
      <c r="U738" s="37" t="str">
        <f t="array" ref="U738">IF($F738="","",IFERROR(INDEX(Config!$F:$F,MATCH($F738,Config!$D:$D,0)),0))</f>
        <v/>
      </c>
    </row>
    <row r="739" ht="15.0" customHeight="1">
      <c r="A739" s="34"/>
      <c r="B739" s="35"/>
      <c r="C739" s="15"/>
      <c r="D739" s="15"/>
      <c r="E739" s="15"/>
      <c r="F739" s="15"/>
      <c r="G739" s="36" t="str">
        <f t="array" ref="G739">IF($F739="","",IFERROR(INDEX(Config!$E:$E,MATCH($F739,Config!$D:$D,0)),0))</f>
        <v/>
      </c>
      <c r="H739" s="16"/>
      <c r="I739" s="36" t="str">
        <f t="shared" si="1"/>
        <v/>
      </c>
      <c r="J739" s="16"/>
      <c r="K739" s="15"/>
      <c r="L739" s="15"/>
      <c r="M739" s="36" t="str">
        <f t="array" ref="M739">IF($A739="","",IF($L739="Atendido",IFERROR($I739*INDEX(Config!$B:$B,MATCH($C739,Config!$A:$A,0)),0),0))</f>
        <v/>
      </c>
      <c r="N739" s="36" t="str">
        <f t="shared" si="2"/>
        <v/>
      </c>
      <c r="O739" s="36" t="str">
        <f t="shared" si="3"/>
        <v/>
      </c>
      <c r="P739" s="15"/>
      <c r="Q739" s="37" t="str">
        <f t="shared" si="4"/>
        <v/>
      </c>
      <c r="R739" s="37" t="str">
        <f t="shared" si="5"/>
        <v/>
      </c>
      <c r="S739" s="32" t="str">
        <f t="shared" si="6"/>
        <v/>
      </c>
      <c r="T739" s="37" t="str">
        <f t="shared" si="7"/>
        <v/>
      </c>
      <c r="U739" s="37" t="str">
        <f t="array" ref="U739">IF($F739="","",IFERROR(INDEX(Config!$F:$F,MATCH($F739,Config!$D:$D,0)),0))</f>
        <v/>
      </c>
    </row>
    <row r="740" ht="15.0" customHeight="1">
      <c r="A740" s="34"/>
      <c r="B740" s="35"/>
      <c r="C740" s="15"/>
      <c r="D740" s="15"/>
      <c r="E740" s="15"/>
      <c r="F740" s="15"/>
      <c r="G740" s="36" t="str">
        <f t="array" ref="G740">IF($F740="","",IFERROR(INDEX(Config!$E:$E,MATCH($F740,Config!$D:$D,0)),0))</f>
        <v/>
      </c>
      <c r="H740" s="16"/>
      <c r="I740" s="36" t="str">
        <f t="shared" si="1"/>
        <v/>
      </c>
      <c r="J740" s="16"/>
      <c r="K740" s="15"/>
      <c r="L740" s="15"/>
      <c r="M740" s="36" t="str">
        <f t="array" ref="M740">IF($A740="","",IF($L740="Atendido",IFERROR($I740*INDEX(Config!$B:$B,MATCH($C740,Config!$A:$A,0)),0),0))</f>
        <v/>
      </c>
      <c r="N740" s="36" t="str">
        <f t="shared" si="2"/>
        <v/>
      </c>
      <c r="O740" s="36" t="str">
        <f t="shared" si="3"/>
        <v/>
      </c>
      <c r="P740" s="15"/>
      <c r="Q740" s="37" t="str">
        <f t="shared" si="4"/>
        <v/>
      </c>
      <c r="R740" s="37" t="str">
        <f t="shared" si="5"/>
        <v/>
      </c>
      <c r="S740" s="32" t="str">
        <f t="shared" si="6"/>
        <v/>
      </c>
      <c r="T740" s="37" t="str">
        <f t="shared" si="7"/>
        <v/>
      </c>
      <c r="U740" s="37" t="str">
        <f t="array" ref="U740">IF($F740="","",IFERROR(INDEX(Config!$F:$F,MATCH($F740,Config!$D:$D,0)),0))</f>
        <v/>
      </c>
    </row>
    <row r="741" ht="15.0" customHeight="1">
      <c r="A741" s="34"/>
      <c r="B741" s="35"/>
      <c r="C741" s="15"/>
      <c r="D741" s="15"/>
      <c r="E741" s="15"/>
      <c r="F741" s="15"/>
      <c r="G741" s="36" t="str">
        <f t="array" ref="G741">IF($F741="","",IFERROR(INDEX(Config!$E:$E,MATCH($F741,Config!$D:$D,0)),0))</f>
        <v/>
      </c>
      <c r="H741" s="16"/>
      <c r="I741" s="36" t="str">
        <f t="shared" si="1"/>
        <v/>
      </c>
      <c r="J741" s="16"/>
      <c r="K741" s="15"/>
      <c r="L741" s="15"/>
      <c r="M741" s="36" t="str">
        <f t="array" ref="M741">IF($A741="","",IF($L741="Atendido",IFERROR($I741*INDEX(Config!$B:$B,MATCH($C741,Config!$A:$A,0)),0),0))</f>
        <v/>
      </c>
      <c r="N741" s="36" t="str">
        <f t="shared" si="2"/>
        <v/>
      </c>
      <c r="O741" s="36" t="str">
        <f t="shared" si="3"/>
        <v/>
      </c>
      <c r="P741" s="15"/>
      <c r="Q741" s="37" t="str">
        <f t="shared" si="4"/>
        <v/>
      </c>
      <c r="R741" s="37" t="str">
        <f t="shared" si="5"/>
        <v/>
      </c>
      <c r="S741" s="32" t="str">
        <f t="shared" si="6"/>
        <v/>
      </c>
      <c r="T741" s="37" t="str">
        <f t="shared" si="7"/>
        <v/>
      </c>
      <c r="U741" s="37" t="str">
        <f t="array" ref="U741">IF($F741="","",IFERROR(INDEX(Config!$F:$F,MATCH($F741,Config!$D:$D,0)),0))</f>
        <v/>
      </c>
    </row>
    <row r="742" ht="15.0" customHeight="1">
      <c r="A742" s="34"/>
      <c r="B742" s="35"/>
      <c r="C742" s="15"/>
      <c r="D742" s="15"/>
      <c r="E742" s="15"/>
      <c r="F742" s="15"/>
      <c r="G742" s="36" t="str">
        <f t="array" ref="G742">IF($F742="","",IFERROR(INDEX(Config!$E:$E,MATCH($F742,Config!$D:$D,0)),0))</f>
        <v/>
      </c>
      <c r="H742" s="16"/>
      <c r="I742" s="36" t="str">
        <f t="shared" si="1"/>
        <v/>
      </c>
      <c r="J742" s="16"/>
      <c r="K742" s="15"/>
      <c r="L742" s="15"/>
      <c r="M742" s="36" t="str">
        <f t="array" ref="M742">IF($A742="","",IF($L742="Atendido",IFERROR($I742*INDEX(Config!$B:$B,MATCH($C742,Config!$A:$A,0)),0),0))</f>
        <v/>
      </c>
      <c r="N742" s="36" t="str">
        <f t="shared" si="2"/>
        <v/>
      </c>
      <c r="O742" s="36" t="str">
        <f t="shared" si="3"/>
        <v/>
      </c>
      <c r="P742" s="15"/>
      <c r="Q742" s="37" t="str">
        <f t="shared" si="4"/>
        <v/>
      </c>
      <c r="R742" s="37" t="str">
        <f t="shared" si="5"/>
        <v/>
      </c>
      <c r="S742" s="32" t="str">
        <f t="shared" si="6"/>
        <v/>
      </c>
      <c r="T742" s="37" t="str">
        <f t="shared" si="7"/>
        <v/>
      </c>
      <c r="U742" s="37" t="str">
        <f t="array" ref="U742">IF($F742="","",IFERROR(INDEX(Config!$F:$F,MATCH($F742,Config!$D:$D,0)),0))</f>
        <v/>
      </c>
    </row>
    <row r="743" ht="15.0" customHeight="1">
      <c r="A743" s="34"/>
      <c r="B743" s="35"/>
      <c r="C743" s="15"/>
      <c r="D743" s="15"/>
      <c r="E743" s="15"/>
      <c r="F743" s="15"/>
      <c r="G743" s="36" t="str">
        <f t="array" ref="G743">IF($F743="","",IFERROR(INDEX(Config!$E:$E,MATCH($F743,Config!$D:$D,0)),0))</f>
        <v/>
      </c>
      <c r="H743" s="16"/>
      <c r="I743" s="36" t="str">
        <f t="shared" si="1"/>
        <v/>
      </c>
      <c r="J743" s="16"/>
      <c r="K743" s="15"/>
      <c r="L743" s="15"/>
      <c r="M743" s="36" t="str">
        <f t="array" ref="M743">IF($A743="","",IF($L743="Atendido",IFERROR($I743*INDEX(Config!$B:$B,MATCH($C743,Config!$A:$A,0)),0),0))</f>
        <v/>
      </c>
      <c r="N743" s="36" t="str">
        <f t="shared" si="2"/>
        <v/>
      </c>
      <c r="O743" s="36" t="str">
        <f t="shared" si="3"/>
        <v/>
      </c>
      <c r="P743" s="15"/>
      <c r="Q743" s="37" t="str">
        <f t="shared" si="4"/>
        <v/>
      </c>
      <c r="R743" s="37" t="str">
        <f t="shared" si="5"/>
        <v/>
      </c>
      <c r="S743" s="32" t="str">
        <f t="shared" si="6"/>
        <v/>
      </c>
      <c r="T743" s="37" t="str">
        <f t="shared" si="7"/>
        <v/>
      </c>
      <c r="U743" s="37" t="str">
        <f t="array" ref="U743">IF($F743="","",IFERROR(INDEX(Config!$F:$F,MATCH($F743,Config!$D:$D,0)),0))</f>
        <v/>
      </c>
    </row>
    <row r="744" ht="15.0" customHeight="1">
      <c r="A744" s="34"/>
      <c r="B744" s="35"/>
      <c r="C744" s="15"/>
      <c r="D744" s="15"/>
      <c r="E744" s="15"/>
      <c r="F744" s="15"/>
      <c r="G744" s="36" t="str">
        <f t="array" ref="G744">IF($F744="","",IFERROR(INDEX(Config!$E:$E,MATCH($F744,Config!$D:$D,0)),0))</f>
        <v/>
      </c>
      <c r="H744" s="16"/>
      <c r="I744" s="36" t="str">
        <f t="shared" si="1"/>
        <v/>
      </c>
      <c r="J744" s="16"/>
      <c r="K744" s="15"/>
      <c r="L744" s="15"/>
      <c r="M744" s="36" t="str">
        <f t="array" ref="M744">IF($A744="","",IF($L744="Atendido",IFERROR($I744*INDEX(Config!$B:$B,MATCH($C744,Config!$A:$A,0)),0),0))</f>
        <v/>
      </c>
      <c r="N744" s="36" t="str">
        <f t="shared" si="2"/>
        <v/>
      </c>
      <c r="O744" s="36" t="str">
        <f t="shared" si="3"/>
        <v/>
      </c>
      <c r="P744" s="15"/>
      <c r="Q744" s="37" t="str">
        <f t="shared" si="4"/>
        <v/>
      </c>
      <c r="R744" s="37" t="str">
        <f t="shared" si="5"/>
        <v/>
      </c>
      <c r="S744" s="32" t="str">
        <f t="shared" si="6"/>
        <v/>
      </c>
      <c r="T744" s="37" t="str">
        <f t="shared" si="7"/>
        <v/>
      </c>
      <c r="U744" s="37" t="str">
        <f t="array" ref="U744">IF($F744="","",IFERROR(INDEX(Config!$F:$F,MATCH($F744,Config!$D:$D,0)),0))</f>
        <v/>
      </c>
    </row>
    <row r="745" ht="15.0" customHeight="1">
      <c r="A745" s="34"/>
      <c r="B745" s="35"/>
      <c r="C745" s="15"/>
      <c r="D745" s="15"/>
      <c r="E745" s="15"/>
      <c r="F745" s="15"/>
      <c r="G745" s="36" t="str">
        <f t="array" ref="G745">IF($F745="","",IFERROR(INDEX(Config!$E:$E,MATCH($F745,Config!$D:$D,0)),0))</f>
        <v/>
      </c>
      <c r="H745" s="16"/>
      <c r="I745" s="36" t="str">
        <f t="shared" si="1"/>
        <v/>
      </c>
      <c r="J745" s="16"/>
      <c r="K745" s="15"/>
      <c r="L745" s="15"/>
      <c r="M745" s="36" t="str">
        <f t="array" ref="M745">IF($A745="","",IF($L745="Atendido",IFERROR($I745*INDEX(Config!$B:$B,MATCH($C745,Config!$A:$A,0)),0),0))</f>
        <v/>
      </c>
      <c r="N745" s="36" t="str">
        <f t="shared" si="2"/>
        <v/>
      </c>
      <c r="O745" s="36" t="str">
        <f t="shared" si="3"/>
        <v/>
      </c>
      <c r="P745" s="15"/>
      <c r="Q745" s="37" t="str">
        <f t="shared" si="4"/>
        <v/>
      </c>
      <c r="R745" s="37" t="str">
        <f t="shared" si="5"/>
        <v/>
      </c>
      <c r="S745" s="32" t="str">
        <f t="shared" si="6"/>
        <v/>
      </c>
      <c r="T745" s="37" t="str">
        <f t="shared" si="7"/>
        <v/>
      </c>
      <c r="U745" s="37" t="str">
        <f t="array" ref="U745">IF($F745="","",IFERROR(INDEX(Config!$F:$F,MATCH($F745,Config!$D:$D,0)),0))</f>
        <v/>
      </c>
    </row>
    <row r="746" ht="15.0" customHeight="1">
      <c r="A746" s="34"/>
      <c r="B746" s="35"/>
      <c r="C746" s="15"/>
      <c r="D746" s="15"/>
      <c r="E746" s="15"/>
      <c r="F746" s="15"/>
      <c r="G746" s="36" t="str">
        <f t="array" ref="G746">IF($F746="","",IFERROR(INDEX(Config!$E:$E,MATCH($F746,Config!$D:$D,0)),0))</f>
        <v/>
      </c>
      <c r="H746" s="16"/>
      <c r="I746" s="36" t="str">
        <f t="shared" si="1"/>
        <v/>
      </c>
      <c r="J746" s="16"/>
      <c r="K746" s="15"/>
      <c r="L746" s="15"/>
      <c r="M746" s="36" t="str">
        <f t="array" ref="M746">IF($A746="","",IF($L746="Atendido",IFERROR($I746*INDEX(Config!$B:$B,MATCH($C746,Config!$A:$A,0)),0),0))</f>
        <v/>
      </c>
      <c r="N746" s="36" t="str">
        <f t="shared" si="2"/>
        <v/>
      </c>
      <c r="O746" s="36" t="str">
        <f t="shared" si="3"/>
        <v/>
      </c>
      <c r="P746" s="15"/>
      <c r="Q746" s="37" t="str">
        <f t="shared" si="4"/>
        <v/>
      </c>
      <c r="R746" s="37" t="str">
        <f t="shared" si="5"/>
        <v/>
      </c>
      <c r="S746" s="32" t="str">
        <f t="shared" si="6"/>
        <v/>
      </c>
      <c r="T746" s="37" t="str">
        <f t="shared" si="7"/>
        <v/>
      </c>
      <c r="U746" s="37" t="str">
        <f t="array" ref="U746">IF($F746="","",IFERROR(INDEX(Config!$F:$F,MATCH($F746,Config!$D:$D,0)),0))</f>
        <v/>
      </c>
    </row>
    <row r="747" ht="15.0" customHeight="1">
      <c r="A747" s="34"/>
      <c r="B747" s="35"/>
      <c r="C747" s="15"/>
      <c r="D747" s="15"/>
      <c r="E747" s="15"/>
      <c r="F747" s="15"/>
      <c r="G747" s="36" t="str">
        <f t="array" ref="G747">IF($F747="","",IFERROR(INDEX(Config!$E:$E,MATCH($F747,Config!$D:$D,0)),0))</f>
        <v/>
      </c>
      <c r="H747" s="16"/>
      <c r="I747" s="36" t="str">
        <f t="shared" si="1"/>
        <v/>
      </c>
      <c r="J747" s="16"/>
      <c r="K747" s="15"/>
      <c r="L747" s="15"/>
      <c r="M747" s="36" t="str">
        <f t="array" ref="M747">IF($A747="","",IF($L747="Atendido",IFERROR($I747*INDEX(Config!$B:$B,MATCH($C747,Config!$A:$A,0)),0),0))</f>
        <v/>
      </c>
      <c r="N747" s="36" t="str">
        <f t="shared" si="2"/>
        <v/>
      </c>
      <c r="O747" s="36" t="str">
        <f t="shared" si="3"/>
        <v/>
      </c>
      <c r="P747" s="15"/>
      <c r="Q747" s="37" t="str">
        <f t="shared" si="4"/>
        <v/>
      </c>
      <c r="R747" s="37" t="str">
        <f t="shared" si="5"/>
        <v/>
      </c>
      <c r="S747" s="32" t="str">
        <f t="shared" si="6"/>
        <v/>
      </c>
      <c r="T747" s="37" t="str">
        <f t="shared" si="7"/>
        <v/>
      </c>
      <c r="U747" s="37" t="str">
        <f t="array" ref="U747">IF($F747="","",IFERROR(INDEX(Config!$F:$F,MATCH($F747,Config!$D:$D,0)),0))</f>
        <v/>
      </c>
    </row>
    <row r="748" ht="15.0" customHeight="1">
      <c r="A748" s="34"/>
      <c r="B748" s="35"/>
      <c r="C748" s="15"/>
      <c r="D748" s="15"/>
      <c r="E748" s="15"/>
      <c r="F748" s="15"/>
      <c r="G748" s="36" t="str">
        <f t="array" ref="G748">IF($F748="","",IFERROR(INDEX(Config!$E:$E,MATCH($F748,Config!$D:$D,0)),0))</f>
        <v/>
      </c>
      <c r="H748" s="16"/>
      <c r="I748" s="36" t="str">
        <f t="shared" si="1"/>
        <v/>
      </c>
      <c r="J748" s="16"/>
      <c r="K748" s="15"/>
      <c r="L748" s="15"/>
      <c r="M748" s="36" t="str">
        <f t="array" ref="M748">IF($A748="","",IF($L748="Atendido",IFERROR($I748*INDEX(Config!$B:$B,MATCH($C748,Config!$A:$A,0)),0),0))</f>
        <v/>
      </c>
      <c r="N748" s="36" t="str">
        <f t="shared" si="2"/>
        <v/>
      </c>
      <c r="O748" s="36" t="str">
        <f t="shared" si="3"/>
        <v/>
      </c>
      <c r="P748" s="15"/>
      <c r="Q748" s="37" t="str">
        <f t="shared" si="4"/>
        <v/>
      </c>
      <c r="R748" s="37" t="str">
        <f t="shared" si="5"/>
        <v/>
      </c>
      <c r="S748" s="32" t="str">
        <f t="shared" si="6"/>
        <v/>
      </c>
      <c r="T748" s="37" t="str">
        <f t="shared" si="7"/>
        <v/>
      </c>
      <c r="U748" s="37" t="str">
        <f t="array" ref="U748">IF($F748="","",IFERROR(INDEX(Config!$F:$F,MATCH($F748,Config!$D:$D,0)),0))</f>
        <v/>
      </c>
    </row>
    <row r="749" ht="15.0" customHeight="1">
      <c r="A749" s="34"/>
      <c r="B749" s="35"/>
      <c r="C749" s="15"/>
      <c r="D749" s="15"/>
      <c r="E749" s="15"/>
      <c r="F749" s="15"/>
      <c r="G749" s="36" t="str">
        <f t="array" ref="G749">IF($F749="","",IFERROR(INDEX(Config!$E:$E,MATCH($F749,Config!$D:$D,0)),0))</f>
        <v/>
      </c>
      <c r="H749" s="16"/>
      <c r="I749" s="36" t="str">
        <f t="shared" si="1"/>
        <v/>
      </c>
      <c r="J749" s="16"/>
      <c r="K749" s="15"/>
      <c r="L749" s="15"/>
      <c r="M749" s="36" t="str">
        <f t="array" ref="M749">IF($A749="","",IF($L749="Atendido",IFERROR($I749*INDEX(Config!$B:$B,MATCH($C749,Config!$A:$A,0)),0),0))</f>
        <v/>
      </c>
      <c r="N749" s="36" t="str">
        <f t="shared" si="2"/>
        <v/>
      </c>
      <c r="O749" s="36" t="str">
        <f t="shared" si="3"/>
        <v/>
      </c>
      <c r="P749" s="15"/>
      <c r="Q749" s="37" t="str">
        <f t="shared" si="4"/>
        <v/>
      </c>
      <c r="R749" s="37" t="str">
        <f t="shared" si="5"/>
        <v/>
      </c>
      <c r="S749" s="32" t="str">
        <f t="shared" si="6"/>
        <v/>
      </c>
      <c r="T749" s="37" t="str">
        <f t="shared" si="7"/>
        <v/>
      </c>
      <c r="U749" s="37" t="str">
        <f t="array" ref="U749">IF($F749="","",IFERROR(INDEX(Config!$F:$F,MATCH($F749,Config!$D:$D,0)),0))</f>
        <v/>
      </c>
    </row>
    <row r="750" ht="15.0" customHeight="1">
      <c r="A750" s="34"/>
      <c r="B750" s="35"/>
      <c r="C750" s="15"/>
      <c r="D750" s="15"/>
      <c r="E750" s="15"/>
      <c r="F750" s="15"/>
      <c r="G750" s="36" t="str">
        <f t="array" ref="G750">IF($F750="","",IFERROR(INDEX(Config!$E:$E,MATCH($F750,Config!$D:$D,0)),0))</f>
        <v/>
      </c>
      <c r="H750" s="16"/>
      <c r="I750" s="36" t="str">
        <f t="shared" si="1"/>
        <v/>
      </c>
      <c r="J750" s="16"/>
      <c r="K750" s="15"/>
      <c r="L750" s="15"/>
      <c r="M750" s="36" t="str">
        <f t="array" ref="M750">IF($A750="","",IF($L750="Atendido",IFERROR($I750*INDEX(Config!$B:$B,MATCH($C750,Config!$A:$A,0)),0),0))</f>
        <v/>
      </c>
      <c r="N750" s="36" t="str">
        <f t="shared" si="2"/>
        <v/>
      </c>
      <c r="O750" s="36" t="str">
        <f t="shared" si="3"/>
        <v/>
      </c>
      <c r="P750" s="15"/>
      <c r="Q750" s="37" t="str">
        <f t="shared" si="4"/>
        <v/>
      </c>
      <c r="R750" s="37" t="str">
        <f t="shared" si="5"/>
        <v/>
      </c>
      <c r="S750" s="32" t="str">
        <f t="shared" si="6"/>
        <v/>
      </c>
      <c r="T750" s="37" t="str">
        <f t="shared" si="7"/>
        <v/>
      </c>
      <c r="U750" s="37" t="str">
        <f t="array" ref="U750">IF($F750="","",IFERROR(INDEX(Config!$F:$F,MATCH($F750,Config!$D:$D,0)),0))</f>
        <v/>
      </c>
    </row>
    <row r="751" ht="15.0" customHeight="1">
      <c r="A751" s="34"/>
      <c r="B751" s="35"/>
      <c r="C751" s="15"/>
      <c r="D751" s="15"/>
      <c r="E751" s="15"/>
      <c r="F751" s="15"/>
      <c r="G751" s="36" t="str">
        <f t="array" ref="G751">IF($F751="","",IFERROR(INDEX(Config!$E:$E,MATCH($F751,Config!$D:$D,0)),0))</f>
        <v/>
      </c>
      <c r="H751" s="16"/>
      <c r="I751" s="36" t="str">
        <f t="shared" si="1"/>
        <v/>
      </c>
      <c r="J751" s="16"/>
      <c r="K751" s="15"/>
      <c r="L751" s="15"/>
      <c r="M751" s="36" t="str">
        <f t="array" ref="M751">IF($A751="","",IF($L751="Atendido",IFERROR($I751*INDEX(Config!$B:$B,MATCH($C751,Config!$A:$A,0)),0),0))</f>
        <v/>
      </c>
      <c r="N751" s="36" t="str">
        <f t="shared" si="2"/>
        <v/>
      </c>
      <c r="O751" s="36" t="str">
        <f t="shared" si="3"/>
        <v/>
      </c>
      <c r="P751" s="15"/>
      <c r="Q751" s="37" t="str">
        <f t="shared" si="4"/>
        <v/>
      </c>
      <c r="R751" s="37" t="str">
        <f t="shared" si="5"/>
        <v/>
      </c>
      <c r="S751" s="32" t="str">
        <f t="shared" si="6"/>
        <v/>
      </c>
      <c r="T751" s="37" t="str">
        <f t="shared" si="7"/>
        <v/>
      </c>
      <c r="U751" s="37" t="str">
        <f t="array" ref="U751">IF($F751="","",IFERROR(INDEX(Config!$F:$F,MATCH($F751,Config!$D:$D,0)),0))</f>
        <v/>
      </c>
    </row>
    <row r="752" ht="15.0" customHeight="1">
      <c r="A752" s="34"/>
      <c r="B752" s="35"/>
      <c r="C752" s="15"/>
      <c r="D752" s="15"/>
      <c r="E752" s="15"/>
      <c r="F752" s="15"/>
      <c r="G752" s="36" t="str">
        <f t="array" ref="G752">IF($F752="","",IFERROR(INDEX(Config!$E:$E,MATCH($F752,Config!$D:$D,0)),0))</f>
        <v/>
      </c>
      <c r="H752" s="16"/>
      <c r="I752" s="36" t="str">
        <f t="shared" si="1"/>
        <v/>
      </c>
      <c r="J752" s="16"/>
      <c r="K752" s="15"/>
      <c r="L752" s="15"/>
      <c r="M752" s="36" t="str">
        <f t="array" ref="M752">IF($A752="","",IF($L752="Atendido",IFERROR($I752*INDEX(Config!$B:$B,MATCH($C752,Config!$A:$A,0)),0),0))</f>
        <v/>
      </c>
      <c r="N752" s="36" t="str">
        <f t="shared" si="2"/>
        <v/>
      </c>
      <c r="O752" s="36" t="str">
        <f t="shared" si="3"/>
        <v/>
      </c>
      <c r="P752" s="15"/>
      <c r="Q752" s="37" t="str">
        <f t="shared" si="4"/>
        <v/>
      </c>
      <c r="R752" s="37" t="str">
        <f t="shared" si="5"/>
        <v/>
      </c>
      <c r="S752" s="32" t="str">
        <f t="shared" si="6"/>
        <v/>
      </c>
      <c r="T752" s="37" t="str">
        <f t="shared" si="7"/>
        <v/>
      </c>
      <c r="U752" s="37" t="str">
        <f t="array" ref="U752">IF($F752="","",IFERROR(INDEX(Config!$F:$F,MATCH($F752,Config!$D:$D,0)),0))</f>
        <v/>
      </c>
    </row>
    <row r="753" ht="15.0" customHeight="1">
      <c r="A753" s="34"/>
      <c r="B753" s="35"/>
      <c r="C753" s="15"/>
      <c r="D753" s="15"/>
      <c r="E753" s="15"/>
      <c r="F753" s="15"/>
      <c r="G753" s="36" t="str">
        <f t="array" ref="G753">IF($F753="","",IFERROR(INDEX(Config!$E:$E,MATCH($F753,Config!$D:$D,0)),0))</f>
        <v/>
      </c>
      <c r="H753" s="16"/>
      <c r="I753" s="36" t="str">
        <f t="shared" si="1"/>
        <v/>
      </c>
      <c r="J753" s="16"/>
      <c r="K753" s="15"/>
      <c r="L753" s="15"/>
      <c r="M753" s="36" t="str">
        <f t="array" ref="M753">IF($A753="","",IF($L753="Atendido",IFERROR($I753*INDEX(Config!$B:$B,MATCH($C753,Config!$A:$A,0)),0),0))</f>
        <v/>
      </c>
      <c r="N753" s="36" t="str">
        <f t="shared" si="2"/>
        <v/>
      </c>
      <c r="O753" s="36" t="str">
        <f t="shared" si="3"/>
        <v/>
      </c>
      <c r="P753" s="15"/>
      <c r="Q753" s="37" t="str">
        <f t="shared" si="4"/>
        <v/>
      </c>
      <c r="R753" s="37" t="str">
        <f t="shared" si="5"/>
        <v/>
      </c>
      <c r="S753" s="32" t="str">
        <f t="shared" si="6"/>
        <v/>
      </c>
      <c r="T753" s="37" t="str">
        <f t="shared" si="7"/>
        <v/>
      </c>
      <c r="U753" s="37" t="str">
        <f t="array" ref="U753">IF($F753="","",IFERROR(INDEX(Config!$F:$F,MATCH($F753,Config!$D:$D,0)),0))</f>
        <v/>
      </c>
    </row>
    <row r="754" ht="15.0" customHeight="1">
      <c r="A754" s="34"/>
      <c r="B754" s="35"/>
      <c r="C754" s="15"/>
      <c r="D754" s="15"/>
      <c r="E754" s="15"/>
      <c r="F754" s="15"/>
      <c r="G754" s="36" t="str">
        <f t="array" ref="G754">IF($F754="","",IFERROR(INDEX(Config!$E:$E,MATCH($F754,Config!$D:$D,0)),0))</f>
        <v/>
      </c>
      <c r="H754" s="16"/>
      <c r="I754" s="36" t="str">
        <f t="shared" si="1"/>
        <v/>
      </c>
      <c r="J754" s="16"/>
      <c r="K754" s="15"/>
      <c r="L754" s="15"/>
      <c r="M754" s="36" t="str">
        <f t="array" ref="M754">IF($A754="","",IF($L754="Atendido",IFERROR($I754*INDEX(Config!$B:$B,MATCH($C754,Config!$A:$A,0)),0),0))</f>
        <v/>
      </c>
      <c r="N754" s="36" t="str">
        <f t="shared" si="2"/>
        <v/>
      </c>
      <c r="O754" s="36" t="str">
        <f t="shared" si="3"/>
        <v/>
      </c>
      <c r="P754" s="15"/>
      <c r="Q754" s="37" t="str">
        <f t="shared" si="4"/>
        <v/>
      </c>
      <c r="R754" s="37" t="str">
        <f t="shared" si="5"/>
        <v/>
      </c>
      <c r="S754" s="32" t="str">
        <f t="shared" si="6"/>
        <v/>
      </c>
      <c r="T754" s="37" t="str">
        <f t="shared" si="7"/>
        <v/>
      </c>
      <c r="U754" s="37" t="str">
        <f t="array" ref="U754">IF($F754="","",IFERROR(INDEX(Config!$F:$F,MATCH($F754,Config!$D:$D,0)),0))</f>
        <v/>
      </c>
    </row>
    <row r="755" ht="15.0" customHeight="1">
      <c r="A755" s="34"/>
      <c r="B755" s="35"/>
      <c r="C755" s="15"/>
      <c r="D755" s="15"/>
      <c r="E755" s="15"/>
      <c r="F755" s="15"/>
      <c r="G755" s="36" t="str">
        <f t="array" ref="G755">IF($F755="","",IFERROR(INDEX(Config!$E:$E,MATCH($F755,Config!$D:$D,0)),0))</f>
        <v/>
      </c>
      <c r="H755" s="16"/>
      <c r="I755" s="36" t="str">
        <f t="shared" si="1"/>
        <v/>
      </c>
      <c r="J755" s="16"/>
      <c r="K755" s="15"/>
      <c r="L755" s="15"/>
      <c r="M755" s="36" t="str">
        <f t="array" ref="M755">IF($A755="","",IF($L755="Atendido",IFERROR($I755*INDEX(Config!$B:$B,MATCH($C755,Config!$A:$A,0)),0),0))</f>
        <v/>
      </c>
      <c r="N755" s="36" t="str">
        <f t="shared" si="2"/>
        <v/>
      </c>
      <c r="O755" s="36" t="str">
        <f t="shared" si="3"/>
        <v/>
      </c>
      <c r="P755" s="15"/>
      <c r="Q755" s="37" t="str">
        <f t="shared" si="4"/>
        <v/>
      </c>
      <c r="R755" s="37" t="str">
        <f t="shared" si="5"/>
        <v/>
      </c>
      <c r="S755" s="32" t="str">
        <f t="shared" si="6"/>
        <v/>
      </c>
      <c r="T755" s="37" t="str">
        <f t="shared" si="7"/>
        <v/>
      </c>
      <c r="U755" s="37" t="str">
        <f t="array" ref="U755">IF($F755="","",IFERROR(INDEX(Config!$F:$F,MATCH($F755,Config!$D:$D,0)),0))</f>
        <v/>
      </c>
    </row>
    <row r="756" ht="15.0" customHeight="1">
      <c r="A756" s="34"/>
      <c r="B756" s="35"/>
      <c r="C756" s="15"/>
      <c r="D756" s="15"/>
      <c r="E756" s="15"/>
      <c r="F756" s="15"/>
      <c r="G756" s="36" t="str">
        <f t="array" ref="G756">IF($F756="","",IFERROR(INDEX(Config!$E:$E,MATCH($F756,Config!$D:$D,0)),0))</f>
        <v/>
      </c>
      <c r="H756" s="16"/>
      <c r="I756" s="36" t="str">
        <f t="shared" si="1"/>
        <v/>
      </c>
      <c r="J756" s="16"/>
      <c r="K756" s="15"/>
      <c r="L756" s="15"/>
      <c r="M756" s="36" t="str">
        <f t="array" ref="M756">IF($A756="","",IF($L756="Atendido",IFERROR($I756*INDEX(Config!$B:$B,MATCH($C756,Config!$A:$A,0)),0),0))</f>
        <v/>
      </c>
      <c r="N756" s="36" t="str">
        <f t="shared" si="2"/>
        <v/>
      </c>
      <c r="O756" s="36" t="str">
        <f t="shared" si="3"/>
        <v/>
      </c>
      <c r="P756" s="15"/>
      <c r="Q756" s="37" t="str">
        <f t="shared" si="4"/>
        <v/>
      </c>
      <c r="R756" s="37" t="str">
        <f t="shared" si="5"/>
        <v/>
      </c>
      <c r="S756" s="32" t="str">
        <f t="shared" si="6"/>
        <v/>
      </c>
      <c r="T756" s="37" t="str">
        <f t="shared" si="7"/>
        <v/>
      </c>
      <c r="U756" s="37" t="str">
        <f t="array" ref="U756">IF($F756="","",IFERROR(INDEX(Config!$F:$F,MATCH($F756,Config!$D:$D,0)),0))</f>
        <v/>
      </c>
    </row>
    <row r="757" ht="15.0" customHeight="1">
      <c r="A757" s="34"/>
      <c r="B757" s="35"/>
      <c r="C757" s="15"/>
      <c r="D757" s="15"/>
      <c r="E757" s="15"/>
      <c r="F757" s="15"/>
      <c r="G757" s="36" t="str">
        <f t="array" ref="G757">IF($F757="","",IFERROR(INDEX(Config!$E:$E,MATCH($F757,Config!$D:$D,0)),0))</f>
        <v/>
      </c>
      <c r="H757" s="16"/>
      <c r="I757" s="36" t="str">
        <f t="shared" si="1"/>
        <v/>
      </c>
      <c r="J757" s="16"/>
      <c r="K757" s="15"/>
      <c r="L757" s="15"/>
      <c r="M757" s="36" t="str">
        <f t="array" ref="M757">IF($A757="","",IF($L757="Atendido",IFERROR($I757*INDEX(Config!$B:$B,MATCH($C757,Config!$A:$A,0)),0),0))</f>
        <v/>
      </c>
      <c r="N757" s="36" t="str">
        <f t="shared" si="2"/>
        <v/>
      </c>
      <c r="O757" s="36" t="str">
        <f t="shared" si="3"/>
        <v/>
      </c>
      <c r="P757" s="15"/>
      <c r="Q757" s="37" t="str">
        <f t="shared" si="4"/>
        <v/>
      </c>
      <c r="R757" s="37" t="str">
        <f t="shared" si="5"/>
        <v/>
      </c>
      <c r="S757" s="32" t="str">
        <f t="shared" si="6"/>
        <v/>
      </c>
      <c r="T757" s="37" t="str">
        <f t="shared" si="7"/>
        <v/>
      </c>
      <c r="U757" s="37" t="str">
        <f t="array" ref="U757">IF($F757="","",IFERROR(INDEX(Config!$F:$F,MATCH($F757,Config!$D:$D,0)),0))</f>
        <v/>
      </c>
    </row>
    <row r="758" ht="15.0" customHeight="1">
      <c r="A758" s="34"/>
      <c r="B758" s="35"/>
      <c r="C758" s="15"/>
      <c r="D758" s="15"/>
      <c r="E758" s="15"/>
      <c r="F758" s="15"/>
      <c r="G758" s="36" t="str">
        <f t="array" ref="G758">IF($F758="","",IFERROR(INDEX(Config!$E:$E,MATCH($F758,Config!$D:$D,0)),0))</f>
        <v/>
      </c>
      <c r="H758" s="16"/>
      <c r="I758" s="36" t="str">
        <f t="shared" si="1"/>
        <v/>
      </c>
      <c r="J758" s="16"/>
      <c r="K758" s="15"/>
      <c r="L758" s="15"/>
      <c r="M758" s="36" t="str">
        <f t="array" ref="M758">IF($A758="","",IF($L758="Atendido",IFERROR($I758*INDEX(Config!$B:$B,MATCH($C758,Config!$A:$A,0)),0),0))</f>
        <v/>
      </c>
      <c r="N758" s="36" t="str">
        <f t="shared" si="2"/>
        <v/>
      </c>
      <c r="O758" s="36" t="str">
        <f t="shared" si="3"/>
        <v/>
      </c>
      <c r="P758" s="15"/>
      <c r="Q758" s="37" t="str">
        <f t="shared" si="4"/>
        <v/>
      </c>
      <c r="R758" s="37" t="str">
        <f t="shared" si="5"/>
        <v/>
      </c>
      <c r="S758" s="32" t="str">
        <f t="shared" si="6"/>
        <v/>
      </c>
      <c r="T758" s="37" t="str">
        <f t="shared" si="7"/>
        <v/>
      </c>
      <c r="U758" s="37" t="str">
        <f t="array" ref="U758">IF($F758="","",IFERROR(INDEX(Config!$F:$F,MATCH($F758,Config!$D:$D,0)),0))</f>
        <v/>
      </c>
    </row>
    <row r="759" ht="15.0" customHeight="1">
      <c r="A759" s="34"/>
      <c r="B759" s="35"/>
      <c r="C759" s="15"/>
      <c r="D759" s="15"/>
      <c r="E759" s="15"/>
      <c r="F759" s="15"/>
      <c r="G759" s="36" t="str">
        <f t="array" ref="G759">IF($F759="","",IFERROR(INDEX(Config!$E:$E,MATCH($F759,Config!$D:$D,0)),0))</f>
        <v/>
      </c>
      <c r="H759" s="16"/>
      <c r="I759" s="36" t="str">
        <f t="shared" si="1"/>
        <v/>
      </c>
      <c r="J759" s="16"/>
      <c r="K759" s="15"/>
      <c r="L759" s="15"/>
      <c r="M759" s="36" t="str">
        <f t="array" ref="M759">IF($A759="","",IF($L759="Atendido",IFERROR($I759*INDEX(Config!$B:$B,MATCH($C759,Config!$A:$A,0)),0),0))</f>
        <v/>
      </c>
      <c r="N759" s="36" t="str">
        <f t="shared" si="2"/>
        <v/>
      </c>
      <c r="O759" s="36" t="str">
        <f t="shared" si="3"/>
        <v/>
      </c>
      <c r="P759" s="15"/>
      <c r="Q759" s="37" t="str">
        <f t="shared" si="4"/>
        <v/>
      </c>
      <c r="R759" s="37" t="str">
        <f t="shared" si="5"/>
        <v/>
      </c>
      <c r="S759" s="32" t="str">
        <f t="shared" si="6"/>
        <v/>
      </c>
      <c r="T759" s="37" t="str">
        <f t="shared" si="7"/>
        <v/>
      </c>
      <c r="U759" s="37" t="str">
        <f t="array" ref="U759">IF($F759="","",IFERROR(INDEX(Config!$F:$F,MATCH($F759,Config!$D:$D,0)),0))</f>
        <v/>
      </c>
    </row>
    <row r="760" ht="15.0" customHeight="1">
      <c r="A760" s="34"/>
      <c r="B760" s="35"/>
      <c r="C760" s="15"/>
      <c r="D760" s="15"/>
      <c r="E760" s="15"/>
      <c r="F760" s="15"/>
      <c r="G760" s="36" t="str">
        <f t="array" ref="G760">IF($F760="","",IFERROR(INDEX(Config!$E:$E,MATCH($F760,Config!$D:$D,0)),0))</f>
        <v/>
      </c>
      <c r="H760" s="16"/>
      <c r="I760" s="36" t="str">
        <f t="shared" si="1"/>
        <v/>
      </c>
      <c r="J760" s="16"/>
      <c r="K760" s="15"/>
      <c r="L760" s="15"/>
      <c r="M760" s="36" t="str">
        <f t="array" ref="M760">IF($A760="","",IF($L760="Atendido",IFERROR($I760*INDEX(Config!$B:$B,MATCH($C760,Config!$A:$A,0)),0),0))</f>
        <v/>
      </c>
      <c r="N760" s="36" t="str">
        <f t="shared" si="2"/>
        <v/>
      </c>
      <c r="O760" s="36" t="str">
        <f t="shared" si="3"/>
        <v/>
      </c>
      <c r="P760" s="15"/>
      <c r="Q760" s="37" t="str">
        <f t="shared" si="4"/>
        <v/>
      </c>
      <c r="R760" s="37" t="str">
        <f t="shared" si="5"/>
        <v/>
      </c>
      <c r="S760" s="32" t="str">
        <f t="shared" si="6"/>
        <v/>
      </c>
      <c r="T760" s="37" t="str">
        <f t="shared" si="7"/>
        <v/>
      </c>
      <c r="U760" s="37" t="str">
        <f t="array" ref="U760">IF($F760="","",IFERROR(INDEX(Config!$F:$F,MATCH($F760,Config!$D:$D,0)),0))</f>
        <v/>
      </c>
    </row>
    <row r="761" ht="15.0" customHeight="1">
      <c r="A761" s="34"/>
      <c r="B761" s="35"/>
      <c r="C761" s="15"/>
      <c r="D761" s="15"/>
      <c r="E761" s="15"/>
      <c r="F761" s="15"/>
      <c r="G761" s="36" t="str">
        <f t="array" ref="G761">IF($F761="","",IFERROR(INDEX(Config!$E:$E,MATCH($F761,Config!$D:$D,0)),0))</f>
        <v/>
      </c>
      <c r="H761" s="16"/>
      <c r="I761" s="36" t="str">
        <f t="shared" si="1"/>
        <v/>
      </c>
      <c r="J761" s="16"/>
      <c r="K761" s="15"/>
      <c r="L761" s="15"/>
      <c r="M761" s="36" t="str">
        <f t="array" ref="M761">IF($A761="","",IF($L761="Atendido",IFERROR($I761*INDEX(Config!$B:$B,MATCH($C761,Config!$A:$A,0)),0),0))</f>
        <v/>
      </c>
      <c r="N761" s="36" t="str">
        <f t="shared" si="2"/>
        <v/>
      </c>
      <c r="O761" s="36" t="str">
        <f t="shared" si="3"/>
        <v/>
      </c>
      <c r="P761" s="15"/>
      <c r="Q761" s="37" t="str">
        <f t="shared" si="4"/>
        <v/>
      </c>
      <c r="R761" s="37" t="str">
        <f t="shared" si="5"/>
        <v/>
      </c>
      <c r="S761" s="32" t="str">
        <f t="shared" si="6"/>
        <v/>
      </c>
      <c r="T761" s="37" t="str">
        <f t="shared" si="7"/>
        <v/>
      </c>
      <c r="U761" s="37" t="str">
        <f t="array" ref="U761">IF($F761="","",IFERROR(INDEX(Config!$F:$F,MATCH($F761,Config!$D:$D,0)),0))</f>
        <v/>
      </c>
    </row>
    <row r="762" ht="15.0" customHeight="1">
      <c r="A762" s="34"/>
      <c r="B762" s="35"/>
      <c r="C762" s="15"/>
      <c r="D762" s="15"/>
      <c r="E762" s="15"/>
      <c r="F762" s="15"/>
      <c r="G762" s="36" t="str">
        <f t="array" ref="G762">IF($F762="","",IFERROR(INDEX(Config!$E:$E,MATCH($F762,Config!$D:$D,0)),0))</f>
        <v/>
      </c>
      <c r="H762" s="16"/>
      <c r="I762" s="36" t="str">
        <f t="shared" si="1"/>
        <v/>
      </c>
      <c r="J762" s="16"/>
      <c r="K762" s="15"/>
      <c r="L762" s="15"/>
      <c r="M762" s="36" t="str">
        <f t="array" ref="M762">IF($A762="","",IF($L762="Atendido",IFERROR($I762*INDEX(Config!$B:$B,MATCH($C762,Config!$A:$A,0)),0),0))</f>
        <v/>
      </c>
      <c r="N762" s="36" t="str">
        <f t="shared" si="2"/>
        <v/>
      </c>
      <c r="O762" s="36" t="str">
        <f t="shared" si="3"/>
        <v/>
      </c>
      <c r="P762" s="15"/>
      <c r="Q762" s="37" t="str">
        <f t="shared" si="4"/>
        <v/>
      </c>
      <c r="R762" s="37" t="str">
        <f t="shared" si="5"/>
        <v/>
      </c>
      <c r="S762" s="32" t="str">
        <f t="shared" si="6"/>
        <v/>
      </c>
      <c r="T762" s="37" t="str">
        <f t="shared" si="7"/>
        <v/>
      </c>
      <c r="U762" s="37" t="str">
        <f t="array" ref="U762">IF($F762="","",IFERROR(INDEX(Config!$F:$F,MATCH($F762,Config!$D:$D,0)),0))</f>
        <v/>
      </c>
    </row>
    <row r="763" ht="15.0" customHeight="1">
      <c r="A763" s="34"/>
      <c r="B763" s="35"/>
      <c r="C763" s="15"/>
      <c r="D763" s="15"/>
      <c r="E763" s="15"/>
      <c r="F763" s="15"/>
      <c r="G763" s="36" t="str">
        <f t="array" ref="G763">IF($F763="","",IFERROR(INDEX(Config!$E:$E,MATCH($F763,Config!$D:$D,0)),0))</f>
        <v/>
      </c>
      <c r="H763" s="16"/>
      <c r="I763" s="36" t="str">
        <f t="shared" si="1"/>
        <v/>
      </c>
      <c r="J763" s="16"/>
      <c r="K763" s="15"/>
      <c r="L763" s="15"/>
      <c r="M763" s="36" t="str">
        <f t="array" ref="M763">IF($A763="","",IF($L763="Atendido",IFERROR($I763*INDEX(Config!$B:$B,MATCH($C763,Config!$A:$A,0)),0),0))</f>
        <v/>
      </c>
      <c r="N763" s="36" t="str">
        <f t="shared" si="2"/>
        <v/>
      </c>
      <c r="O763" s="36" t="str">
        <f t="shared" si="3"/>
        <v/>
      </c>
      <c r="P763" s="15"/>
      <c r="Q763" s="37" t="str">
        <f t="shared" si="4"/>
        <v/>
      </c>
      <c r="R763" s="37" t="str">
        <f t="shared" si="5"/>
        <v/>
      </c>
      <c r="S763" s="32" t="str">
        <f t="shared" si="6"/>
        <v/>
      </c>
      <c r="T763" s="37" t="str">
        <f t="shared" si="7"/>
        <v/>
      </c>
      <c r="U763" s="37" t="str">
        <f t="array" ref="U763">IF($F763="","",IFERROR(INDEX(Config!$F:$F,MATCH($F763,Config!$D:$D,0)),0))</f>
        <v/>
      </c>
    </row>
    <row r="764" ht="15.0" customHeight="1">
      <c r="A764" s="34"/>
      <c r="B764" s="35"/>
      <c r="C764" s="15"/>
      <c r="D764" s="15"/>
      <c r="E764" s="15"/>
      <c r="F764" s="15"/>
      <c r="G764" s="36" t="str">
        <f t="array" ref="G764">IF($F764="","",IFERROR(INDEX(Config!$E:$E,MATCH($F764,Config!$D:$D,0)),0))</f>
        <v/>
      </c>
      <c r="H764" s="16"/>
      <c r="I764" s="36" t="str">
        <f t="shared" si="1"/>
        <v/>
      </c>
      <c r="J764" s="16"/>
      <c r="K764" s="15"/>
      <c r="L764" s="15"/>
      <c r="M764" s="36" t="str">
        <f t="array" ref="M764">IF($A764="","",IF($L764="Atendido",IFERROR($I764*INDEX(Config!$B:$B,MATCH($C764,Config!$A:$A,0)),0),0))</f>
        <v/>
      </c>
      <c r="N764" s="36" t="str">
        <f t="shared" si="2"/>
        <v/>
      </c>
      <c r="O764" s="36" t="str">
        <f t="shared" si="3"/>
        <v/>
      </c>
      <c r="P764" s="15"/>
      <c r="Q764" s="37" t="str">
        <f t="shared" si="4"/>
        <v/>
      </c>
      <c r="R764" s="37" t="str">
        <f t="shared" si="5"/>
        <v/>
      </c>
      <c r="S764" s="32" t="str">
        <f t="shared" si="6"/>
        <v/>
      </c>
      <c r="T764" s="37" t="str">
        <f t="shared" si="7"/>
        <v/>
      </c>
      <c r="U764" s="37" t="str">
        <f t="array" ref="U764">IF($F764="","",IFERROR(INDEX(Config!$F:$F,MATCH($F764,Config!$D:$D,0)),0))</f>
        <v/>
      </c>
    </row>
    <row r="765" ht="15.0" customHeight="1">
      <c r="A765" s="34"/>
      <c r="B765" s="35"/>
      <c r="C765" s="15"/>
      <c r="D765" s="15"/>
      <c r="E765" s="15"/>
      <c r="F765" s="15"/>
      <c r="G765" s="36" t="str">
        <f t="array" ref="G765">IF($F765="","",IFERROR(INDEX(Config!$E:$E,MATCH($F765,Config!$D:$D,0)),0))</f>
        <v/>
      </c>
      <c r="H765" s="16"/>
      <c r="I765" s="36" t="str">
        <f t="shared" si="1"/>
        <v/>
      </c>
      <c r="J765" s="16"/>
      <c r="K765" s="15"/>
      <c r="L765" s="15"/>
      <c r="M765" s="36" t="str">
        <f t="array" ref="M765">IF($A765="","",IF($L765="Atendido",IFERROR($I765*INDEX(Config!$B:$B,MATCH($C765,Config!$A:$A,0)),0),0))</f>
        <v/>
      </c>
      <c r="N765" s="36" t="str">
        <f t="shared" si="2"/>
        <v/>
      </c>
      <c r="O765" s="36" t="str">
        <f t="shared" si="3"/>
        <v/>
      </c>
      <c r="P765" s="15"/>
      <c r="Q765" s="37" t="str">
        <f t="shared" si="4"/>
        <v/>
      </c>
      <c r="R765" s="37" t="str">
        <f t="shared" si="5"/>
        <v/>
      </c>
      <c r="S765" s="32" t="str">
        <f t="shared" si="6"/>
        <v/>
      </c>
      <c r="T765" s="37" t="str">
        <f t="shared" si="7"/>
        <v/>
      </c>
      <c r="U765" s="37" t="str">
        <f t="array" ref="U765">IF($F765="","",IFERROR(INDEX(Config!$F:$F,MATCH($F765,Config!$D:$D,0)),0))</f>
        <v/>
      </c>
    </row>
    <row r="766" ht="15.0" customHeight="1">
      <c r="A766" s="34"/>
      <c r="B766" s="35"/>
      <c r="C766" s="15"/>
      <c r="D766" s="15"/>
      <c r="E766" s="15"/>
      <c r="F766" s="15"/>
      <c r="G766" s="36" t="str">
        <f t="array" ref="G766">IF($F766="","",IFERROR(INDEX(Config!$E:$E,MATCH($F766,Config!$D:$D,0)),0))</f>
        <v/>
      </c>
      <c r="H766" s="16"/>
      <c r="I766" s="36" t="str">
        <f t="shared" si="1"/>
        <v/>
      </c>
      <c r="J766" s="16"/>
      <c r="K766" s="15"/>
      <c r="L766" s="15"/>
      <c r="M766" s="36" t="str">
        <f t="array" ref="M766">IF($A766="","",IF($L766="Atendido",IFERROR($I766*INDEX(Config!$B:$B,MATCH($C766,Config!$A:$A,0)),0),0))</f>
        <v/>
      </c>
      <c r="N766" s="36" t="str">
        <f t="shared" si="2"/>
        <v/>
      </c>
      <c r="O766" s="36" t="str">
        <f t="shared" si="3"/>
        <v/>
      </c>
      <c r="P766" s="15"/>
      <c r="Q766" s="37" t="str">
        <f t="shared" si="4"/>
        <v/>
      </c>
      <c r="R766" s="37" t="str">
        <f t="shared" si="5"/>
        <v/>
      </c>
      <c r="S766" s="32" t="str">
        <f t="shared" si="6"/>
        <v/>
      </c>
      <c r="T766" s="37" t="str">
        <f t="shared" si="7"/>
        <v/>
      </c>
      <c r="U766" s="37" t="str">
        <f t="array" ref="U766">IF($F766="","",IFERROR(INDEX(Config!$F:$F,MATCH($F766,Config!$D:$D,0)),0))</f>
        <v/>
      </c>
    </row>
    <row r="767" ht="15.0" customHeight="1">
      <c r="A767" s="34"/>
      <c r="B767" s="35"/>
      <c r="C767" s="15"/>
      <c r="D767" s="15"/>
      <c r="E767" s="15"/>
      <c r="F767" s="15"/>
      <c r="G767" s="36" t="str">
        <f t="array" ref="G767">IF($F767="","",IFERROR(INDEX(Config!$E:$E,MATCH($F767,Config!$D:$D,0)),0))</f>
        <v/>
      </c>
      <c r="H767" s="16"/>
      <c r="I767" s="36" t="str">
        <f t="shared" si="1"/>
        <v/>
      </c>
      <c r="J767" s="16"/>
      <c r="K767" s="15"/>
      <c r="L767" s="15"/>
      <c r="M767" s="36" t="str">
        <f t="array" ref="M767">IF($A767="","",IF($L767="Atendido",IFERROR($I767*INDEX(Config!$B:$B,MATCH($C767,Config!$A:$A,0)),0),0))</f>
        <v/>
      </c>
      <c r="N767" s="36" t="str">
        <f t="shared" si="2"/>
        <v/>
      </c>
      <c r="O767" s="36" t="str">
        <f t="shared" si="3"/>
        <v/>
      </c>
      <c r="P767" s="15"/>
      <c r="Q767" s="37" t="str">
        <f t="shared" si="4"/>
        <v/>
      </c>
      <c r="R767" s="37" t="str">
        <f t="shared" si="5"/>
        <v/>
      </c>
      <c r="S767" s="32" t="str">
        <f t="shared" si="6"/>
        <v/>
      </c>
      <c r="T767" s="37" t="str">
        <f t="shared" si="7"/>
        <v/>
      </c>
      <c r="U767" s="37" t="str">
        <f t="array" ref="U767">IF($F767="","",IFERROR(INDEX(Config!$F:$F,MATCH($F767,Config!$D:$D,0)),0))</f>
        <v/>
      </c>
    </row>
    <row r="768" ht="15.0" customHeight="1">
      <c r="A768" s="34"/>
      <c r="B768" s="35"/>
      <c r="C768" s="15"/>
      <c r="D768" s="15"/>
      <c r="E768" s="15"/>
      <c r="F768" s="15"/>
      <c r="G768" s="36" t="str">
        <f t="array" ref="G768">IF($F768="","",IFERROR(INDEX(Config!$E:$E,MATCH($F768,Config!$D:$D,0)),0))</f>
        <v/>
      </c>
      <c r="H768" s="16"/>
      <c r="I768" s="36" t="str">
        <f t="shared" si="1"/>
        <v/>
      </c>
      <c r="J768" s="16"/>
      <c r="K768" s="15"/>
      <c r="L768" s="15"/>
      <c r="M768" s="36" t="str">
        <f t="array" ref="M768">IF($A768="","",IF($L768="Atendido",IFERROR($I768*INDEX(Config!$B:$B,MATCH($C768,Config!$A:$A,0)),0),0))</f>
        <v/>
      </c>
      <c r="N768" s="36" t="str">
        <f t="shared" si="2"/>
        <v/>
      </c>
      <c r="O768" s="36" t="str">
        <f t="shared" si="3"/>
        <v/>
      </c>
      <c r="P768" s="15"/>
      <c r="Q768" s="37" t="str">
        <f t="shared" si="4"/>
        <v/>
      </c>
      <c r="R768" s="37" t="str">
        <f t="shared" si="5"/>
        <v/>
      </c>
      <c r="S768" s="32" t="str">
        <f t="shared" si="6"/>
        <v/>
      </c>
      <c r="T768" s="37" t="str">
        <f t="shared" si="7"/>
        <v/>
      </c>
      <c r="U768" s="37" t="str">
        <f t="array" ref="U768">IF($F768="","",IFERROR(INDEX(Config!$F:$F,MATCH($F768,Config!$D:$D,0)),0))</f>
        <v/>
      </c>
    </row>
    <row r="769" ht="15.0" customHeight="1">
      <c r="A769" s="34"/>
      <c r="B769" s="35"/>
      <c r="C769" s="15"/>
      <c r="D769" s="15"/>
      <c r="E769" s="15"/>
      <c r="F769" s="15"/>
      <c r="G769" s="36" t="str">
        <f t="array" ref="G769">IF($F769="","",IFERROR(INDEX(Config!$E:$E,MATCH($F769,Config!$D:$D,0)),0))</f>
        <v/>
      </c>
      <c r="H769" s="16"/>
      <c r="I769" s="36" t="str">
        <f t="shared" si="1"/>
        <v/>
      </c>
      <c r="J769" s="16"/>
      <c r="K769" s="15"/>
      <c r="L769" s="15"/>
      <c r="M769" s="36" t="str">
        <f t="array" ref="M769">IF($A769="","",IF($L769="Atendido",IFERROR($I769*INDEX(Config!$B:$B,MATCH($C769,Config!$A:$A,0)),0),0))</f>
        <v/>
      </c>
      <c r="N769" s="36" t="str">
        <f t="shared" si="2"/>
        <v/>
      </c>
      <c r="O769" s="36" t="str">
        <f t="shared" si="3"/>
        <v/>
      </c>
      <c r="P769" s="15"/>
      <c r="Q769" s="37" t="str">
        <f t="shared" si="4"/>
        <v/>
      </c>
      <c r="R769" s="37" t="str">
        <f t="shared" si="5"/>
        <v/>
      </c>
      <c r="S769" s="32" t="str">
        <f t="shared" si="6"/>
        <v/>
      </c>
      <c r="T769" s="37" t="str">
        <f t="shared" si="7"/>
        <v/>
      </c>
      <c r="U769" s="37" t="str">
        <f t="array" ref="U769">IF($F769="","",IFERROR(INDEX(Config!$F:$F,MATCH($F769,Config!$D:$D,0)),0))</f>
        <v/>
      </c>
    </row>
    <row r="770" ht="15.0" customHeight="1">
      <c r="A770" s="34"/>
      <c r="B770" s="35"/>
      <c r="C770" s="15"/>
      <c r="D770" s="15"/>
      <c r="E770" s="15"/>
      <c r="F770" s="15"/>
      <c r="G770" s="36" t="str">
        <f t="array" ref="G770">IF($F770="","",IFERROR(INDEX(Config!$E:$E,MATCH($F770,Config!$D:$D,0)),0))</f>
        <v/>
      </c>
      <c r="H770" s="16"/>
      <c r="I770" s="36" t="str">
        <f t="shared" si="1"/>
        <v/>
      </c>
      <c r="J770" s="16"/>
      <c r="K770" s="15"/>
      <c r="L770" s="15"/>
      <c r="M770" s="36" t="str">
        <f t="array" ref="M770">IF($A770="","",IF($L770="Atendido",IFERROR($I770*INDEX(Config!$B:$B,MATCH($C770,Config!$A:$A,0)),0),0))</f>
        <v/>
      </c>
      <c r="N770" s="36" t="str">
        <f t="shared" si="2"/>
        <v/>
      </c>
      <c r="O770" s="36" t="str">
        <f t="shared" si="3"/>
        <v/>
      </c>
      <c r="P770" s="15"/>
      <c r="Q770" s="37" t="str">
        <f t="shared" si="4"/>
        <v/>
      </c>
      <c r="R770" s="37" t="str">
        <f t="shared" si="5"/>
        <v/>
      </c>
      <c r="S770" s="32" t="str">
        <f t="shared" si="6"/>
        <v/>
      </c>
      <c r="T770" s="37" t="str">
        <f t="shared" si="7"/>
        <v/>
      </c>
      <c r="U770" s="37" t="str">
        <f t="array" ref="U770">IF($F770="","",IFERROR(INDEX(Config!$F:$F,MATCH($F770,Config!$D:$D,0)),0))</f>
        <v/>
      </c>
    </row>
    <row r="771" ht="15.0" customHeight="1">
      <c r="A771" s="34"/>
      <c r="B771" s="35"/>
      <c r="C771" s="15"/>
      <c r="D771" s="15"/>
      <c r="E771" s="15"/>
      <c r="F771" s="15"/>
      <c r="G771" s="36" t="str">
        <f t="array" ref="G771">IF($F771="","",IFERROR(INDEX(Config!$E:$E,MATCH($F771,Config!$D:$D,0)),0))</f>
        <v/>
      </c>
      <c r="H771" s="16"/>
      <c r="I771" s="36" t="str">
        <f t="shared" si="1"/>
        <v/>
      </c>
      <c r="J771" s="16"/>
      <c r="K771" s="15"/>
      <c r="L771" s="15"/>
      <c r="M771" s="36" t="str">
        <f t="array" ref="M771">IF($A771="","",IF($L771="Atendido",IFERROR($I771*INDEX(Config!$B:$B,MATCH($C771,Config!$A:$A,0)),0),0))</f>
        <v/>
      </c>
      <c r="N771" s="36" t="str">
        <f t="shared" si="2"/>
        <v/>
      </c>
      <c r="O771" s="36" t="str">
        <f t="shared" si="3"/>
        <v/>
      </c>
      <c r="P771" s="15"/>
      <c r="Q771" s="37" t="str">
        <f t="shared" si="4"/>
        <v/>
      </c>
      <c r="R771" s="37" t="str">
        <f t="shared" si="5"/>
        <v/>
      </c>
      <c r="S771" s="32" t="str">
        <f t="shared" si="6"/>
        <v/>
      </c>
      <c r="T771" s="37" t="str">
        <f t="shared" si="7"/>
        <v/>
      </c>
      <c r="U771" s="37" t="str">
        <f t="array" ref="U771">IF($F771="","",IFERROR(INDEX(Config!$F:$F,MATCH($F771,Config!$D:$D,0)),0))</f>
        <v/>
      </c>
    </row>
    <row r="772" ht="15.0" customHeight="1">
      <c r="A772" s="34"/>
      <c r="B772" s="35"/>
      <c r="C772" s="15"/>
      <c r="D772" s="15"/>
      <c r="E772" s="15"/>
      <c r="F772" s="15"/>
      <c r="G772" s="36" t="str">
        <f t="array" ref="G772">IF($F772="","",IFERROR(INDEX(Config!$E:$E,MATCH($F772,Config!$D:$D,0)),0))</f>
        <v/>
      </c>
      <c r="H772" s="16"/>
      <c r="I772" s="36" t="str">
        <f t="shared" si="1"/>
        <v/>
      </c>
      <c r="J772" s="16"/>
      <c r="K772" s="15"/>
      <c r="L772" s="15"/>
      <c r="M772" s="36" t="str">
        <f t="array" ref="M772">IF($A772="","",IF($L772="Atendido",IFERROR($I772*INDEX(Config!$B:$B,MATCH($C772,Config!$A:$A,0)),0),0))</f>
        <v/>
      </c>
      <c r="N772" s="36" t="str">
        <f t="shared" si="2"/>
        <v/>
      </c>
      <c r="O772" s="36" t="str">
        <f t="shared" si="3"/>
        <v/>
      </c>
      <c r="P772" s="15"/>
      <c r="Q772" s="37" t="str">
        <f t="shared" si="4"/>
        <v/>
      </c>
      <c r="R772" s="37" t="str">
        <f t="shared" si="5"/>
        <v/>
      </c>
      <c r="S772" s="32" t="str">
        <f t="shared" si="6"/>
        <v/>
      </c>
      <c r="T772" s="37" t="str">
        <f t="shared" si="7"/>
        <v/>
      </c>
      <c r="U772" s="37" t="str">
        <f t="array" ref="U772">IF($F772="","",IFERROR(INDEX(Config!$F:$F,MATCH($F772,Config!$D:$D,0)),0))</f>
        <v/>
      </c>
    </row>
    <row r="773" ht="15.0" customHeight="1">
      <c r="A773" s="34"/>
      <c r="B773" s="35"/>
      <c r="C773" s="15"/>
      <c r="D773" s="15"/>
      <c r="E773" s="15"/>
      <c r="F773" s="15"/>
      <c r="G773" s="36" t="str">
        <f t="array" ref="G773">IF($F773="","",IFERROR(INDEX(Config!$E:$E,MATCH($F773,Config!$D:$D,0)),0))</f>
        <v/>
      </c>
      <c r="H773" s="16"/>
      <c r="I773" s="36" t="str">
        <f t="shared" si="1"/>
        <v/>
      </c>
      <c r="J773" s="16"/>
      <c r="K773" s="15"/>
      <c r="L773" s="15"/>
      <c r="M773" s="36" t="str">
        <f t="array" ref="M773">IF($A773="","",IF($L773="Atendido",IFERROR($I773*INDEX(Config!$B:$B,MATCH($C773,Config!$A:$A,0)),0),0))</f>
        <v/>
      </c>
      <c r="N773" s="36" t="str">
        <f t="shared" si="2"/>
        <v/>
      </c>
      <c r="O773" s="36" t="str">
        <f t="shared" si="3"/>
        <v/>
      </c>
      <c r="P773" s="15"/>
      <c r="Q773" s="37" t="str">
        <f t="shared" si="4"/>
        <v/>
      </c>
      <c r="R773" s="37" t="str">
        <f t="shared" si="5"/>
        <v/>
      </c>
      <c r="S773" s="32" t="str">
        <f t="shared" si="6"/>
        <v/>
      </c>
      <c r="T773" s="37" t="str">
        <f t="shared" si="7"/>
        <v/>
      </c>
      <c r="U773" s="37" t="str">
        <f t="array" ref="U773">IF($F773="","",IFERROR(INDEX(Config!$F:$F,MATCH($F773,Config!$D:$D,0)),0))</f>
        <v/>
      </c>
    </row>
    <row r="774" ht="15.0" customHeight="1">
      <c r="A774" s="34"/>
      <c r="B774" s="35"/>
      <c r="C774" s="15"/>
      <c r="D774" s="15"/>
      <c r="E774" s="15"/>
      <c r="F774" s="15"/>
      <c r="G774" s="36" t="str">
        <f t="array" ref="G774">IF($F774="","",IFERROR(INDEX(Config!$E:$E,MATCH($F774,Config!$D:$D,0)),0))</f>
        <v/>
      </c>
      <c r="H774" s="16"/>
      <c r="I774" s="36" t="str">
        <f t="shared" si="1"/>
        <v/>
      </c>
      <c r="J774" s="16"/>
      <c r="K774" s="15"/>
      <c r="L774" s="15"/>
      <c r="M774" s="36" t="str">
        <f t="array" ref="M774">IF($A774="","",IF($L774="Atendido",IFERROR($I774*INDEX(Config!$B:$B,MATCH($C774,Config!$A:$A,0)),0),0))</f>
        <v/>
      </c>
      <c r="N774" s="36" t="str">
        <f t="shared" si="2"/>
        <v/>
      </c>
      <c r="O774" s="36" t="str">
        <f t="shared" si="3"/>
        <v/>
      </c>
      <c r="P774" s="15"/>
      <c r="Q774" s="37" t="str">
        <f t="shared" si="4"/>
        <v/>
      </c>
      <c r="R774" s="37" t="str">
        <f t="shared" si="5"/>
        <v/>
      </c>
      <c r="S774" s="32" t="str">
        <f t="shared" si="6"/>
        <v/>
      </c>
      <c r="T774" s="37" t="str">
        <f t="shared" si="7"/>
        <v/>
      </c>
      <c r="U774" s="37" t="str">
        <f t="array" ref="U774">IF($F774="","",IFERROR(INDEX(Config!$F:$F,MATCH($F774,Config!$D:$D,0)),0))</f>
        <v/>
      </c>
    </row>
    <row r="775" ht="15.0" customHeight="1">
      <c r="A775" s="34"/>
      <c r="B775" s="35"/>
      <c r="C775" s="15"/>
      <c r="D775" s="15"/>
      <c r="E775" s="15"/>
      <c r="F775" s="15"/>
      <c r="G775" s="36" t="str">
        <f t="array" ref="G775">IF($F775="","",IFERROR(INDEX(Config!$E:$E,MATCH($F775,Config!$D:$D,0)),0))</f>
        <v/>
      </c>
      <c r="H775" s="16"/>
      <c r="I775" s="36" t="str">
        <f t="shared" si="1"/>
        <v/>
      </c>
      <c r="J775" s="16"/>
      <c r="K775" s="15"/>
      <c r="L775" s="15"/>
      <c r="M775" s="36" t="str">
        <f t="array" ref="M775">IF($A775="","",IF($L775="Atendido",IFERROR($I775*INDEX(Config!$B:$B,MATCH($C775,Config!$A:$A,0)),0),0))</f>
        <v/>
      </c>
      <c r="N775" s="36" t="str">
        <f t="shared" si="2"/>
        <v/>
      </c>
      <c r="O775" s="36" t="str">
        <f t="shared" si="3"/>
        <v/>
      </c>
      <c r="P775" s="15"/>
      <c r="Q775" s="37" t="str">
        <f t="shared" si="4"/>
        <v/>
      </c>
      <c r="R775" s="37" t="str">
        <f t="shared" si="5"/>
        <v/>
      </c>
      <c r="S775" s="32" t="str">
        <f t="shared" si="6"/>
        <v/>
      </c>
      <c r="T775" s="37" t="str">
        <f t="shared" si="7"/>
        <v/>
      </c>
      <c r="U775" s="37" t="str">
        <f t="array" ref="U775">IF($F775="","",IFERROR(INDEX(Config!$F:$F,MATCH($F775,Config!$D:$D,0)),0))</f>
        <v/>
      </c>
    </row>
    <row r="776" ht="15.0" customHeight="1">
      <c r="A776" s="34"/>
      <c r="B776" s="35"/>
      <c r="C776" s="15"/>
      <c r="D776" s="15"/>
      <c r="E776" s="15"/>
      <c r="F776" s="15"/>
      <c r="G776" s="36" t="str">
        <f t="array" ref="G776">IF($F776="","",IFERROR(INDEX(Config!$E:$E,MATCH($F776,Config!$D:$D,0)),0))</f>
        <v/>
      </c>
      <c r="H776" s="16"/>
      <c r="I776" s="36" t="str">
        <f t="shared" si="1"/>
        <v/>
      </c>
      <c r="J776" s="16"/>
      <c r="K776" s="15"/>
      <c r="L776" s="15"/>
      <c r="M776" s="36" t="str">
        <f t="array" ref="M776">IF($A776="","",IF($L776="Atendido",IFERROR($I776*INDEX(Config!$B:$B,MATCH($C776,Config!$A:$A,0)),0),0))</f>
        <v/>
      </c>
      <c r="N776" s="36" t="str">
        <f t="shared" si="2"/>
        <v/>
      </c>
      <c r="O776" s="36" t="str">
        <f t="shared" si="3"/>
        <v/>
      </c>
      <c r="P776" s="15"/>
      <c r="Q776" s="37" t="str">
        <f t="shared" si="4"/>
        <v/>
      </c>
      <c r="R776" s="37" t="str">
        <f t="shared" si="5"/>
        <v/>
      </c>
      <c r="S776" s="32" t="str">
        <f t="shared" si="6"/>
        <v/>
      </c>
      <c r="T776" s="37" t="str">
        <f t="shared" si="7"/>
        <v/>
      </c>
      <c r="U776" s="37" t="str">
        <f t="array" ref="U776">IF($F776="","",IFERROR(INDEX(Config!$F:$F,MATCH($F776,Config!$D:$D,0)),0))</f>
        <v/>
      </c>
    </row>
    <row r="777" ht="15.0" customHeight="1">
      <c r="A777" s="34"/>
      <c r="B777" s="35"/>
      <c r="C777" s="15"/>
      <c r="D777" s="15"/>
      <c r="E777" s="15"/>
      <c r="F777" s="15"/>
      <c r="G777" s="36" t="str">
        <f t="array" ref="G777">IF($F777="","",IFERROR(INDEX(Config!$E:$E,MATCH($F777,Config!$D:$D,0)),0))</f>
        <v/>
      </c>
      <c r="H777" s="16"/>
      <c r="I777" s="36" t="str">
        <f t="shared" si="1"/>
        <v/>
      </c>
      <c r="J777" s="16"/>
      <c r="K777" s="15"/>
      <c r="L777" s="15"/>
      <c r="M777" s="36" t="str">
        <f t="array" ref="M777">IF($A777="","",IF($L777="Atendido",IFERROR($I777*INDEX(Config!$B:$B,MATCH($C777,Config!$A:$A,0)),0),0))</f>
        <v/>
      </c>
      <c r="N777" s="36" t="str">
        <f t="shared" si="2"/>
        <v/>
      </c>
      <c r="O777" s="36" t="str">
        <f t="shared" si="3"/>
        <v/>
      </c>
      <c r="P777" s="15"/>
      <c r="Q777" s="37" t="str">
        <f t="shared" si="4"/>
        <v/>
      </c>
      <c r="R777" s="37" t="str">
        <f t="shared" si="5"/>
        <v/>
      </c>
      <c r="S777" s="32" t="str">
        <f t="shared" si="6"/>
        <v/>
      </c>
      <c r="T777" s="37" t="str">
        <f t="shared" si="7"/>
        <v/>
      </c>
      <c r="U777" s="37" t="str">
        <f t="array" ref="U777">IF($F777="","",IFERROR(INDEX(Config!$F:$F,MATCH($F777,Config!$D:$D,0)),0))</f>
        <v/>
      </c>
    </row>
    <row r="778" ht="15.0" customHeight="1">
      <c r="A778" s="34"/>
      <c r="B778" s="35"/>
      <c r="C778" s="15"/>
      <c r="D778" s="15"/>
      <c r="E778" s="15"/>
      <c r="F778" s="15"/>
      <c r="G778" s="36" t="str">
        <f t="array" ref="G778">IF($F778="","",IFERROR(INDEX(Config!$E:$E,MATCH($F778,Config!$D:$D,0)),0))</f>
        <v/>
      </c>
      <c r="H778" s="16"/>
      <c r="I778" s="36" t="str">
        <f t="shared" si="1"/>
        <v/>
      </c>
      <c r="J778" s="16"/>
      <c r="K778" s="15"/>
      <c r="L778" s="15"/>
      <c r="M778" s="36" t="str">
        <f t="array" ref="M778">IF($A778="","",IF($L778="Atendido",IFERROR($I778*INDEX(Config!$B:$B,MATCH($C778,Config!$A:$A,0)),0),0))</f>
        <v/>
      </c>
      <c r="N778" s="36" t="str">
        <f t="shared" si="2"/>
        <v/>
      </c>
      <c r="O778" s="36" t="str">
        <f t="shared" si="3"/>
        <v/>
      </c>
      <c r="P778" s="15"/>
      <c r="Q778" s="37" t="str">
        <f t="shared" si="4"/>
        <v/>
      </c>
      <c r="R778" s="37" t="str">
        <f t="shared" si="5"/>
        <v/>
      </c>
      <c r="S778" s="32" t="str">
        <f t="shared" si="6"/>
        <v/>
      </c>
      <c r="T778" s="37" t="str">
        <f t="shared" si="7"/>
        <v/>
      </c>
      <c r="U778" s="37" t="str">
        <f t="array" ref="U778">IF($F778="","",IFERROR(INDEX(Config!$F:$F,MATCH($F778,Config!$D:$D,0)),0))</f>
        <v/>
      </c>
    </row>
    <row r="779" ht="15.0" customHeight="1">
      <c r="A779" s="34"/>
      <c r="B779" s="35"/>
      <c r="C779" s="15"/>
      <c r="D779" s="15"/>
      <c r="E779" s="15"/>
      <c r="F779" s="15"/>
      <c r="G779" s="36" t="str">
        <f t="array" ref="G779">IF($F779="","",IFERROR(INDEX(Config!$E:$E,MATCH($F779,Config!$D:$D,0)),0))</f>
        <v/>
      </c>
      <c r="H779" s="16"/>
      <c r="I779" s="36" t="str">
        <f t="shared" si="1"/>
        <v/>
      </c>
      <c r="J779" s="16"/>
      <c r="K779" s="15"/>
      <c r="L779" s="15"/>
      <c r="M779" s="36" t="str">
        <f t="array" ref="M779">IF($A779="","",IF($L779="Atendido",IFERROR($I779*INDEX(Config!$B:$B,MATCH($C779,Config!$A:$A,0)),0),0))</f>
        <v/>
      </c>
      <c r="N779" s="36" t="str">
        <f t="shared" si="2"/>
        <v/>
      </c>
      <c r="O779" s="36" t="str">
        <f t="shared" si="3"/>
        <v/>
      </c>
      <c r="P779" s="15"/>
      <c r="Q779" s="37" t="str">
        <f t="shared" si="4"/>
        <v/>
      </c>
      <c r="R779" s="37" t="str">
        <f t="shared" si="5"/>
        <v/>
      </c>
      <c r="S779" s="32" t="str">
        <f t="shared" si="6"/>
        <v/>
      </c>
      <c r="T779" s="37" t="str">
        <f t="shared" si="7"/>
        <v/>
      </c>
      <c r="U779" s="37" t="str">
        <f t="array" ref="U779">IF($F779="","",IFERROR(INDEX(Config!$F:$F,MATCH($F779,Config!$D:$D,0)),0))</f>
        <v/>
      </c>
    </row>
    <row r="780" ht="15.0" customHeight="1">
      <c r="A780" s="34"/>
      <c r="B780" s="35"/>
      <c r="C780" s="15"/>
      <c r="D780" s="15"/>
      <c r="E780" s="15"/>
      <c r="F780" s="15"/>
      <c r="G780" s="36" t="str">
        <f t="array" ref="G780">IF($F780="","",IFERROR(INDEX(Config!$E:$E,MATCH($F780,Config!$D:$D,0)),0))</f>
        <v/>
      </c>
      <c r="H780" s="16"/>
      <c r="I780" s="36" t="str">
        <f t="shared" si="1"/>
        <v/>
      </c>
      <c r="J780" s="16"/>
      <c r="K780" s="15"/>
      <c r="L780" s="15"/>
      <c r="M780" s="36" t="str">
        <f t="array" ref="M780">IF($A780="","",IF($L780="Atendido",IFERROR($I780*INDEX(Config!$B:$B,MATCH($C780,Config!$A:$A,0)),0),0))</f>
        <v/>
      </c>
      <c r="N780" s="36" t="str">
        <f t="shared" si="2"/>
        <v/>
      </c>
      <c r="O780" s="36" t="str">
        <f t="shared" si="3"/>
        <v/>
      </c>
      <c r="P780" s="15"/>
      <c r="Q780" s="37" t="str">
        <f t="shared" si="4"/>
        <v/>
      </c>
      <c r="R780" s="37" t="str">
        <f t="shared" si="5"/>
        <v/>
      </c>
      <c r="S780" s="32" t="str">
        <f t="shared" si="6"/>
        <v/>
      </c>
      <c r="T780" s="37" t="str">
        <f t="shared" si="7"/>
        <v/>
      </c>
      <c r="U780" s="37" t="str">
        <f t="array" ref="U780">IF($F780="","",IFERROR(INDEX(Config!$F:$F,MATCH($F780,Config!$D:$D,0)),0))</f>
        <v/>
      </c>
    </row>
    <row r="781" ht="15.0" customHeight="1">
      <c r="A781" s="34"/>
      <c r="B781" s="35"/>
      <c r="C781" s="15"/>
      <c r="D781" s="15"/>
      <c r="E781" s="15"/>
      <c r="F781" s="15"/>
      <c r="G781" s="36" t="str">
        <f t="array" ref="G781">IF($F781="","",IFERROR(INDEX(Config!$E:$E,MATCH($F781,Config!$D:$D,0)),0))</f>
        <v/>
      </c>
      <c r="H781" s="16"/>
      <c r="I781" s="36" t="str">
        <f t="shared" si="1"/>
        <v/>
      </c>
      <c r="J781" s="16"/>
      <c r="K781" s="15"/>
      <c r="L781" s="15"/>
      <c r="M781" s="36" t="str">
        <f t="array" ref="M781">IF($A781="","",IF($L781="Atendido",IFERROR($I781*INDEX(Config!$B:$B,MATCH($C781,Config!$A:$A,0)),0),0))</f>
        <v/>
      </c>
      <c r="N781" s="36" t="str">
        <f t="shared" si="2"/>
        <v/>
      </c>
      <c r="O781" s="36" t="str">
        <f t="shared" si="3"/>
        <v/>
      </c>
      <c r="P781" s="15"/>
      <c r="Q781" s="37" t="str">
        <f t="shared" si="4"/>
        <v/>
      </c>
      <c r="R781" s="37" t="str">
        <f t="shared" si="5"/>
        <v/>
      </c>
      <c r="S781" s="32" t="str">
        <f t="shared" si="6"/>
        <v/>
      </c>
      <c r="T781" s="37" t="str">
        <f t="shared" si="7"/>
        <v/>
      </c>
      <c r="U781" s="37" t="str">
        <f t="array" ref="U781">IF($F781="","",IFERROR(INDEX(Config!$F:$F,MATCH($F781,Config!$D:$D,0)),0))</f>
        <v/>
      </c>
    </row>
    <row r="782" ht="15.0" customHeight="1">
      <c r="A782" s="34"/>
      <c r="B782" s="35"/>
      <c r="C782" s="15"/>
      <c r="D782" s="15"/>
      <c r="E782" s="15"/>
      <c r="F782" s="15"/>
      <c r="G782" s="36" t="str">
        <f t="array" ref="G782">IF($F782="","",IFERROR(INDEX(Config!$E:$E,MATCH($F782,Config!$D:$D,0)),0))</f>
        <v/>
      </c>
      <c r="H782" s="16"/>
      <c r="I782" s="36" t="str">
        <f t="shared" si="1"/>
        <v/>
      </c>
      <c r="J782" s="16"/>
      <c r="K782" s="15"/>
      <c r="L782" s="15"/>
      <c r="M782" s="36" t="str">
        <f t="array" ref="M782">IF($A782="","",IF($L782="Atendido",IFERROR($I782*INDEX(Config!$B:$B,MATCH($C782,Config!$A:$A,0)),0),0))</f>
        <v/>
      </c>
      <c r="N782" s="36" t="str">
        <f t="shared" si="2"/>
        <v/>
      </c>
      <c r="O782" s="36" t="str">
        <f t="shared" si="3"/>
        <v/>
      </c>
      <c r="P782" s="15"/>
      <c r="Q782" s="37" t="str">
        <f t="shared" si="4"/>
        <v/>
      </c>
      <c r="R782" s="37" t="str">
        <f t="shared" si="5"/>
        <v/>
      </c>
      <c r="S782" s="32" t="str">
        <f t="shared" si="6"/>
        <v/>
      </c>
      <c r="T782" s="37" t="str">
        <f t="shared" si="7"/>
        <v/>
      </c>
      <c r="U782" s="37" t="str">
        <f t="array" ref="U782">IF($F782="","",IFERROR(INDEX(Config!$F:$F,MATCH($F782,Config!$D:$D,0)),0))</f>
        <v/>
      </c>
    </row>
    <row r="783" ht="15.0" customHeight="1">
      <c r="A783" s="34"/>
      <c r="B783" s="35"/>
      <c r="C783" s="15"/>
      <c r="D783" s="15"/>
      <c r="E783" s="15"/>
      <c r="F783" s="15"/>
      <c r="G783" s="36" t="str">
        <f t="array" ref="G783">IF($F783="","",IFERROR(INDEX(Config!$E:$E,MATCH($F783,Config!$D:$D,0)),0))</f>
        <v/>
      </c>
      <c r="H783" s="16"/>
      <c r="I783" s="36" t="str">
        <f t="shared" si="1"/>
        <v/>
      </c>
      <c r="J783" s="16"/>
      <c r="K783" s="15"/>
      <c r="L783" s="15"/>
      <c r="M783" s="36" t="str">
        <f t="array" ref="M783">IF($A783="","",IF($L783="Atendido",IFERROR($I783*INDEX(Config!$B:$B,MATCH($C783,Config!$A:$A,0)),0),0))</f>
        <v/>
      </c>
      <c r="N783" s="36" t="str">
        <f t="shared" si="2"/>
        <v/>
      </c>
      <c r="O783" s="36" t="str">
        <f t="shared" si="3"/>
        <v/>
      </c>
      <c r="P783" s="15"/>
      <c r="Q783" s="37" t="str">
        <f t="shared" si="4"/>
        <v/>
      </c>
      <c r="R783" s="37" t="str">
        <f t="shared" si="5"/>
        <v/>
      </c>
      <c r="S783" s="32" t="str">
        <f t="shared" si="6"/>
        <v/>
      </c>
      <c r="T783" s="37" t="str">
        <f t="shared" si="7"/>
        <v/>
      </c>
      <c r="U783" s="37" t="str">
        <f t="array" ref="U783">IF($F783="","",IFERROR(INDEX(Config!$F:$F,MATCH($F783,Config!$D:$D,0)),0))</f>
        <v/>
      </c>
    </row>
    <row r="784" ht="15.0" customHeight="1">
      <c r="A784" s="34"/>
      <c r="B784" s="35"/>
      <c r="C784" s="15"/>
      <c r="D784" s="15"/>
      <c r="E784" s="15"/>
      <c r="F784" s="15"/>
      <c r="G784" s="36" t="str">
        <f t="array" ref="G784">IF($F784="","",IFERROR(INDEX(Config!$E:$E,MATCH($F784,Config!$D:$D,0)),0))</f>
        <v/>
      </c>
      <c r="H784" s="16"/>
      <c r="I784" s="36" t="str">
        <f t="shared" si="1"/>
        <v/>
      </c>
      <c r="J784" s="16"/>
      <c r="K784" s="15"/>
      <c r="L784" s="15"/>
      <c r="M784" s="36" t="str">
        <f t="array" ref="M784">IF($A784="","",IF($L784="Atendido",IFERROR($I784*INDEX(Config!$B:$B,MATCH($C784,Config!$A:$A,0)),0),0))</f>
        <v/>
      </c>
      <c r="N784" s="36" t="str">
        <f t="shared" si="2"/>
        <v/>
      </c>
      <c r="O784" s="36" t="str">
        <f t="shared" si="3"/>
        <v/>
      </c>
      <c r="P784" s="15"/>
      <c r="Q784" s="37" t="str">
        <f t="shared" si="4"/>
        <v/>
      </c>
      <c r="R784" s="37" t="str">
        <f t="shared" si="5"/>
        <v/>
      </c>
      <c r="S784" s="32" t="str">
        <f t="shared" si="6"/>
        <v/>
      </c>
      <c r="T784" s="37" t="str">
        <f t="shared" si="7"/>
        <v/>
      </c>
      <c r="U784" s="37" t="str">
        <f t="array" ref="U784">IF($F784="","",IFERROR(INDEX(Config!$F:$F,MATCH($F784,Config!$D:$D,0)),0))</f>
        <v/>
      </c>
    </row>
    <row r="785" ht="15.0" customHeight="1">
      <c r="A785" s="34"/>
      <c r="B785" s="35"/>
      <c r="C785" s="15"/>
      <c r="D785" s="15"/>
      <c r="E785" s="15"/>
      <c r="F785" s="15"/>
      <c r="G785" s="36" t="str">
        <f t="array" ref="G785">IF($F785="","",IFERROR(INDEX(Config!$E:$E,MATCH($F785,Config!$D:$D,0)),0))</f>
        <v/>
      </c>
      <c r="H785" s="16"/>
      <c r="I785" s="36" t="str">
        <f t="shared" si="1"/>
        <v/>
      </c>
      <c r="J785" s="16"/>
      <c r="K785" s="15"/>
      <c r="L785" s="15"/>
      <c r="M785" s="36" t="str">
        <f t="array" ref="M785">IF($A785="","",IF($L785="Atendido",IFERROR($I785*INDEX(Config!$B:$B,MATCH($C785,Config!$A:$A,0)),0),0))</f>
        <v/>
      </c>
      <c r="N785" s="36" t="str">
        <f t="shared" si="2"/>
        <v/>
      </c>
      <c r="O785" s="36" t="str">
        <f t="shared" si="3"/>
        <v/>
      </c>
      <c r="P785" s="15"/>
      <c r="Q785" s="37" t="str">
        <f t="shared" si="4"/>
        <v/>
      </c>
      <c r="R785" s="37" t="str">
        <f t="shared" si="5"/>
        <v/>
      </c>
      <c r="S785" s="32" t="str">
        <f t="shared" si="6"/>
        <v/>
      </c>
      <c r="T785" s="37" t="str">
        <f t="shared" si="7"/>
        <v/>
      </c>
      <c r="U785" s="37" t="str">
        <f t="array" ref="U785">IF($F785="","",IFERROR(INDEX(Config!$F:$F,MATCH($F785,Config!$D:$D,0)),0))</f>
        <v/>
      </c>
    </row>
    <row r="786" ht="15.0" customHeight="1">
      <c r="A786" s="34"/>
      <c r="B786" s="35"/>
      <c r="C786" s="15"/>
      <c r="D786" s="15"/>
      <c r="E786" s="15"/>
      <c r="F786" s="15"/>
      <c r="G786" s="36" t="str">
        <f t="array" ref="G786">IF($F786="","",IFERROR(INDEX(Config!$E:$E,MATCH($F786,Config!$D:$D,0)),0))</f>
        <v/>
      </c>
      <c r="H786" s="16"/>
      <c r="I786" s="36" t="str">
        <f t="shared" si="1"/>
        <v/>
      </c>
      <c r="J786" s="16"/>
      <c r="K786" s="15"/>
      <c r="L786" s="15"/>
      <c r="M786" s="36" t="str">
        <f t="array" ref="M786">IF($A786="","",IF($L786="Atendido",IFERROR($I786*INDEX(Config!$B:$B,MATCH($C786,Config!$A:$A,0)),0),0))</f>
        <v/>
      </c>
      <c r="N786" s="36" t="str">
        <f t="shared" si="2"/>
        <v/>
      </c>
      <c r="O786" s="36" t="str">
        <f t="shared" si="3"/>
        <v/>
      </c>
      <c r="P786" s="15"/>
      <c r="Q786" s="37" t="str">
        <f t="shared" si="4"/>
        <v/>
      </c>
      <c r="R786" s="37" t="str">
        <f t="shared" si="5"/>
        <v/>
      </c>
      <c r="S786" s="32" t="str">
        <f t="shared" si="6"/>
        <v/>
      </c>
      <c r="T786" s="37" t="str">
        <f t="shared" si="7"/>
        <v/>
      </c>
      <c r="U786" s="37" t="str">
        <f t="array" ref="U786">IF($F786="","",IFERROR(INDEX(Config!$F:$F,MATCH($F786,Config!$D:$D,0)),0))</f>
        <v/>
      </c>
    </row>
    <row r="787" ht="15.0" customHeight="1">
      <c r="A787" s="34"/>
      <c r="B787" s="35"/>
      <c r="C787" s="15"/>
      <c r="D787" s="15"/>
      <c r="E787" s="15"/>
      <c r="F787" s="15"/>
      <c r="G787" s="36" t="str">
        <f t="array" ref="G787">IF($F787="","",IFERROR(INDEX(Config!$E:$E,MATCH($F787,Config!$D:$D,0)),0))</f>
        <v/>
      </c>
      <c r="H787" s="16"/>
      <c r="I787" s="36" t="str">
        <f t="shared" si="1"/>
        <v/>
      </c>
      <c r="J787" s="16"/>
      <c r="K787" s="15"/>
      <c r="L787" s="15"/>
      <c r="M787" s="36" t="str">
        <f t="array" ref="M787">IF($A787="","",IF($L787="Atendido",IFERROR($I787*INDEX(Config!$B:$B,MATCH($C787,Config!$A:$A,0)),0),0))</f>
        <v/>
      </c>
      <c r="N787" s="36" t="str">
        <f t="shared" si="2"/>
        <v/>
      </c>
      <c r="O787" s="36" t="str">
        <f t="shared" si="3"/>
        <v/>
      </c>
      <c r="P787" s="15"/>
      <c r="Q787" s="37" t="str">
        <f t="shared" si="4"/>
        <v/>
      </c>
      <c r="R787" s="37" t="str">
        <f t="shared" si="5"/>
        <v/>
      </c>
      <c r="S787" s="32" t="str">
        <f t="shared" si="6"/>
        <v/>
      </c>
      <c r="T787" s="37" t="str">
        <f t="shared" si="7"/>
        <v/>
      </c>
      <c r="U787" s="37" t="str">
        <f t="array" ref="U787">IF($F787="","",IFERROR(INDEX(Config!$F:$F,MATCH($F787,Config!$D:$D,0)),0))</f>
        <v/>
      </c>
    </row>
    <row r="788" ht="15.0" customHeight="1">
      <c r="A788" s="34"/>
      <c r="B788" s="35"/>
      <c r="C788" s="15"/>
      <c r="D788" s="15"/>
      <c r="E788" s="15"/>
      <c r="F788" s="15"/>
      <c r="G788" s="36" t="str">
        <f t="array" ref="G788">IF($F788="","",IFERROR(INDEX(Config!$E:$E,MATCH($F788,Config!$D:$D,0)),0))</f>
        <v/>
      </c>
      <c r="H788" s="16"/>
      <c r="I788" s="36" t="str">
        <f t="shared" si="1"/>
        <v/>
      </c>
      <c r="J788" s="16"/>
      <c r="K788" s="15"/>
      <c r="L788" s="15"/>
      <c r="M788" s="36" t="str">
        <f t="array" ref="M788">IF($A788="","",IF($L788="Atendido",IFERROR($I788*INDEX(Config!$B:$B,MATCH($C788,Config!$A:$A,0)),0),0))</f>
        <v/>
      </c>
      <c r="N788" s="36" t="str">
        <f t="shared" si="2"/>
        <v/>
      </c>
      <c r="O788" s="36" t="str">
        <f t="shared" si="3"/>
        <v/>
      </c>
      <c r="P788" s="15"/>
      <c r="Q788" s="37" t="str">
        <f t="shared" si="4"/>
        <v/>
      </c>
      <c r="R788" s="37" t="str">
        <f t="shared" si="5"/>
        <v/>
      </c>
      <c r="S788" s="32" t="str">
        <f t="shared" si="6"/>
        <v/>
      </c>
      <c r="T788" s="37" t="str">
        <f t="shared" si="7"/>
        <v/>
      </c>
      <c r="U788" s="37" t="str">
        <f t="array" ref="U788">IF($F788="","",IFERROR(INDEX(Config!$F:$F,MATCH($F788,Config!$D:$D,0)),0))</f>
        <v/>
      </c>
    </row>
    <row r="789" ht="15.0" customHeight="1">
      <c r="A789" s="34"/>
      <c r="B789" s="35"/>
      <c r="C789" s="15"/>
      <c r="D789" s="15"/>
      <c r="E789" s="15"/>
      <c r="F789" s="15"/>
      <c r="G789" s="36" t="str">
        <f t="array" ref="G789">IF($F789="","",IFERROR(INDEX(Config!$E:$E,MATCH($F789,Config!$D:$D,0)),0))</f>
        <v/>
      </c>
      <c r="H789" s="16"/>
      <c r="I789" s="36" t="str">
        <f t="shared" si="1"/>
        <v/>
      </c>
      <c r="J789" s="16"/>
      <c r="K789" s="15"/>
      <c r="L789" s="15"/>
      <c r="M789" s="36" t="str">
        <f t="array" ref="M789">IF($A789="","",IF($L789="Atendido",IFERROR($I789*INDEX(Config!$B:$B,MATCH($C789,Config!$A:$A,0)),0),0))</f>
        <v/>
      </c>
      <c r="N789" s="36" t="str">
        <f t="shared" si="2"/>
        <v/>
      </c>
      <c r="O789" s="36" t="str">
        <f t="shared" si="3"/>
        <v/>
      </c>
      <c r="P789" s="15"/>
      <c r="Q789" s="37" t="str">
        <f t="shared" si="4"/>
        <v/>
      </c>
      <c r="R789" s="37" t="str">
        <f t="shared" si="5"/>
        <v/>
      </c>
      <c r="S789" s="32" t="str">
        <f t="shared" si="6"/>
        <v/>
      </c>
      <c r="T789" s="37" t="str">
        <f t="shared" si="7"/>
        <v/>
      </c>
      <c r="U789" s="37" t="str">
        <f t="array" ref="U789">IF($F789="","",IFERROR(INDEX(Config!$F:$F,MATCH($F789,Config!$D:$D,0)),0))</f>
        <v/>
      </c>
    </row>
    <row r="790" ht="15.0" customHeight="1">
      <c r="A790" s="34"/>
      <c r="B790" s="35"/>
      <c r="C790" s="15"/>
      <c r="D790" s="15"/>
      <c r="E790" s="15"/>
      <c r="F790" s="15"/>
      <c r="G790" s="36" t="str">
        <f t="array" ref="G790">IF($F790="","",IFERROR(INDEX(Config!$E:$E,MATCH($F790,Config!$D:$D,0)),0))</f>
        <v/>
      </c>
      <c r="H790" s="16"/>
      <c r="I790" s="36" t="str">
        <f t="shared" si="1"/>
        <v/>
      </c>
      <c r="J790" s="16"/>
      <c r="K790" s="15"/>
      <c r="L790" s="15"/>
      <c r="M790" s="36" t="str">
        <f t="array" ref="M790">IF($A790="","",IF($L790="Atendido",IFERROR($I790*INDEX(Config!$B:$B,MATCH($C790,Config!$A:$A,0)),0),0))</f>
        <v/>
      </c>
      <c r="N790" s="36" t="str">
        <f t="shared" si="2"/>
        <v/>
      </c>
      <c r="O790" s="36" t="str">
        <f t="shared" si="3"/>
        <v/>
      </c>
      <c r="P790" s="15"/>
      <c r="Q790" s="37" t="str">
        <f t="shared" si="4"/>
        <v/>
      </c>
      <c r="R790" s="37" t="str">
        <f t="shared" si="5"/>
        <v/>
      </c>
      <c r="S790" s="32" t="str">
        <f t="shared" si="6"/>
        <v/>
      </c>
      <c r="T790" s="37" t="str">
        <f t="shared" si="7"/>
        <v/>
      </c>
      <c r="U790" s="37" t="str">
        <f t="array" ref="U790">IF($F790="","",IFERROR(INDEX(Config!$F:$F,MATCH($F790,Config!$D:$D,0)),0))</f>
        <v/>
      </c>
    </row>
    <row r="791" ht="15.0" customHeight="1">
      <c r="A791" s="34"/>
      <c r="B791" s="35"/>
      <c r="C791" s="15"/>
      <c r="D791" s="15"/>
      <c r="E791" s="15"/>
      <c r="F791" s="15"/>
      <c r="G791" s="36" t="str">
        <f t="array" ref="G791">IF($F791="","",IFERROR(INDEX(Config!$E:$E,MATCH($F791,Config!$D:$D,0)),0))</f>
        <v/>
      </c>
      <c r="H791" s="16"/>
      <c r="I791" s="36" t="str">
        <f t="shared" si="1"/>
        <v/>
      </c>
      <c r="J791" s="16"/>
      <c r="K791" s="15"/>
      <c r="L791" s="15"/>
      <c r="M791" s="36" t="str">
        <f t="array" ref="M791">IF($A791="","",IF($L791="Atendido",IFERROR($I791*INDEX(Config!$B:$B,MATCH($C791,Config!$A:$A,0)),0),0))</f>
        <v/>
      </c>
      <c r="N791" s="36" t="str">
        <f t="shared" si="2"/>
        <v/>
      </c>
      <c r="O791" s="36" t="str">
        <f t="shared" si="3"/>
        <v/>
      </c>
      <c r="P791" s="15"/>
      <c r="Q791" s="37" t="str">
        <f t="shared" si="4"/>
        <v/>
      </c>
      <c r="R791" s="37" t="str">
        <f t="shared" si="5"/>
        <v/>
      </c>
      <c r="S791" s="32" t="str">
        <f t="shared" si="6"/>
        <v/>
      </c>
      <c r="T791" s="37" t="str">
        <f t="shared" si="7"/>
        <v/>
      </c>
      <c r="U791" s="37" t="str">
        <f t="array" ref="U791">IF($F791="","",IFERROR(INDEX(Config!$F:$F,MATCH($F791,Config!$D:$D,0)),0))</f>
        <v/>
      </c>
    </row>
    <row r="792" ht="15.0" customHeight="1">
      <c r="A792" s="34"/>
      <c r="B792" s="35"/>
      <c r="C792" s="15"/>
      <c r="D792" s="15"/>
      <c r="E792" s="15"/>
      <c r="F792" s="15"/>
      <c r="G792" s="36" t="str">
        <f t="array" ref="G792">IF($F792="","",IFERROR(INDEX(Config!$E:$E,MATCH($F792,Config!$D:$D,0)),0))</f>
        <v/>
      </c>
      <c r="H792" s="16"/>
      <c r="I792" s="36" t="str">
        <f t="shared" si="1"/>
        <v/>
      </c>
      <c r="J792" s="16"/>
      <c r="K792" s="15"/>
      <c r="L792" s="15"/>
      <c r="M792" s="36" t="str">
        <f t="array" ref="M792">IF($A792="","",IF($L792="Atendido",IFERROR($I792*INDEX(Config!$B:$B,MATCH($C792,Config!$A:$A,0)),0),0))</f>
        <v/>
      </c>
      <c r="N792" s="36" t="str">
        <f t="shared" si="2"/>
        <v/>
      </c>
      <c r="O792" s="36" t="str">
        <f t="shared" si="3"/>
        <v/>
      </c>
      <c r="P792" s="15"/>
      <c r="Q792" s="37" t="str">
        <f t="shared" si="4"/>
        <v/>
      </c>
      <c r="R792" s="37" t="str">
        <f t="shared" si="5"/>
        <v/>
      </c>
      <c r="S792" s="32" t="str">
        <f t="shared" si="6"/>
        <v/>
      </c>
      <c r="T792" s="37" t="str">
        <f t="shared" si="7"/>
        <v/>
      </c>
      <c r="U792" s="37" t="str">
        <f t="array" ref="U792">IF($F792="","",IFERROR(INDEX(Config!$F:$F,MATCH($F792,Config!$D:$D,0)),0))</f>
        <v/>
      </c>
    </row>
    <row r="793" ht="15.0" customHeight="1">
      <c r="A793" s="34"/>
      <c r="B793" s="35"/>
      <c r="C793" s="15"/>
      <c r="D793" s="15"/>
      <c r="E793" s="15"/>
      <c r="F793" s="15"/>
      <c r="G793" s="36" t="str">
        <f t="array" ref="G793">IF($F793="","",IFERROR(INDEX(Config!$E:$E,MATCH($F793,Config!$D:$D,0)),0))</f>
        <v/>
      </c>
      <c r="H793" s="16"/>
      <c r="I793" s="36" t="str">
        <f t="shared" si="1"/>
        <v/>
      </c>
      <c r="J793" s="16"/>
      <c r="K793" s="15"/>
      <c r="L793" s="15"/>
      <c r="M793" s="36" t="str">
        <f t="array" ref="M793">IF($A793="","",IF($L793="Atendido",IFERROR($I793*INDEX(Config!$B:$B,MATCH($C793,Config!$A:$A,0)),0),0))</f>
        <v/>
      </c>
      <c r="N793" s="36" t="str">
        <f t="shared" si="2"/>
        <v/>
      </c>
      <c r="O793" s="36" t="str">
        <f t="shared" si="3"/>
        <v/>
      </c>
      <c r="P793" s="15"/>
      <c r="Q793" s="37" t="str">
        <f t="shared" si="4"/>
        <v/>
      </c>
      <c r="R793" s="37" t="str">
        <f t="shared" si="5"/>
        <v/>
      </c>
      <c r="S793" s="32" t="str">
        <f t="shared" si="6"/>
        <v/>
      </c>
      <c r="T793" s="37" t="str">
        <f t="shared" si="7"/>
        <v/>
      </c>
      <c r="U793" s="37" t="str">
        <f t="array" ref="U793">IF($F793="","",IFERROR(INDEX(Config!$F:$F,MATCH($F793,Config!$D:$D,0)),0))</f>
        <v/>
      </c>
    </row>
    <row r="794" ht="15.0" customHeight="1">
      <c r="A794" s="34"/>
      <c r="B794" s="35"/>
      <c r="C794" s="15"/>
      <c r="D794" s="15"/>
      <c r="E794" s="15"/>
      <c r="F794" s="15"/>
      <c r="G794" s="36" t="str">
        <f t="array" ref="G794">IF($F794="","",IFERROR(INDEX(Config!$E:$E,MATCH($F794,Config!$D:$D,0)),0))</f>
        <v/>
      </c>
      <c r="H794" s="16"/>
      <c r="I794" s="36" t="str">
        <f t="shared" si="1"/>
        <v/>
      </c>
      <c r="J794" s="16"/>
      <c r="K794" s="15"/>
      <c r="L794" s="15"/>
      <c r="M794" s="36" t="str">
        <f t="array" ref="M794">IF($A794="","",IF($L794="Atendido",IFERROR($I794*INDEX(Config!$B:$B,MATCH($C794,Config!$A:$A,0)),0),0))</f>
        <v/>
      </c>
      <c r="N794" s="36" t="str">
        <f t="shared" si="2"/>
        <v/>
      </c>
      <c r="O794" s="36" t="str">
        <f t="shared" si="3"/>
        <v/>
      </c>
      <c r="P794" s="15"/>
      <c r="Q794" s="37" t="str">
        <f t="shared" si="4"/>
        <v/>
      </c>
      <c r="R794" s="37" t="str">
        <f t="shared" si="5"/>
        <v/>
      </c>
      <c r="S794" s="32" t="str">
        <f t="shared" si="6"/>
        <v/>
      </c>
      <c r="T794" s="37" t="str">
        <f t="shared" si="7"/>
        <v/>
      </c>
      <c r="U794" s="37" t="str">
        <f t="array" ref="U794">IF($F794="","",IFERROR(INDEX(Config!$F:$F,MATCH($F794,Config!$D:$D,0)),0))</f>
        <v/>
      </c>
    </row>
    <row r="795" ht="15.0" customHeight="1">
      <c r="A795" s="34"/>
      <c r="B795" s="35"/>
      <c r="C795" s="15"/>
      <c r="D795" s="15"/>
      <c r="E795" s="15"/>
      <c r="F795" s="15"/>
      <c r="G795" s="36" t="str">
        <f t="array" ref="G795">IF($F795="","",IFERROR(INDEX(Config!$E:$E,MATCH($F795,Config!$D:$D,0)),0))</f>
        <v/>
      </c>
      <c r="H795" s="16"/>
      <c r="I795" s="36" t="str">
        <f t="shared" si="1"/>
        <v/>
      </c>
      <c r="J795" s="16"/>
      <c r="K795" s="15"/>
      <c r="L795" s="15"/>
      <c r="M795" s="36" t="str">
        <f t="array" ref="M795">IF($A795="","",IF($L795="Atendido",IFERROR($I795*INDEX(Config!$B:$B,MATCH($C795,Config!$A:$A,0)),0),0))</f>
        <v/>
      </c>
      <c r="N795" s="36" t="str">
        <f t="shared" si="2"/>
        <v/>
      </c>
      <c r="O795" s="36" t="str">
        <f t="shared" si="3"/>
        <v/>
      </c>
      <c r="P795" s="15"/>
      <c r="Q795" s="37" t="str">
        <f t="shared" si="4"/>
        <v/>
      </c>
      <c r="R795" s="37" t="str">
        <f t="shared" si="5"/>
        <v/>
      </c>
      <c r="S795" s="32" t="str">
        <f t="shared" si="6"/>
        <v/>
      </c>
      <c r="T795" s="37" t="str">
        <f t="shared" si="7"/>
        <v/>
      </c>
      <c r="U795" s="37" t="str">
        <f t="array" ref="U795">IF($F795="","",IFERROR(INDEX(Config!$F:$F,MATCH($F795,Config!$D:$D,0)),0))</f>
        <v/>
      </c>
    </row>
    <row r="796" ht="15.0" customHeight="1">
      <c r="A796" s="34"/>
      <c r="B796" s="35"/>
      <c r="C796" s="15"/>
      <c r="D796" s="15"/>
      <c r="E796" s="15"/>
      <c r="F796" s="15"/>
      <c r="G796" s="36" t="str">
        <f t="array" ref="G796">IF($F796="","",IFERROR(INDEX(Config!$E:$E,MATCH($F796,Config!$D:$D,0)),0))</f>
        <v/>
      </c>
      <c r="H796" s="16"/>
      <c r="I796" s="36" t="str">
        <f t="shared" si="1"/>
        <v/>
      </c>
      <c r="J796" s="16"/>
      <c r="K796" s="15"/>
      <c r="L796" s="15"/>
      <c r="M796" s="36" t="str">
        <f t="array" ref="M796">IF($A796="","",IF($L796="Atendido",IFERROR($I796*INDEX(Config!$B:$B,MATCH($C796,Config!$A:$A,0)),0),0))</f>
        <v/>
      </c>
      <c r="N796" s="36" t="str">
        <f t="shared" si="2"/>
        <v/>
      </c>
      <c r="O796" s="36" t="str">
        <f t="shared" si="3"/>
        <v/>
      </c>
      <c r="P796" s="15"/>
      <c r="Q796" s="37" t="str">
        <f t="shared" si="4"/>
        <v/>
      </c>
      <c r="R796" s="37" t="str">
        <f t="shared" si="5"/>
        <v/>
      </c>
      <c r="S796" s="32" t="str">
        <f t="shared" si="6"/>
        <v/>
      </c>
      <c r="T796" s="37" t="str">
        <f t="shared" si="7"/>
        <v/>
      </c>
      <c r="U796" s="37" t="str">
        <f t="array" ref="U796">IF($F796="","",IFERROR(INDEX(Config!$F:$F,MATCH($F796,Config!$D:$D,0)),0))</f>
        <v/>
      </c>
    </row>
    <row r="797" ht="15.0" customHeight="1">
      <c r="A797" s="34"/>
      <c r="B797" s="35"/>
      <c r="C797" s="15"/>
      <c r="D797" s="15"/>
      <c r="E797" s="15"/>
      <c r="F797" s="15"/>
      <c r="G797" s="36" t="str">
        <f t="array" ref="G797">IF($F797="","",IFERROR(INDEX(Config!$E:$E,MATCH($F797,Config!$D:$D,0)),0))</f>
        <v/>
      </c>
      <c r="H797" s="16"/>
      <c r="I797" s="36" t="str">
        <f t="shared" si="1"/>
        <v/>
      </c>
      <c r="J797" s="16"/>
      <c r="K797" s="15"/>
      <c r="L797" s="15"/>
      <c r="M797" s="36" t="str">
        <f t="array" ref="M797">IF($A797="","",IF($L797="Atendido",IFERROR($I797*INDEX(Config!$B:$B,MATCH($C797,Config!$A:$A,0)),0),0))</f>
        <v/>
      </c>
      <c r="N797" s="36" t="str">
        <f t="shared" si="2"/>
        <v/>
      </c>
      <c r="O797" s="36" t="str">
        <f t="shared" si="3"/>
        <v/>
      </c>
      <c r="P797" s="15"/>
      <c r="Q797" s="37" t="str">
        <f t="shared" si="4"/>
        <v/>
      </c>
      <c r="R797" s="37" t="str">
        <f t="shared" si="5"/>
        <v/>
      </c>
      <c r="S797" s="32" t="str">
        <f t="shared" si="6"/>
        <v/>
      </c>
      <c r="T797" s="37" t="str">
        <f t="shared" si="7"/>
        <v/>
      </c>
      <c r="U797" s="37" t="str">
        <f t="array" ref="U797">IF($F797="","",IFERROR(INDEX(Config!$F:$F,MATCH($F797,Config!$D:$D,0)),0))</f>
        <v/>
      </c>
    </row>
    <row r="798" ht="15.0" customHeight="1">
      <c r="A798" s="34"/>
      <c r="B798" s="35"/>
      <c r="C798" s="15"/>
      <c r="D798" s="15"/>
      <c r="E798" s="15"/>
      <c r="F798" s="15"/>
      <c r="G798" s="36" t="str">
        <f t="array" ref="G798">IF($F798="","",IFERROR(INDEX(Config!$E:$E,MATCH($F798,Config!$D:$D,0)),0))</f>
        <v/>
      </c>
      <c r="H798" s="16"/>
      <c r="I798" s="36" t="str">
        <f t="shared" si="1"/>
        <v/>
      </c>
      <c r="J798" s="16"/>
      <c r="K798" s="15"/>
      <c r="L798" s="15"/>
      <c r="M798" s="36" t="str">
        <f t="array" ref="M798">IF($A798="","",IF($L798="Atendido",IFERROR($I798*INDEX(Config!$B:$B,MATCH($C798,Config!$A:$A,0)),0),0))</f>
        <v/>
      </c>
      <c r="N798" s="36" t="str">
        <f t="shared" si="2"/>
        <v/>
      </c>
      <c r="O798" s="36" t="str">
        <f t="shared" si="3"/>
        <v/>
      </c>
      <c r="P798" s="15"/>
      <c r="Q798" s="37" t="str">
        <f t="shared" si="4"/>
        <v/>
      </c>
      <c r="R798" s="37" t="str">
        <f t="shared" si="5"/>
        <v/>
      </c>
      <c r="S798" s="32" t="str">
        <f t="shared" si="6"/>
        <v/>
      </c>
      <c r="T798" s="37" t="str">
        <f t="shared" si="7"/>
        <v/>
      </c>
      <c r="U798" s="37" t="str">
        <f t="array" ref="U798">IF($F798="","",IFERROR(INDEX(Config!$F:$F,MATCH($F798,Config!$D:$D,0)),0))</f>
        <v/>
      </c>
    </row>
    <row r="799" ht="15.0" customHeight="1">
      <c r="A799" s="34"/>
      <c r="B799" s="35"/>
      <c r="C799" s="15"/>
      <c r="D799" s="15"/>
      <c r="E799" s="15"/>
      <c r="F799" s="15"/>
      <c r="G799" s="36" t="str">
        <f t="array" ref="G799">IF($F799="","",IFERROR(INDEX(Config!$E:$E,MATCH($F799,Config!$D:$D,0)),0))</f>
        <v/>
      </c>
      <c r="H799" s="16"/>
      <c r="I799" s="36" t="str">
        <f t="shared" si="1"/>
        <v/>
      </c>
      <c r="J799" s="16"/>
      <c r="K799" s="15"/>
      <c r="L799" s="15"/>
      <c r="M799" s="36" t="str">
        <f t="array" ref="M799">IF($A799="","",IF($L799="Atendido",IFERROR($I799*INDEX(Config!$B:$B,MATCH($C799,Config!$A:$A,0)),0),0))</f>
        <v/>
      </c>
      <c r="N799" s="36" t="str">
        <f t="shared" si="2"/>
        <v/>
      </c>
      <c r="O799" s="36" t="str">
        <f t="shared" si="3"/>
        <v/>
      </c>
      <c r="P799" s="15"/>
      <c r="Q799" s="37" t="str">
        <f t="shared" si="4"/>
        <v/>
      </c>
      <c r="R799" s="37" t="str">
        <f t="shared" si="5"/>
        <v/>
      </c>
      <c r="S799" s="32" t="str">
        <f t="shared" si="6"/>
        <v/>
      </c>
      <c r="T799" s="37" t="str">
        <f t="shared" si="7"/>
        <v/>
      </c>
      <c r="U799" s="37" t="str">
        <f t="array" ref="U799">IF($F799="","",IFERROR(INDEX(Config!$F:$F,MATCH($F799,Config!$D:$D,0)),0))</f>
        <v/>
      </c>
    </row>
    <row r="800" ht="15.0" customHeight="1">
      <c r="A800" s="34"/>
      <c r="B800" s="35"/>
      <c r="C800" s="15"/>
      <c r="D800" s="15"/>
      <c r="E800" s="15"/>
      <c r="F800" s="15"/>
      <c r="G800" s="36" t="str">
        <f t="array" ref="G800">IF($F800="","",IFERROR(INDEX(Config!$E:$E,MATCH($F800,Config!$D:$D,0)),0))</f>
        <v/>
      </c>
      <c r="H800" s="16"/>
      <c r="I800" s="36" t="str">
        <f t="shared" si="1"/>
        <v/>
      </c>
      <c r="J800" s="16"/>
      <c r="K800" s="15"/>
      <c r="L800" s="15"/>
      <c r="M800" s="36" t="str">
        <f t="array" ref="M800">IF($A800="","",IF($L800="Atendido",IFERROR($I800*INDEX(Config!$B:$B,MATCH($C800,Config!$A:$A,0)),0),0))</f>
        <v/>
      </c>
      <c r="N800" s="36" t="str">
        <f t="shared" si="2"/>
        <v/>
      </c>
      <c r="O800" s="36" t="str">
        <f t="shared" si="3"/>
        <v/>
      </c>
      <c r="P800" s="15"/>
      <c r="Q800" s="37" t="str">
        <f t="shared" si="4"/>
        <v/>
      </c>
      <c r="R800" s="37" t="str">
        <f t="shared" si="5"/>
        <v/>
      </c>
      <c r="S800" s="32" t="str">
        <f t="shared" si="6"/>
        <v/>
      </c>
      <c r="T800" s="37" t="str">
        <f t="shared" si="7"/>
        <v/>
      </c>
      <c r="U800" s="37" t="str">
        <f t="array" ref="U800">IF($F800="","",IFERROR(INDEX(Config!$F:$F,MATCH($F800,Config!$D:$D,0)),0))</f>
        <v/>
      </c>
    </row>
    <row r="801" ht="15.0" customHeight="1">
      <c r="A801" s="34"/>
      <c r="B801" s="35"/>
      <c r="C801" s="15"/>
      <c r="D801" s="15"/>
      <c r="E801" s="15"/>
      <c r="F801" s="15"/>
      <c r="G801" s="36" t="str">
        <f t="array" ref="G801">IF($F801="","",IFERROR(INDEX(Config!$E:$E,MATCH($F801,Config!$D:$D,0)),0))</f>
        <v/>
      </c>
      <c r="H801" s="16"/>
      <c r="I801" s="36" t="str">
        <f t="shared" si="1"/>
        <v/>
      </c>
      <c r="J801" s="16"/>
      <c r="K801" s="15"/>
      <c r="L801" s="15"/>
      <c r="M801" s="36" t="str">
        <f t="array" ref="M801">IF($A801="","",IF($L801="Atendido",IFERROR($I801*INDEX(Config!$B:$B,MATCH($C801,Config!$A:$A,0)),0),0))</f>
        <v/>
      </c>
      <c r="N801" s="36" t="str">
        <f t="shared" si="2"/>
        <v/>
      </c>
      <c r="O801" s="36" t="str">
        <f t="shared" si="3"/>
        <v/>
      </c>
      <c r="P801" s="15"/>
      <c r="Q801" s="37" t="str">
        <f t="shared" si="4"/>
        <v/>
      </c>
      <c r="R801" s="37" t="str">
        <f t="shared" si="5"/>
        <v/>
      </c>
      <c r="S801" s="32" t="str">
        <f t="shared" si="6"/>
        <v/>
      </c>
      <c r="T801" s="37" t="str">
        <f t="shared" si="7"/>
        <v/>
      </c>
      <c r="U801" s="37" t="str">
        <f t="array" ref="U801">IF($F801="","",IFERROR(INDEX(Config!$F:$F,MATCH($F801,Config!$D:$D,0)),0))</f>
        <v/>
      </c>
    </row>
    <row r="802" ht="15.0" customHeight="1">
      <c r="A802" s="34"/>
      <c r="B802" s="35"/>
      <c r="C802" s="15"/>
      <c r="D802" s="15"/>
      <c r="E802" s="15"/>
      <c r="F802" s="15"/>
      <c r="G802" s="36" t="str">
        <f t="array" ref="G802">IF($F802="","",IFERROR(INDEX(Config!$E:$E,MATCH($F802,Config!$D:$D,0)),0))</f>
        <v/>
      </c>
      <c r="H802" s="16"/>
      <c r="I802" s="36" t="str">
        <f t="shared" si="1"/>
        <v/>
      </c>
      <c r="J802" s="16"/>
      <c r="K802" s="15"/>
      <c r="L802" s="15"/>
      <c r="M802" s="36" t="str">
        <f t="array" ref="M802">IF($A802="","",IF($L802="Atendido",IFERROR($I802*INDEX(Config!$B:$B,MATCH($C802,Config!$A:$A,0)),0),0))</f>
        <v/>
      </c>
      <c r="N802" s="36" t="str">
        <f t="shared" si="2"/>
        <v/>
      </c>
      <c r="O802" s="36" t="str">
        <f t="shared" si="3"/>
        <v/>
      </c>
      <c r="P802" s="15"/>
      <c r="Q802" s="37" t="str">
        <f t="shared" si="4"/>
        <v/>
      </c>
      <c r="R802" s="37" t="str">
        <f t="shared" si="5"/>
        <v/>
      </c>
      <c r="S802" s="32" t="str">
        <f t="shared" si="6"/>
        <v/>
      </c>
      <c r="T802" s="37" t="str">
        <f t="shared" si="7"/>
        <v/>
      </c>
      <c r="U802" s="37" t="str">
        <f t="array" ref="U802">IF($F802="","",IFERROR(INDEX(Config!$F:$F,MATCH($F802,Config!$D:$D,0)),0))</f>
        <v/>
      </c>
    </row>
    <row r="803" ht="15.0" customHeight="1">
      <c r="A803" s="34"/>
      <c r="B803" s="35"/>
      <c r="C803" s="15"/>
      <c r="D803" s="15"/>
      <c r="E803" s="15"/>
      <c r="F803" s="15"/>
      <c r="G803" s="36" t="str">
        <f t="array" ref="G803">IF($F803="","",IFERROR(INDEX(Config!$E:$E,MATCH($F803,Config!$D:$D,0)),0))</f>
        <v/>
      </c>
      <c r="H803" s="16"/>
      <c r="I803" s="36" t="str">
        <f t="shared" si="1"/>
        <v/>
      </c>
      <c r="J803" s="16"/>
      <c r="K803" s="15"/>
      <c r="L803" s="15"/>
      <c r="M803" s="36" t="str">
        <f t="array" ref="M803">IF($A803="","",IF($L803="Atendido",IFERROR($I803*INDEX(Config!$B:$B,MATCH($C803,Config!$A:$A,0)),0),0))</f>
        <v/>
      </c>
      <c r="N803" s="36" t="str">
        <f t="shared" si="2"/>
        <v/>
      </c>
      <c r="O803" s="36" t="str">
        <f t="shared" si="3"/>
        <v/>
      </c>
      <c r="P803" s="15"/>
      <c r="Q803" s="37" t="str">
        <f t="shared" si="4"/>
        <v/>
      </c>
      <c r="R803" s="37" t="str">
        <f t="shared" si="5"/>
        <v/>
      </c>
      <c r="S803" s="32" t="str">
        <f t="shared" si="6"/>
        <v/>
      </c>
      <c r="T803" s="37" t="str">
        <f t="shared" si="7"/>
        <v/>
      </c>
      <c r="U803" s="37" t="str">
        <f t="array" ref="U803">IF($F803="","",IFERROR(INDEX(Config!$F:$F,MATCH($F803,Config!$D:$D,0)),0))</f>
        <v/>
      </c>
    </row>
    <row r="804" ht="15.0" customHeight="1">
      <c r="A804" s="34"/>
      <c r="B804" s="35"/>
      <c r="C804" s="15"/>
      <c r="D804" s="15"/>
      <c r="E804" s="15"/>
      <c r="F804" s="15"/>
      <c r="G804" s="36" t="str">
        <f t="array" ref="G804">IF($F804="","",IFERROR(INDEX(Config!$E:$E,MATCH($F804,Config!$D:$D,0)),0))</f>
        <v/>
      </c>
      <c r="H804" s="16"/>
      <c r="I804" s="36" t="str">
        <f t="shared" si="1"/>
        <v/>
      </c>
      <c r="J804" s="16"/>
      <c r="K804" s="15"/>
      <c r="L804" s="15"/>
      <c r="M804" s="36" t="str">
        <f t="array" ref="M804">IF($A804="","",IF($L804="Atendido",IFERROR($I804*INDEX(Config!$B:$B,MATCH($C804,Config!$A:$A,0)),0),0))</f>
        <v/>
      </c>
      <c r="N804" s="36" t="str">
        <f t="shared" si="2"/>
        <v/>
      </c>
      <c r="O804" s="36" t="str">
        <f t="shared" si="3"/>
        <v/>
      </c>
      <c r="P804" s="15"/>
      <c r="Q804" s="37" t="str">
        <f t="shared" si="4"/>
        <v/>
      </c>
      <c r="R804" s="37" t="str">
        <f t="shared" si="5"/>
        <v/>
      </c>
      <c r="S804" s="32" t="str">
        <f t="shared" si="6"/>
        <v/>
      </c>
      <c r="T804" s="37" t="str">
        <f t="shared" si="7"/>
        <v/>
      </c>
      <c r="U804" s="37" t="str">
        <f t="array" ref="U804">IF($F804="","",IFERROR(INDEX(Config!$F:$F,MATCH($F804,Config!$D:$D,0)),0))</f>
        <v/>
      </c>
    </row>
    <row r="805" ht="15.0" customHeight="1">
      <c r="A805" s="34"/>
      <c r="B805" s="35"/>
      <c r="C805" s="15"/>
      <c r="D805" s="15"/>
      <c r="E805" s="15"/>
      <c r="F805" s="15"/>
      <c r="G805" s="36" t="str">
        <f t="array" ref="G805">IF($F805="","",IFERROR(INDEX(Config!$E:$E,MATCH($F805,Config!$D:$D,0)),0))</f>
        <v/>
      </c>
      <c r="H805" s="16"/>
      <c r="I805" s="36" t="str">
        <f t="shared" si="1"/>
        <v/>
      </c>
      <c r="J805" s="16"/>
      <c r="K805" s="15"/>
      <c r="L805" s="15"/>
      <c r="M805" s="36" t="str">
        <f t="array" ref="M805">IF($A805="","",IF($L805="Atendido",IFERROR($I805*INDEX(Config!$B:$B,MATCH($C805,Config!$A:$A,0)),0),0))</f>
        <v/>
      </c>
      <c r="N805" s="36" t="str">
        <f t="shared" si="2"/>
        <v/>
      </c>
      <c r="O805" s="36" t="str">
        <f t="shared" si="3"/>
        <v/>
      </c>
      <c r="P805" s="15"/>
      <c r="Q805" s="37" t="str">
        <f t="shared" si="4"/>
        <v/>
      </c>
      <c r="R805" s="37" t="str">
        <f t="shared" si="5"/>
        <v/>
      </c>
      <c r="S805" s="32" t="str">
        <f t="shared" si="6"/>
        <v/>
      </c>
      <c r="T805" s="37" t="str">
        <f t="shared" si="7"/>
        <v/>
      </c>
      <c r="U805" s="37" t="str">
        <f t="array" ref="U805">IF($F805="","",IFERROR(INDEX(Config!$F:$F,MATCH($F805,Config!$D:$D,0)),0))</f>
        <v/>
      </c>
    </row>
    <row r="806" ht="15.0" customHeight="1">
      <c r="A806" s="34"/>
      <c r="B806" s="35"/>
      <c r="C806" s="15"/>
      <c r="D806" s="15"/>
      <c r="E806" s="15"/>
      <c r="F806" s="15"/>
      <c r="G806" s="36" t="str">
        <f t="array" ref="G806">IF($F806="","",IFERROR(INDEX(Config!$E:$E,MATCH($F806,Config!$D:$D,0)),0))</f>
        <v/>
      </c>
      <c r="H806" s="16"/>
      <c r="I806" s="36" t="str">
        <f t="shared" si="1"/>
        <v/>
      </c>
      <c r="J806" s="16"/>
      <c r="K806" s="15"/>
      <c r="L806" s="15"/>
      <c r="M806" s="36" t="str">
        <f t="array" ref="M806">IF($A806="","",IF($L806="Atendido",IFERROR($I806*INDEX(Config!$B:$B,MATCH($C806,Config!$A:$A,0)),0),0))</f>
        <v/>
      </c>
      <c r="N806" s="36" t="str">
        <f t="shared" si="2"/>
        <v/>
      </c>
      <c r="O806" s="36" t="str">
        <f t="shared" si="3"/>
        <v/>
      </c>
      <c r="P806" s="15"/>
      <c r="Q806" s="37" t="str">
        <f t="shared" si="4"/>
        <v/>
      </c>
      <c r="R806" s="37" t="str">
        <f t="shared" si="5"/>
        <v/>
      </c>
      <c r="S806" s="32" t="str">
        <f t="shared" si="6"/>
        <v/>
      </c>
      <c r="T806" s="37" t="str">
        <f t="shared" si="7"/>
        <v/>
      </c>
      <c r="U806" s="37" t="str">
        <f t="array" ref="U806">IF($F806="","",IFERROR(INDEX(Config!$F:$F,MATCH($F806,Config!$D:$D,0)),0))</f>
        <v/>
      </c>
    </row>
    <row r="807" ht="15.0" customHeight="1">
      <c r="A807" s="34"/>
      <c r="B807" s="35"/>
      <c r="C807" s="15"/>
      <c r="D807" s="15"/>
      <c r="E807" s="15"/>
      <c r="F807" s="15"/>
      <c r="G807" s="36" t="str">
        <f t="array" ref="G807">IF($F807="","",IFERROR(INDEX(Config!$E:$E,MATCH($F807,Config!$D:$D,0)),0))</f>
        <v/>
      </c>
      <c r="H807" s="16"/>
      <c r="I807" s="36" t="str">
        <f t="shared" si="1"/>
        <v/>
      </c>
      <c r="J807" s="16"/>
      <c r="K807" s="15"/>
      <c r="L807" s="15"/>
      <c r="M807" s="36" t="str">
        <f t="array" ref="M807">IF($A807="","",IF($L807="Atendido",IFERROR($I807*INDEX(Config!$B:$B,MATCH($C807,Config!$A:$A,0)),0),0))</f>
        <v/>
      </c>
      <c r="N807" s="36" t="str">
        <f t="shared" si="2"/>
        <v/>
      </c>
      <c r="O807" s="36" t="str">
        <f t="shared" si="3"/>
        <v/>
      </c>
      <c r="P807" s="15"/>
      <c r="Q807" s="37" t="str">
        <f t="shared" si="4"/>
        <v/>
      </c>
      <c r="R807" s="37" t="str">
        <f t="shared" si="5"/>
        <v/>
      </c>
      <c r="S807" s="32" t="str">
        <f t="shared" si="6"/>
        <v/>
      </c>
      <c r="T807" s="37" t="str">
        <f t="shared" si="7"/>
        <v/>
      </c>
      <c r="U807" s="37" t="str">
        <f t="array" ref="U807">IF($F807="","",IFERROR(INDEX(Config!$F:$F,MATCH($F807,Config!$D:$D,0)),0))</f>
        <v/>
      </c>
    </row>
    <row r="808" ht="15.0" customHeight="1">
      <c r="A808" s="34"/>
      <c r="B808" s="35"/>
      <c r="C808" s="15"/>
      <c r="D808" s="15"/>
      <c r="E808" s="15"/>
      <c r="F808" s="15"/>
      <c r="G808" s="36" t="str">
        <f t="array" ref="G808">IF($F808="","",IFERROR(INDEX(Config!$E:$E,MATCH($F808,Config!$D:$D,0)),0))</f>
        <v/>
      </c>
      <c r="H808" s="16"/>
      <c r="I808" s="36" t="str">
        <f t="shared" si="1"/>
        <v/>
      </c>
      <c r="J808" s="16"/>
      <c r="K808" s="15"/>
      <c r="L808" s="15"/>
      <c r="M808" s="36" t="str">
        <f t="array" ref="M808">IF($A808="","",IF($L808="Atendido",IFERROR($I808*INDEX(Config!$B:$B,MATCH($C808,Config!$A:$A,0)),0),0))</f>
        <v/>
      </c>
      <c r="N808" s="36" t="str">
        <f t="shared" si="2"/>
        <v/>
      </c>
      <c r="O808" s="36" t="str">
        <f t="shared" si="3"/>
        <v/>
      </c>
      <c r="P808" s="15"/>
      <c r="Q808" s="37" t="str">
        <f t="shared" si="4"/>
        <v/>
      </c>
      <c r="R808" s="37" t="str">
        <f t="shared" si="5"/>
        <v/>
      </c>
      <c r="S808" s="32" t="str">
        <f t="shared" si="6"/>
        <v/>
      </c>
      <c r="T808" s="37" t="str">
        <f t="shared" si="7"/>
        <v/>
      </c>
      <c r="U808" s="37" t="str">
        <f t="array" ref="U808">IF($F808="","",IFERROR(INDEX(Config!$F:$F,MATCH($F808,Config!$D:$D,0)),0))</f>
        <v/>
      </c>
    </row>
    <row r="809" ht="15.0" customHeight="1">
      <c r="A809" s="34"/>
      <c r="B809" s="35"/>
      <c r="C809" s="15"/>
      <c r="D809" s="15"/>
      <c r="E809" s="15"/>
      <c r="F809" s="15"/>
      <c r="G809" s="36" t="str">
        <f t="array" ref="G809">IF($F809="","",IFERROR(INDEX(Config!$E:$E,MATCH($F809,Config!$D:$D,0)),0))</f>
        <v/>
      </c>
      <c r="H809" s="16"/>
      <c r="I809" s="36" t="str">
        <f t="shared" si="1"/>
        <v/>
      </c>
      <c r="J809" s="16"/>
      <c r="K809" s="15"/>
      <c r="L809" s="15"/>
      <c r="M809" s="36" t="str">
        <f t="array" ref="M809">IF($A809="","",IF($L809="Atendido",IFERROR($I809*INDEX(Config!$B:$B,MATCH($C809,Config!$A:$A,0)),0),0))</f>
        <v/>
      </c>
      <c r="N809" s="36" t="str">
        <f t="shared" si="2"/>
        <v/>
      </c>
      <c r="O809" s="36" t="str">
        <f t="shared" si="3"/>
        <v/>
      </c>
      <c r="P809" s="15"/>
      <c r="Q809" s="37" t="str">
        <f t="shared" si="4"/>
        <v/>
      </c>
      <c r="R809" s="37" t="str">
        <f t="shared" si="5"/>
        <v/>
      </c>
      <c r="S809" s="32" t="str">
        <f t="shared" si="6"/>
        <v/>
      </c>
      <c r="T809" s="37" t="str">
        <f t="shared" si="7"/>
        <v/>
      </c>
      <c r="U809" s="37" t="str">
        <f t="array" ref="U809">IF($F809="","",IFERROR(INDEX(Config!$F:$F,MATCH($F809,Config!$D:$D,0)),0))</f>
        <v/>
      </c>
    </row>
    <row r="810" ht="15.0" customHeight="1">
      <c r="A810" s="34"/>
      <c r="B810" s="35"/>
      <c r="C810" s="15"/>
      <c r="D810" s="15"/>
      <c r="E810" s="15"/>
      <c r="F810" s="15"/>
      <c r="G810" s="36" t="str">
        <f t="array" ref="G810">IF($F810="","",IFERROR(INDEX(Config!$E:$E,MATCH($F810,Config!$D:$D,0)),0))</f>
        <v/>
      </c>
      <c r="H810" s="16"/>
      <c r="I810" s="36" t="str">
        <f t="shared" si="1"/>
        <v/>
      </c>
      <c r="J810" s="16"/>
      <c r="K810" s="15"/>
      <c r="L810" s="15"/>
      <c r="M810" s="36" t="str">
        <f t="array" ref="M810">IF($A810="","",IF($L810="Atendido",IFERROR($I810*INDEX(Config!$B:$B,MATCH($C810,Config!$A:$A,0)),0),0))</f>
        <v/>
      </c>
      <c r="N810" s="36" t="str">
        <f t="shared" si="2"/>
        <v/>
      </c>
      <c r="O810" s="36" t="str">
        <f t="shared" si="3"/>
        <v/>
      </c>
      <c r="P810" s="15"/>
      <c r="Q810" s="37" t="str">
        <f t="shared" si="4"/>
        <v/>
      </c>
      <c r="R810" s="37" t="str">
        <f t="shared" si="5"/>
        <v/>
      </c>
      <c r="S810" s="32" t="str">
        <f t="shared" si="6"/>
        <v/>
      </c>
      <c r="T810" s="37" t="str">
        <f t="shared" si="7"/>
        <v/>
      </c>
      <c r="U810" s="37" t="str">
        <f t="array" ref="U810">IF($F810="","",IFERROR(INDEX(Config!$F:$F,MATCH($F810,Config!$D:$D,0)),0))</f>
        <v/>
      </c>
    </row>
    <row r="811" ht="15.0" customHeight="1">
      <c r="A811" s="34"/>
      <c r="B811" s="35"/>
      <c r="C811" s="15"/>
      <c r="D811" s="15"/>
      <c r="E811" s="15"/>
      <c r="F811" s="15"/>
      <c r="G811" s="36" t="str">
        <f t="array" ref="G811">IF($F811="","",IFERROR(INDEX(Config!$E:$E,MATCH($F811,Config!$D:$D,0)),0))</f>
        <v/>
      </c>
      <c r="H811" s="16"/>
      <c r="I811" s="36" t="str">
        <f t="shared" si="1"/>
        <v/>
      </c>
      <c r="J811" s="16"/>
      <c r="K811" s="15"/>
      <c r="L811" s="15"/>
      <c r="M811" s="36" t="str">
        <f t="array" ref="M811">IF($A811="","",IF($L811="Atendido",IFERROR($I811*INDEX(Config!$B:$B,MATCH($C811,Config!$A:$A,0)),0),0))</f>
        <v/>
      </c>
      <c r="N811" s="36" t="str">
        <f t="shared" si="2"/>
        <v/>
      </c>
      <c r="O811" s="36" t="str">
        <f t="shared" si="3"/>
        <v/>
      </c>
      <c r="P811" s="15"/>
      <c r="Q811" s="37" t="str">
        <f t="shared" si="4"/>
        <v/>
      </c>
      <c r="R811" s="37" t="str">
        <f t="shared" si="5"/>
        <v/>
      </c>
      <c r="S811" s="32" t="str">
        <f t="shared" si="6"/>
        <v/>
      </c>
      <c r="T811" s="37" t="str">
        <f t="shared" si="7"/>
        <v/>
      </c>
      <c r="U811" s="37" t="str">
        <f t="array" ref="U811">IF($F811="","",IFERROR(INDEX(Config!$F:$F,MATCH($F811,Config!$D:$D,0)),0))</f>
        <v/>
      </c>
    </row>
    <row r="812" ht="15.0" customHeight="1">
      <c r="A812" s="34"/>
      <c r="B812" s="35"/>
      <c r="C812" s="15"/>
      <c r="D812" s="15"/>
      <c r="E812" s="15"/>
      <c r="F812" s="15"/>
      <c r="G812" s="36" t="str">
        <f t="array" ref="G812">IF($F812="","",IFERROR(INDEX(Config!$E:$E,MATCH($F812,Config!$D:$D,0)),0))</f>
        <v/>
      </c>
      <c r="H812" s="16"/>
      <c r="I812" s="36" t="str">
        <f t="shared" si="1"/>
        <v/>
      </c>
      <c r="J812" s="16"/>
      <c r="K812" s="15"/>
      <c r="L812" s="15"/>
      <c r="M812" s="36" t="str">
        <f t="array" ref="M812">IF($A812="","",IF($L812="Atendido",IFERROR($I812*INDEX(Config!$B:$B,MATCH($C812,Config!$A:$A,0)),0),0))</f>
        <v/>
      </c>
      <c r="N812" s="36" t="str">
        <f t="shared" si="2"/>
        <v/>
      </c>
      <c r="O812" s="36" t="str">
        <f t="shared" si="3"/>
        <v/>
      </c>
      <c r="P812" s="15"/>
      <c r="Q812" s="37" t="str">
        <f t="shared" si="4"/>
        <v/>
      </c>
      <c r="R812" s="37" t="str">
        <f t="shared" si="5"/>
        <v/>
      </c>
      <c r="S812" s="32" t="str">
        <f t="shared" si="6"/>
        <v/>
      </c>
      <c r="T812" s="37" t="str">
        <f t="shared" si="7"/>
        <v/>
      </c>
      <c r="U812" s="37" t="str">
        <f t="array" ref="U812">IF($F812="","",IFERROR(INDEX(Config!$F:$F,MATCH($F812,Config!$D:$D,0)),0))</f>
        <v/>
      </c>
    </row>
    <row r="813" ht="15.0" customHeight="1">
      <c r="A813" s="34"/>
      <c r="B813" s="35"/>
      <c r="C813" s="15"/>
      <c r="D813" s="15"/>
      <c r="E813" s="15"/>
      <c r="F813" s="15"/>
      <c r="G813" s="36" t="str">
        <f t="array" ref="G813">IF($F813="","",IFERROR(INDEX(Config!$E:$E,MATCH($F813,Config!$D:$D,0)),0))</f>
        <v/>
      </c>
      <c r="H813" s="16"/>
      <c r="I813" s="36" t="str">
        <f t="shared" si="1"/>
        <v/>
      </c>
      <c r="J813" s="16"/>
      <c r="K813" s="15"/>
      <c r="L813" s="15"/>
      <c r="M813" s="36" t="str">
        <f t="array" ref="M813">IF($A813="","",IF($L813="Atendido",IFERROR($I813*INDEX(Config!$B:$B,MATCH($C813,Config!$A:$A,0)),0),0))</f>
        <v/>
      </c>
      <c r="N813" s="36" t="str">
        <f t="shared" si="2"/>
        <v/>
      </c>
      <c r="O813" s="36" t="str">
        <f t="shared" si="3"/>
        <v/>
      </c>
      <c r="P813" s="15"/>
      <c r="Q813" s="37" t="str">
        <f t="shared" si="4"/>
        <v/>
      </c>
      <c r="R813" s="37" t="str">
        <f t="shared" si="5"/>
        <v/>
      </c>
      <c r="S813" s="32" t="str">
        <f t="shared" si="6"/>
        <v/>
      </c>
      <c r="T813" s="37" t="str">
        <f t="shared" si="7"/>
        <v/>
      </c>
      <c r="U813" s="37" t="str">
        <f t="array" ref="U813">IF($F813="","",IFERROR(INDEX(Config!$F:$F,MATCH($F813,Config!$D:$D,0)),0))</f>
        <v/>
      </c>
    </row>
    <row r="814" ht="15.0" customHeight="1">
      <c r="A814" s="34"/>
      <c r="B814" s="35"/>
      <c r="C814" s="15"/>
      <c r="D814" s="15"/>
      <c r="E814" s="15"/>
      <c r="F814" s="15"/>
      <c r="G814" s="36" t="str">
        <f t="array" ref="G814">IF($F814="","",IFERROR(INDEX(Config!$E:$E,MATCH($F814,Config!$D:$D,0)),0))</f>
        <v/>
      </c>
      <c r="H814" s="16"/>
      <c r="I814" s="36" t="str">
        <f t="shared" si="1"/>
        <v/>
      </c>
      <c r="J814" s="16"/>
      <c r="K814" s="15"/>
      <c r="L814" s="15"/>
      <c r="M814" s="36" t="str">
        <f t="array" ref="M814">IF($A814="","",IF($L814="Atendido",IFERROR($I814*INDEX(Config!$B:$B,MATCH($C814,Config!$A:$A,0)),0),0))</f>
        <v/>
      </c>
      <c r="N814" s="36" t="str">
        <f t="shared" si="2"/>
        <v/>
      </c>
      <c r="O814" s="36" t="str">
        <f t="shared" si="3"/>
        <v/>
      </c>
      <c r="P814" s="15"/>
      <c r="Q814" s="37" t="str">
        <f t="shared" si="4"/>
        <v/>
      </c>
      <c r="R814" s="37" t="str">
        <f t="shared" si="5"/>
        <v/>
      </c>
      <c r="S814" s="32" t="str">
        <f t="shared" si="6"/>
        <v/>
      </c>
      <c r="T814" s="37" t="str">
        <f t="shared" si="7"/>
        <v/>
      </c>
      <c r="U814" s="37" t="str">
        <f t="array" ref="U814">IF($F814="","",IFERROR(INDEX(Config!$F:$F,MATCH($F814,Config!$D:$D,0)),0))</f>
        <v/>
      </c>
    </row>
    <row r="815" ht="15.0" customHeight="1">
      <c r="A815" s="34"/>
      <c r="B815" s="35"/>
      <c r="C815" s="15"/>
      <c r="D815" s="15"/>
      <c r="E815" s="15"/>
      <c r="F815" s="15"/>
      <c r="G815" s="36" t="str">
        <f t="array" ref="G815">IF($F815="","",IFERROR(INDEX(Config!$E:$E,MATCH($F815,Config!$D:$D,0)),0))</f>
        <v/>
      </c>
      <c r="H815" s="16"/>
      <c r="I815" s="36" t="str">
        <f t="shared" si="1"/>
        <v/>
      </c>
      <c r="J815" s="16"/>
      <c r="K815" s="15"/>
      <c r="L815" s="15"/>
      <c r="M815" s="36" t="str">
        <f t="array" ref="M815">IF($A815="","",IF($L815="Atendido",IFERROR($I815*INDEX(Config!$B:$B,MATCH($C815,Config!$A:$A,0)),0),0))</f>
        <v/>
      </c>
      <c r="N815" s="36" t="str">
        <f t="shared" si="2"/>
        <v/>
      </c>
      <c r="O815" s="36" t="str">
        <f t="shared" si="3"/>
        <v/>
      </c>
      <c r="P815" s="15"/>
      <c r="Q815" s="37" t="str">
        <f t="shared" si="4"/>
        <v/>
      </c>
      <c r="R815" s="37" t="str">
        <f t="shared" si="5"/>
        <v/>
      </c>
      <c r="S815" s="32" t="str">
        <f t="shared" si="6"/>
        <v/>
      </c>
      <c r="T815" s="37" t="str">
        <f t="shared" si="7"/>
        <v/>
      </c>
      <c r="U815" s="37" t="str">
        <f t="array" ref="U815">IF($F815="","",IFERROR(INDEX(Config!$F:$F,MATCH($F815,Config!$D:$D,0)),0))</f>
        <v/>
      </c>
    </row>
    <row r="816" ht="15.0" customHeight="1">
      <c r="A816" s="34"/>
      <c r="B816" s="35"/>
      <c r="C816" s="15"/>
      <c r="D816" s="15"/>
      <c r="E816" s="15"/>
      <c r="F816" s="15"/>
      <c r="G816" s="36" t="str">
        <f t="array" ref="G816">IF($F816="","",IFERROR(INDEX(Config!$E:$E,MATCH($F816,Config!$D:$D,0)),0))</f>
        <v/>
      </c>
      <c r="H816" s="16"/>
      <c r="I816" s="36" t="str">
        <f t="shared" si="1"/>
        <v/>
      </c>
      <c r="J816" s="16"/>
      <c r="K816" s="15"/>
      <c r="L816" s="15"/>
      <c r="M816" s="36" t="str">
        <f t="array" ref="M816">IF($A816="","",IF($L816="Atendido",IFERROR($I816*INDEX(Config!$B:$B,MATCH($C816,Config!$A:$A,0)),0),0))</f>
        <v/>
      </c>
      <c r="N816" s="36" t="str">
        <f t="shared" si="2"/>
        <v/>
      </c>
      <c r="O816" s="36" t="str">
        <f t="shared" si="3"/>
        <v/>
      </c>
      <c r="P816" s="15"/>
      <c r="Q816" s="37" t="str">
        <f t="shared" si="4"/>
        <v/>
      </c>
      <c r="R816" s="37" t="str">
        <f t="shared" si="5"/>
        <v/>
      </c>
      <c r="S816" s="32" t="str">
        <f t="shared" si="6"/>
        <v/>
      </c>
      <c r="T816" s="37" t="str">
        <f t="shared" si="7"/>
        <v/>
      </c>
      <c r="U816" s="37" t="str">
        <f t="array" ref="U816">IF($F816="","",IFERROR(INDEX(Config!$F:$F,MATCH($F816,Config!$D:$D,0)),0))</f>
        <v/>
      </c>
    </row>
    <row r="817" ht="15.0" customHeight="1">
      <c r="A817" s="34"/>
      <c r="B817" s="35"/>
      <c r="C817" s="15"/>
      <c r="D817" s="15"/>
      <c r="E817" s="15"/>
      <c r="F817" s="15"/>
      <c r="G817" s="36" t="str">
        <f t="array" ref="G817">IF($F817="","",IFERROR(INDEX(Config!$E:$E,MATCH($F817,Config!$D:$D,0)),0))</f>
        <v/>
      </c>
      <c r="H817" s="16"/>
      <c r="I817" s="36" t="str">
        <f t="shared" si="1"/>
        <v/>
      </c>
      <c r="J817" s="16"/>
      <c r="K817" s="15"/>
      <c r="L817" s="15"/>
      <c r="M817" s="36" t="str">
        <f t="array" ref="M817">IF($A817="","",IF($L817="Atendido",IFERROR($I817*INDEX(Config!$B:$B,MATCH($C817,Config!$A:$A,0)),0),0))</f>
        <v/>
      </c>
      <c r="N817" s="36" t="str">
        <f t="shared" si="2"/>
        <v/>
      </c>
      <c r="O817" s="36" t="str">
        <f t="shared" si="3"/>
        <v/>
      </c>
      <c r="P817" s="15"/>
      <c r="Q817" s="37" t="str">
        <f t="shared" si="4"/>
        <v/>
      </c>
      <c r="R817" s="37" t="str">
        <f t="shared" si="5"/>
        <v/>
      </c>
      <c r="S817" s="32" t="str">
        <f t="shared" si="6"/>
        <v/>
      </c>
      <c r="T817" s="37" t="str">
        <f t="shared" si="7"/>
        <v/>
      </c>
      <c r="U817" s="37" t="str">
        <f t="array" ref="U817">IF($F817="","",IFERROR(INDEX(Config!$F:$F,MATCH($F817,Config!$D:$D,0)),0))</f>
        <v/>
      </c>
    </row>
    <row r="818" ht="15.0" customHeight="1">
      <c r="A818" s="34"/>
      <c r="B818" s="35"/>
      <c r="C818" s="15"/>
      <c r="D818" s="15"/>
      <c r="E818" s="15"/>
      <c r="F818" s="15"/>
      <c r="G818" s="36" t="str">
        <f t="array" ref="G818">IF($F818="","",IFERROR(INDEX(Config!$E:$E,MATCH($F818,Config!$D:$D,0)),0))</f>
        <v/>
      </c>
      <c r="H818" s="16"/>
      <c r="I818" s="36" t="str">
        <f t="shared" si="1"/>
        <v/>
      </c>
      <c r="J818" s="16"/>
      <c r="K818" s="15"/>
      <c r="L818" s="15"/>
      <c r="M818" s="36" t="str">
        <f t="array" ref="M818">IF($A818="","",IF($L818="Atendido",IFERROR($I818*INDEX(Config!$B:$B,MATCH($C818,Config!$A:$A,0)),0),0))</f>
        <v/>
      </c>
      <c r="N818" s="36" t="str">
        <f t="shared" si="2"/>
        <v/>
      </c>
      <c r="O818" s="36" t="str">
        <f t="shared" si="3"/>
        <v/>
      </c>
      <c r="P818" s="15"/>
      <c r="Q818" s="37" t="str">
        <f t="shared" si="4"/>
        <v/>
      </c>
      <c r="R818" s="37" t="str">
        <f t="shared" si="5"/>
        <v/>
      </c>
      <c r="S818" s="32" t="str">
        <f t="shared" si="6"/>
        <v/>
      </c>
      <c r="T818" s="37" t="str">
        <f t="shared" si="7"/>
        <v/>
      </c>
      <c r="U818" s="37" t="str">
        <f t="array" ref="U818">IF($F818="","",IFERROR(INDEX(Config!$F:$F,MATCH($F818,Config!$D:$D,0)),0))</f>
        <v/>
      </c>
    </row>
    <row r="819" ht="15.0" customHeight="1">
      <c r="A819" s="34"/>
      <c r="B819" s="35"/>
      <c r="C819" s="15"/>
      <c r="D819" s="15"/>
      <c r="E819" s="15"/>
      <c r="F819" s="15"/>
      <c r="G819" s="36" t="str">
        <f t="array" ref="G819">IF($F819="","",IFERROR(INDEX(Config!$E:$E,MATCH($F819,Config!$D:$D,0)),0))</f>
        <v/>
      </c>
      <c r="H819" s="16"/>
      <c r="I819" s="36" t="str">
        <f t="shared" si="1"/>
        <v/>
      </c>
      <c r="J819" s="16"/>
      <c r="K819" s="15"/>
      <c r="L819" s="15"/>
      <c r="M819" s="36" t="str">
        <f t="array" ref="M819">IF($A819="","",IF($L819="Atendido",IFERROR($I819*INDEX(Config!$B:$B,MATCH($C819,Config!$A:$A,0)),0),0))</f>
        <v/>
      </c>
      <c r="N819" s="36" t="str">
        <f t="shared" si="2"/>
        <v/>
      </c>
      <c r="O819" s="36" t="str">
        <f t="shared" si="3"/>
        <v/>
      </c>
      <c r="P819" s="15"/>
      <c r="Q819" s="37" t="str">
        <f t="shared" si="4"/>
        <v/>
      </c>
      <c r="R819" s="37" t="str">
        <f t="shared" si="5"/>
        <v/>
      </c>
      <c r="S819" s="32" t="str">
        <f t="shared" si="6"/>
        <v/>
      </c>
      <c r="T819" s="37" t="str">
        <f t="shared" si="7"/>
        <v/>
      </c>
      <c r="U819" s="37" t="str">
        <f t="array" ref="U819">IF($F819="","",IFERROR(INDEX(Config!$F:$F,MATCH($F819,Config!$D:$D,0)),0))</f>
        <v/>
      </c>
    </row>
    <row r="820" ht="15.0" customHeight="1">
      <c r="A820" s="34"/>
      <c r="B820" s="35"/>
      <c r="C820" s="15"/>
      <c r="D820" s="15"/>
      <c r="E820" s="15"/>
      <c r="F820" s="15"/>
      <c r="G820" s="36" t="str">
        <f t="array" ref="G820">IF($F820="","",IFERROR(INDEX(Config!$E:$E,MATCH($F820,Config!$D:$D,0)),0))</f>
        <v/>
      </c>
      <c r="H820" s="16"/>
      <c r="I820" s="36" t="str">
        <f t="shared" si="1"/>
        <v/>
      </c>
      <c r="J820" s="16"/>
      <c r="K820" s="15"/>
      <c r="L820" s="15"/>
      <c r="M820" s="36" t="str">
        <f t="array" ref="M820">IF($A820="","",IF($L820="Atendido",IFERROR($I820*INDEX(Config!$B:$B,MATCH($C820,Config!$A:$A,0)),0),0))</f>
        <v/>
      </c>
      <c r="N820" s="36" t="str">
        <f t="shared" si="2"/>
        <v/>
      </c>
      <c r="O820" s="36" t="str">
        <f t="shared" si="3"/>
        <v/>
      </c>
      <c r="P820" s="15"/>
      <c r="Q820" s="37" t="str">
        <f t="shared" si="4"/>
        <v/>
      </c>
      <c r="R820" s="37" t="str">
        <f t="shared" si="5"/>
        <v/>
      </c>
      <c r="S820" s="32" t="str">
        <f t="shared" si="6"/>
        <v/>
      </c>
      <c r="T820" s="37" t="str">
        <f t="shared" si="7"/>
        <v/>
      </c>
      <c r="U820" s="37" t="str">
        <f t="array" ref="U820">IF($F820="","",IFERROR(INDEX(Config!$F:$F,MATCH($F820,Config!$D:$D,0)),0))</f>
        <v/>
      </c>
    </row>
    <row r="821" ht="15.0" customHeight="1">
      <c r="A821" s="34"/>
      <c r="B821" s="35"/>
      <c r="C821" s="15"/>
      <c r="D821" s="15"/>
      <c r="E821" s="15"/>
      <c r="F821" s="15"/>
      <c r="G821" s="36" t="str">
        <f t="array" ref="G821">IF($F821="","",IFERROR(INDEX(Config!$E:$E,MATCH($F821,Config!$D:$D,0)),0))</f>
        <v/>
      </c>
      <c r="H821" s="16"/>
      <c r="I821" s="36" t="str">
        <f t="shared" si="1"/>
        <v/>
      </c>
      <c r="J821" s="16"/>
      <c r="K821" s="15"/>
      <c r="L821" s="15"/>
      <c r="M821" s="36" t="str">
        <f t="array" ref="M821">IF($A821="","",IF($L821="Atendido",IFERROR($I821*INDEX(Config!$B:$B,MATCH($C821,Config!$A:$A,0)),0),0))</f>
        <v/>
      </c>
      <c r="N821" s="36" t="str">
        <f t="shared" si="2"/>
        <v/>
      </c>
      <c r="O821" s="36" t="str">
        <f t="shared" si="3"/>
        <v/>
      </c>
      <c r="P821" s="15"/>
      <c r="Q821" s="37" t="str">
        <f t="shared" si="4"/>
        <v/>
      </c>
      <c r="R821" s="37" t="str">
        <f t="shared" si="5"/>
        <v/>
      </c>
      <c r="S821" s="32" t="str">
        <f t="shared" si="6"/>
        <v/>
      </c>
      <c r="T821" s="37" t="str">
        <f t="shared" si="7"/>
        <v/>
      </c>
      <c r="U821" s="37" t="str">
        <f t="array" ref="U821">IF($F821="","",IFERROR(INDEX(Config!$F:$F,MATCH($F821,Config!$D:$D,0)),0))</f>
        <v/>
      </c>
    </row>
    <row r="822" ht="15.0" customHeight="1">
      <c r="A822" s="34"/>
      <c r="B822" s="35"/>
      <c r="C822" s="15"/>
      <c r="D822" s="15"/>
      <c r="E822" s="15"/>
      <c r="F822" s="15"/>
      <c r="G822" s="36" t="str">
        <f t="array" ref="G822">IF($F822="","",IFERROR(INDEX(Config!$E:$E,MATCH($F822,Config!$D:$D,0)),0))</f>
        <v/>
      </c>
      <c r="H822" s="16"/>
      <c r="I822" s="36" t="str">
        <f t="shared" si="1"/>
        <v/>
      </c>
      <c r="J822" s="16"/>
      <c r="K822" s="15"/>
      <c r="L822" s="15"/>
      <c r="M822" s="36" t="str">
        <f t="array" ref="M822">IF($A822="","",IF($L822="Atendido",IFERROR($I822*INDEX(Config!$B:$B,MATCH($C822,Config!$A:$A,0)),0),0))</f>
        <v/>
      </c>
      <c r="N822" s="36" t="str">
        <f t="shared" si="2"/>
        <v/>
      </c>
      <c r="O822" s="36" t="str">
        <f t="shared" si="3"/>
        <v/>
      </c>
      <c r="P822" s="15"/>
      <c r="Q822" s="37" t="str">
        <f t="shared" si="4"/>
        <v/>
      </c>
      <c r="R822" s="37" t="str">
        <f t="shared" si="5"/>
        <v/>
      </c>
      <c r="S822" s="32" t="str">
        <f t="shared" si="6"/>
        <v/>
      </c>
      <c r="T822" s="37" t="str">
        <f t="shared" si="7"/>
        <v/>
      </c>
      <c r="U822" s="37" t="str">
        <f t="array" ref="U822">IF($F822="","",IFERROR(INDEX(Config!$F:$F,MATCH($F822,Config!$D:$D,0)),0))</f>
        <v/>
      </c>
    </row>
    <row r="823" ht="15.0" customHeight="1">
      <c r="A823" s="34"/>
      <c r="B823" s="35"/>
      <c r="C823" s="15"/>
      <c r="D823" s="15"/>
      <c r="E823" s="15"/>
      <c r="F823" s="15"/>
      <c r="G823" s="36" t="str">
        <f t="array" ref="G823">IF($F823="","",IFERROR(INDEX(Config!$E:$E,MATCH($F823,Config!$D:$D,0)),0))</f>
        <v/>
      </c>
      <c r="H823" s="16"/>
      <c r="I823" s="36" t="str">
        <f t="shared" si="1"/>
        <v/>
      </c>
      <c r="J823" s="16"/>
      <c r="K823" s="15"/>
      <c r="L823" s="15"/>
      <c r="M823" s="36" t="str">
        <f t="array" ref="M823">IF($A823="","",IF($L823="Atendido",IFERROR($I823*INDEX(Config!$B:$B,MATCH($C823,Config!$A:$A,0)),0),0))</f>
        <v/>
      </c>
      <c r="N823" s="36" t="str">
        <f t="shared" si="2"/>
        <v/>
      </c>
      <c r="O823" s="36" t="str">
        <f t="shared" si="3"/>
        <v/>
      </c>
      <c r="P823" s="15"/>
      <c r="Q823" s="37" t="str">
        <f t="shared" si="4"/>
        <v/>
      </c>
      <c r="R823" s="37" t="str">
        <f t="shared" si="5"/>
        <v/>
      </c>
      <c r="S823" s="32" t="str">
        <f t="shared" si="6"/>
        <v/>
      </c>
      <c r="T823" s="37" t="str">
        <f t="shared" si="7"/>
        <v/>
      </c>
      <c r="U823" s="37" t="str">
        <f t="array" ref="U823">IF($F823="","",IFERROR(INDEX(Config!$F:$F,MATCH($F823,Config!$D:$D,0)),0))</f>
        <v/>
      </c>
    </row>
    <row r="824" ht="15.0" customHeight="1">
      <c r="A824" s="34"/>
      <c r="B824" s="35"/>
      <c r="C824" s="15"/>
      <c r="D824" s="15"/>
      <c r="E824" s="15"/>
      <c r="F824" s="15"/>
      <c r="G824" s="36" t="str">
        <f t="array" ref="G824">IF($F824="","",IFERROR(INDEX(Config!$E:$E,MATCH($F824,Config!$D:$D,0)),0))</f>
        <v/>
      </c>
      <c r="H824" s="16"/>
      <c r="I824" s="36" t="str">
        <f t="shared" si="1"/>
        <v/>
      </c>
      <c r="J824" s="16"/>
      <c r="K824" s="15"/>
      <c r="L824" s="15"/>
      <c r="M824" s="36" t="str">
        <f t="array" ref="M824">IF($A824="","",IF($L824="Atendido",IFERROR($I824*INDEX(Config!$B:$B,MATCH($C824,Config!$A:$A,0)),0),0))</f>
        <v/>
      </c>
      <c r="N824" s="36" t="str">
        <f t="shared" si="2"/>
        <v/>
      </c>
      <c r="O824" s="36" t="str">
        <f t="shared" si="3"/>
        <v/>
      </c>
      <c r="P824" s="15"/>
      <c r="Q824" s="37" t="str">
        <f t="shared" si="4"/>
        <v/>
      </c>
      <c r="R824" s="37" t="str">
        <f t="shared" si="5"/>
        <v/>
      </c>
      <c r="S824" s="32" t="str">
        <f t="shared" si="6"/>
        <v/>
      </c>
      <c r="T824" s="37" t="str">
        <f t="shared" si="7"/>
        <v/>
      </c>
      <c r="U824" s="37" t="str">
        <f t="array" ref="U824">IF($F824="","",IFERROR(INDEX(Config!$F:$F,MATCH($F824,Config!$D:$D,0)),0))</f>
        <v/>
      </c>
    </row>
    <row r="825" ht="15.0" customHeight="1">
      <c r="A825" s="34"/>
      <c r="B825" s="35"/>
      <c r="C825" s="15"/>
      <c r="D825" s="15"/>
      <c r="E825" s="15"/>
      <c r="F825" s="15"/>
      <c r="G825" s="36" t="str">
        <f t="array" ref="G825">IF($F825="","",IFERROR(INDEX(Config!$E:$E,MATCH($F825,Config!$D:$D,0)),0))</f>
        <v/>
      </c>
      <c r="H825" s="16"/>
      <c r="I825" s="36" t="str">
        <f t="shared" si="1"/>
        <v/>
      </c>
      <c r="J825" s="16"/>
      <c r="K825" s="15"/>
      <c r="L825" s="15"/>
      <c r="M825" s="36" t="str">
        <f t="array" ref="M825">IF($A825="","",IF($L825="Atendido",IFERROR($I825*INDEX(Config!$B:$B,MATCH($C825,Config!$A:$A,0)),0),0))</f>
        <v/>
      </c>
      <c r="N825" s="36" t="str">
        <f t="shared" si="2"/>
        <v/>
      </c>
      <c r="O825" s="36" t="str">
        <f t="shared" si="3"/>
        <v/>
      </c>
      <c r="P825" s="15"/>
      <c r="Q825" s="37" t="str">
        <f t="shared" si="4"/>
        <v/>
      </c>
      <c r="R825" s="37" t="str">
        <f t="shared" si="5"/>
        <v/>
      </c>
      <c r="S825" s="32" t="str">
        <f t="shared" si="6"/>
        <v/>
      </c>
      <c r="T825" s="37" t="str">
        <f t="shared" si="7"/>
        <v/>
      </c>
      <c r="U825" s="37" t="str">
        <f t="array" ref="U825">IF($F825="","",IFERROR(INDEX(Config!$F:$F,MATCH($F825,Config!$D:$D,0)),0))</f>
        <v/>
      </c>
    </row>
    <row r="826" ht="15.0" customHeight="1">
      <c r="A826" s="34"/>
      <c r="B826" s="35"/>
      <c r="C826" s="15"/>
      <c r="D826" s="15"/>
      <c r="E826" s="15"/>
      <c r="F826" s="15"/>
      <c r="G826" s="36" t="str">
        <f t="array" ref="G826">IF($F826="","",IFERROR(INDEX(Config!$E:$E,MATCH($F826,Config!$D:$D,0)),0))</f>
        <v/>
      </c>
      <c r="H826" s="16"/>
      <c r="I826" s="36" t="str">
        <f t="shared" si="1"/>
        <v/>
      </c>
      <c r="J826" s="16"/>
      <c r="K826" s="15"/>
      <c r="L826" s="15"/>
      <c r="M826" s="36" t="str">
        <f t="array" ref="M826">IF($A826="","",IF($L826="Atendido",IFERROR($I826*INDEX(Config!$B:$B,MATCH($C826,Config!$A:$A,0)),0),0))</f>
        <v/>
      </c>
      <c r="N826" s="36" t="str">
        <f t="shared" si="2"/>
        <v/>
      </c>
      <c r="O826" s="36" t="str">
        <f t="shared" si="3"/>
        <v/>
      </c>
      <c r="P826" s="15"/>
      <c r="Q826" s="37" t="str">
        <f t="shared" si="4"/>
        <v/>
      </c>
      <c r="R826" s="37" t="str">
        <f t="shared" si="5"/>
        <v/>
      </c>
      <c r="S826" s="32" t="str">
        <f t="shared" si="6"/>
        <v/>
      </c>
      <c r="T826" s="37" t="str">
        <f t="shared" si="7"/>
        <v/>
      </c>
      <c r="U826" s="37" t="str">
        <f t="array" ref="U826">IF($F826="","",IFERROR(INDEX(Config!$F:$F,MATCH($F826,Config!$D:$D,0)),0))</f>
        <v/>
      </c>
    </row>
    <row r="827" ht="15.0" customHeight="1">
      <c r="A827" s="34"/>
      <c r="B827" s="35"/>
      <c r="C827" s="15"/>
      <c r="D827" s="15"/>
      <c r="E827" s="15"/>
      <c r="F827" s="15"/>
      <c r="G827" s="36" t="str">
        <f t="array" ref="G827">IF($F827="","",IFERROR(INDEX(Config!$E:$E,MATCH($F827,Config!$D:$D,0)),0))</f>
        <v/>
      </c>
      <c r="H827" s="16"/>
      <c r="I827" s="36" t="str">
        <f t="shared" si="1"/>
        <v/>
      </c>
      <c r="J827" s="16"/>
      <c r="K827" s="15"/>
      <c r="L827" s="15"/>
      <c r="M827" s="36" t="str">
        <f t="array" ref="M827">IF($A827="","",IF($L827="Atendido",IFERROR($I827*INDEX(Config!$B:$B,MATCH($C827,Config!$A:$A,0)),0),0))</f>
        <v/>
      </c>
      <c r="N827" s="36" t="str">
        <f t="shared" si="2"/>
        <v/>
      </c>
      <c r="O827" s="36" t="str">
        <f t="shared" si="3"/>
        <v/>
      </c>
      <c r="P827" s="15"/>
      <c r="Q827" s="37" t="str">
        <f t="shared" si="4"/>
        <v/>
      </c>
      <c r="R827" s="37" t="str">
        <f t="shared" si="5"/>
        <v/>
      </c>
      <c r="S827" s="32" t="str">
        <f t="shared" si="6"/>
        <v/>
      </c>
      <c r="T827" s="37" t="str">
        <f t="shared" si="7"/>
        <v/>
      </c>
      <c r="U827" s="37" t="str">
        <f t="array" ref="U827">IF($F827="","",IFERROR(INDEX(Config!$F:$F,MATCH($F827,Config!$D:$D,0)),0))</f>
        <v/>
      </c>
    </row>
    <row r="828" ht="15.0" customHeight="1">
      <c r="A828" s="34"/>
      <c r="B828" s="35"/>
      <c r="C828" s="15"/>
      <c r="D828" s="15"/>
      <c r="E828" s="15"/>
      <c r="F828" s="15"/>
      <c r="G828" s="36" t="str">
        <f t="array" ref="G828">IF($F828="","",IFERROR(INDEX(Config!$E:$E,MATCH($F828,Config!$D:$D,0)),0))</f>
        <v/>
      </c>
      <c r="H828" s="16"/>
      <c r="I828" s="36" t="str">
        <f t="shared" si="1"/>
        <v/>
      </c>
      <c r="J828" s="16"/>
      <c r="K828" s="15"/>
      <c r="L828" s="15"/>
      <c r="M828" s="36" t="str">
        <f t="array" ref="M828">IF($A828="","",IF($L828="Atendido",IFERROR($I828*INDEX(Config!$B:$B,MATCH($C828,Config!$A:$A,0)),0),0))</f>
        <v/>
      </c>
      <c r="N828" s="36" t="str">
        <f t="shared" si="2"/>
        <v/>
      </c>
      <c r="O828" s="36" t="str">
        <f t="shared" si="3"/>
        <v/>
      </c>
      <c r="P828" s="15"/>
      <c r="Q828" s="37" t="str">
        <f t="shared" si="4"/>
        <v/>
      </c>
      <c r="R828" s="37" t="str">
        <f t="shared" si="5"/>
        <v/>
      </c>
      <c r="S828" s="32" t="str">
        <f t="shared" si="6"/>
        <v/>
      </c>
      <c r="T828" s="37" t="str">
        <f t="shared" si="7"/>
        <v/>
      </c>
      <c r="U828" s="37" t="str">
        <f t="array" ref="U828">IF($F828="","",IFERROR(INDEX(Config!$F:$F,MATCH($F828,Config!$D:$D,0)),0))</f>
        <v/>
      </c>
    </row>
    <row r="829" ht="15.0" customHeight="1">
      <c r="A829" s="34"/>
      <c r="B829" s="35"/>
      <c r="C829" s="15"/>
      <c r="D829" s="15"/>
      <c r="E829" s="15"/>
      <c r="F829" s="15"/>
      <c r="G829" s="36" t="str">
        <f t="array" ref="G829">IF($F829="","",IFERROR(INDEX(Config!$E:$E,MATCH($F829,Config!$D:$D,0)),0))</f>
        <v/>
      </c>
      <c r="H829" s="16"/>
      <c r="I829" s="36" t="str">
        <f t="shared" si="1"/>
        <v/>
      </c>
      <c r="J829" s="16"/>
      <c r="K829" s="15"/>
      <c r="L829" s="15"/>
      <c r="M829" s="36" t="str">
        <f t="array" ref="M829">IF($A829="","",IF($L829="Atendido",IFERROR($I829*INDEX(Config!$B:$B,MATCH($C829,Config!$A:$A,0)),0),0))</f>
        <v/>
      </c>
      <c r="N829" s="36" t="str">
        <f t="shared" si="2"/>
        <v/>
      </c>
      <c r="O829" s="36" t="str">
        <f t="shared" si="3"/>
        <v/>
      </c>
      <c r="P829" s="15"/>
      <c r="Q829" s="37" t="str">
        <f t="shared" si="4"/>
        <v/>
      </c>
      <c r="R829" s="37" t="str">
        <f t="shared" si="5"/>
        <v/>
      </c>
      <c r="S829" s="32" t="str">
        <f t="shared" si="6"/>
        <v/>
      </c>
      <c r="T829" s="37" t="str">
        <f t="shared" si="7"/>
        <v/>
      </c>
      <c r="U829" s="37" t="str">
        <f t="array" ref="U829">IF($F829="","",IFERROR(INDEX(Config!$F:$F,MATCH($F829,Config!$D:$D,0)),0))</f>
        <v/>
      </c>
    </row>
    <row r="830" ht="15.0" customHeight="1">
      <c r="A830" s="34"/>
      <c r="B830" s="35"/>
      <c r="C830" s="15"/>
      <c r="D830" s="15"/>
      <c r="E830" s="15"/>
      <c r="F830" s="15"/>
      <c r="G830" s="36" t="str">
        <f t="array" ref="G830">IF($F830="","",IFERROR(INDEX(Config!$E:$E,MATCH($F830,Config!$D:$D,0)),0))</f>
        <v/>
      </c>
      <c r="H830" s="16"/>
      <c r="I830" s="36" t="str">
        <f t="shared" si="1"/>
        <v/>
      </c>
      <c r="J830" s="16"/>
      <c r="K830" s="15"/>
      <c r="L830" s="15"/>
      <c r="M830" s="36" t="str">
        <f t="array" ref="M830">IF($A830="","",IF($L830="Atendido",IFERROR($I830*INDEX(Config!$B:$B,MATCH($C830,Config!$A:$A,0)),0),0))</f>
        <v/>
      </c>
      <c r="N830" s="36" t="str">
        <f t="shared" si="2"/>
        <v/>
      </c>
      <c r="O830" s="36" t="str">
        <f t="shared" si="3"/>
        <v/>
      </c>
      <c r="P830" s="15"/>
      <c r="Q830" s="37" t="str">
        <f t="shared" si="4"/>
        <v/>
      </c>
      <c r="R830" s="37" t="str">
        <f t="shared" si="5"/>
        <v/>
      </c>
      <c r="S830" s="32" t="str">
        <f t="shared" si="6"/>
        <v/>
      </c>
      <c r="T830" s="37" t="str">
        <f t="shared" si="7"/>
        <v/>
      </c>
      <c r="U830" s="37" t="str">
        <f t="array" ref="U830">IF($F830="","",IFERROR(INDEX(Config!$F:$F,MATCH($F830,Config!$D:$D,0)),0))</f>
        <v/>
      </c>
    </row>
    <row r="831" ht="15.0" customHeight="1">
      <c r="A831" s="34"/>
      <c r="B831" s="35"/>
      <c r="C831" s="15"/>
      <c r="D831" s="15"/>
      <c r="E831" s="15"/>
      <c r="F831" s="15"/>
      <c r="G831" s="36" t="str">
        <f t="array" ref="G831">IF($F831="","",IFERROR(INDEX(Config!$E:$E,MATCH($F831,Config!$D:$D,0)),0))</f>
        <v/>
      </c>
      <c r="H831" s="16"/>
      <c r="I831" s="36" t="str">
        <f t="shared" si="1"/>
        <v/>
      </c>
      <c r="J831" s="16"/>
      <c r="K831" s="15"/>
      <c r="L831" s="15"/>
      <c r="M831" s="36" t="str">
        <f t="array" ref="M831">IF($A831="","",IF($L831="Atendido",IFERROR($I831*INDEX(Config!$B:$B,MATCH($C831,Config!$A:$A,0)),0),0))</f>
        <v/>
      </c>
      <c r="N831" s="36" t="str">
        <f t="shared" si="2"/>
        <v/>
      </c>
      <c r="O831" s="36" t="str">
        <f t="shared" si="3"/>
        <v/>
      </c>
      <c r="P831" s="15"/>
      <c r="Q831" s="37" t="str">
        <f t="shared" si="4"/>
        <v/>
      </c>
      <c r="R831" s="37" t="str">
        <f t="shared" si="5"/>
        <v/>
      </c>
      <c r="S831" s="32" t="str">
        <f t="shared" si="6"/>
        <v/>
      </c>
      <c r="T831" s="37" t="str">
        <f t="shared" si="7"/>
        <v/>
      </c>
      <c r="U831" s="37" t="str">
        <f t="array" ref="U831">IF($F831="","",IFERROR(INDEX(Config!$F:$F,MATCH($F831,Config!$D:$D,0)),0))</f>
        <v/>
      </c>
    </row>
    <row r="832" ht="15.0" customHeight="1">
      <c r="A832" s="34"/>
      <c r="B832" s="35"/>
      <c r="C832" s="15"/>
      <c r="D832" s="15"/>
      <c r="E832" s="15"/>
      <c r="F832" s="15"/>
      <c r="G832" s="36" t="str">
        <f t="array" ref="G832">IF($F832="","",IFERROR(INDEX(Config!$E:$E,MATCH($F832,Config!$D:$D,0)),0))</f>
        <v/>
      </c>
      <c r="H832" s="16"/>
      <c r="I832" s="36" t="str">
        <f t="shared" si="1"/>
        <v/>
      </c>
      <c r="J832" s="16"/>
      <c r="K832" s="15"/>
      <c r="L832" s="15"/>
      <c r="M832" s="36" t="str">
        <f t="array" ref="M832">IF($A832="","",IF($L832="Atendido",IFERROR($I832*INDEX(Config!$B:$B,MATCH($C832,Config!$A:$A,0)),0),0))</f>
        <v/>
      </c>
      <c r="N832" s="36" t="str">
        <f t="shared" si="2"/>
        <v/>
      </c>
      <c r="O832" s="36" t="str">
        <f t="shared" si="3"/>
        <v/>
      </c>
      <c r="P832" s="15"/>
      <c r="Q832" s="37" t="str">
        <f t="shared" si="4"/>
        <v/>
      </c>
      <c r="R832" s="37" t="str">
        <f t="shared" si="5"/>
        <v/>
      </c>
      <c r="S832" s="32" t="str">
        <f t="shared" si="6"/>
        <v/>
      </c>
      <c r="T832" s="37" t="str">
        <f t="shared" si="7"/>
        <v/>
      </c>
      <c r="U832" s="37" t="str">
        <f t="array" ref="U832">IF($F832="","",IFERROR(INDEX(Config!$F:$F,MATCH($F832,Config!$D:$D,0)),0))</f>
        <v/>
      </c>
    </row>
    <row r="833" ht="15.0" customHeight="1">
      <c r="A833" s="34"/>
      <c r="B833" s="35"/>
      <c r="C833" s="15"/>
      <c r="D833" s="15"/>
      <c r="E833" s="15"/>
      <c r="F833" s="15"/>
      <c r="G833" s="36" t="str">
        <f t="array" ref="G833">IF($F833="","",IFERROR(INDEX(Config!$E:$E,MATCH($F833,Config!$D:$D,0)),0))</f>
        <v/>
      </c>
      <c r="H833" s="16"/>
      <c r="I833" s="36" t="str">
        <f t="shared" si="1"/>
        <v/>
      </c>
      <c r="J833" s="16"/>
      <c r="K833" s="15"/>
      <c r="L833" s="15"/>
      <c r="M833" s="36" t="str">
        <f t="array" ref="M833">IF($A833="","",IF($L833="Atendido",IFERROR($I833*INDEX(Config!$B:$B,MATCH($C833,Config!$A:$A,0)),0),0))</f>
        <v/>
      </c>
      <c r="N833" s="36" t="str">
        <f t="shared" si="2"/>
        <v/>
      </c>
      <c r="O833" s="36" t="str">
        <f t="shared" si="3"/>
        <v/>
      </c>
      <c r="P833" s="15"/>
      <c r="Q833" s="37" t="str">
        <f t="shared" si="4"/>
        <v/>
      </c>
      <c r="R833" s="37" t="str">
        <f t="shared" si="5"/>
        <v/>
      </c>
      <c r="S833" s="32" t="str">
        <f t="shared" si="6"/>
        <v/>
      </c>
      <c r="T833" s="37" t="str">
        <f t="shared" si="7"/>
        <v/>
      </c>
      <c r="U833" s="37" t="str">
        <f t="array" ref="U833">IF($F833="","",IFERROR(INDEX(Config!$F:$F,MATCH($F833,Config!$D:$D,0)),0))</f>
        <v/>
      </c>
    </row>
    <row r="834" ht="15.0" customHeight="1">
      <c r="A834" s="34"/>
      <c r="B834" s="35"/>
      <c r="C834" s="15"/>
      <c r="D834" s="15"/>
      <c r="E834" s="15"/>
      <c r="F834" s="15"/>
      <c r="G834" s="36" t="str">
        <f t="array" ref="G834">IF($F834="","",IFERROR(INDEX(Config!$E:$E,MATCH($F834,Config!$D:$D,0)),0))</f>
        <v/>
      </c>
      <c r="H834" s="16"/>
      <c r="I834" s="36" t="str">
        <f t="shared" si="1"/>
        <v/>
      </c>
      <c r="J834" s="16"/>
      <c r="K834" s="15"/>
      <c r="L834" s="15"/>
      <c r="M834" s="36" t="str">
        <f t="array" ref="M834">IF($A834="","",IF($L834="Atendido",IFERROR($I834*INDEX(Config!$B:$B,MATCH($C834,Config!$A:$A,0)),0),0))</f>
        <v/>
      </c>
      <c r="N834" s="36" t="str">
        <f t="shared" si="2"/>
        <v/>
      </c>
      <c r="O834" s="36" t="str">
        <f t="shared" si="3"/>
        <v/>
      </c>
      <c r="P834" s="15"/>
      <c r="Q834" s="37" t="str">
        <f t="shared" si="4"/>
        <v/>
      </c>
      <c r="R834" s="37" t="str">
        <f t="shared" si="5"/>
        <v/>
      </c>
      <c r="S834" s="32" t="str">
        <f t="shared" si="6"/>
        <v/>
      </c>
      <c r="T834" s="37" t="str">
        <f t="shared" si="7"/>
        <v/>
      </c>
      <c r="U834" s="37" t="str">
        <f t="array" ref="U834">IF($F834="","",IFERROR(INDEX(Config!$F:$F,MATCH($F834,Config!$D:$D,0)),0))</f>
        <v/>
      </c>
    </row>
    <row r="835" ht="15.0" customHeight="1">
      <c r="A835" s="34"/>
      <c r="B835" s="35"/>
      <c r="C835" s="15"/>
      <c r="D835" s="15"/>
      <c r="E835" s="15"/>
      <c r="F835" s="15"/>
      <c r="G835" s="36" t="str">
        <f t="array" ref="G835">IF($F835="","",IFERROR(INDEX(Config!$E:$E,MATCH($F835,Config!$D:$D,0)),0))</f>
        <v/>
      </c>
      <c r="H835" s="16"/>
      <c r="I835" s="36" t="str">
        <f t="shared" si="1"/>
        <v/>
      </c>
      <c r="J835" s="16"/>
      <c r="K835" s="15"/>
      <c r="L835" s="15"/>
      <c r="M835" s="36" t="str">
        <f t="array" ref="M835">IF($A835="","",IF($L835="Atendido",IFERROR($I835*INDEX(Config!$B:$B,MATCH($C835,Config!$A:$A,0)),0),0))</f>
        <v/>
      </c>
      <c r="N835" s="36" t="str">
        <f t="shared" si="2"/>
        <v/>
      </c>
      <c r="O835" s="36" t="str">
        <f t="shared" si="3"/>
        <v/>
      </c>
      <c r="P835" s="15"/>
      <c r="Q835" s="37" t="str">
        <f t="shared" si="4"/>
        <v/>
      </c>
      <c r="R835" s="37" t="str">
        <f t="shared" si="5"/>
        <v/>
      </c>
      <c r="S835" s="32" t="str">
        <f t="shared" si="6"/>
        <v/>
      </c>
      <c r="T835" s="37" t="str">
        <f t="shared" si="7"/>
        <v/>
      </c>
      <c r="U835" s="37" t="str">
        <f t="array" ref="U835">IF($F835="","",IFERROR(INDEX(Config!$F:$F,MATCH($F835,Config!$D:$D,0)),0))</f>
        <v/>
      </c>
    </row>
    <row r="836" ht="15.0" customHeight="1">
      <c r="A836" s="34"/>
      <c r="B836" s="35"/>
      <c r="C836" s="15"/>
      <c r="D836" s="15"/>
      <c r="E836" s="15"/>
      <c r="F836" s="15"/>
      <c r="G836" s="36" t="str">
        <f t="array" ref="G836">IF($F836="","",IFERROR(INDEX(Config!$E:$E,MATCH($F836,Config!$D:$D,0)),0))</f>
        <v/>
      </c>
      <c r="H836" s="16"/>
      <c r="I836" s="36" t="str">
        <f t="shared" si="1"/>
        <v/>
      </c>
      <c r="J836" s="16"/>
      <c r="K836" s="15"/>
      <c r="L836" s="15"/>
      <c r="M836" s="36" t="str">
        <f t="array" ref="M836">IF($A836="","",IF($L836="Atendido",IFERROR($I836*INDEX(Config!$B:$B,MATCH($C836,Config!$A:$A,0)),0),0))</f>
        <v/>
      </c>
      <c r="N836" s="36" t="str">
        <f t="shared" si="2"/>
        <v/>
      </c>
      <c r="O836" s="36" t="str">
        <f t="shared" si="3"/>
        <v/>
      </c>
      <c r="P836" s="15"/>
      <c r="Q836" s="37" t="str">
        <f t="shared" si="4"/>
        <v/>
      </c>
      <c r="R836" s="37" t="str">
        <f t="shared" si="5"/>
        <v/>
      </c>
      <c r="S836" s="32" t="str">
        <f t="shared" si="6"/>
        <v/>
      </c>
      <c r="T836" s="37" t="str">
        <f t="shared" si="7"/>
        <v/>
      </c>
      <c r="U836" s="37" t="str">
        <f t="array" ref="U836">IF($F836="","",IFERROR(INDEX(Config!$F:$F,MATCH($F836,Config!$D:$D,0)),0))</f>
        <v/>
      </c>
    </row>
    <row r="837" ht="15.0" customHeight="1">
      <c r="A837" s="34"/>
      <c r="B837" s="35"/>
      <c r="C837" s="15"/>
      <c r="D837" s="15"/>
      <c r="E837" s="15"/>
      <c r="F837" s="15"/>
      <c r="G837" s="36" t="str">
        <f t="array" ref="G837">IF($F837="","",IFERROR(INDEX(Config!$E:$E,MATCH($F837,Config!$D:$D,0)),0))</f>
        <v/>
      </c>
      <c r="H837" s="16"/>
      <c r="I837" s="36" t="str">
        <f t="shared" si="1"/>
        <v/>
      </c>
      <c r="J837" s="16"/>
      <c r="K837" s="15"/>
      <c r="L837" s="15"/>
      <c r="M837" s="36" t="str">
        <f t="array" ref="M837">IF($A837="","",IF($L837="Atendido",IFERROR($I837*INDEX(Config!$B:$B,MATCH($C837,Config!$A:$A,0)),0),0))</f>
        <v/>
      </c>
      <c r="N837" s="36" t="str">
        <f t="shared" si="2"/>
        <v/>
      </c>
      <c r="O837" s="36" t="str">
        <f t="shared" si="3"/>
        <v/>
      </c>
      <c r="P837" s="15"/>
      <c r="Q837" s="37" t="str">
        <f t="shared" si="4"/>
        <v/>
      </c>
      <c r="R837" s="37" t="str">
        <f t="shared" si="5"/>
        <v/>
      </c>
      <c r="S837" s="32" t="str">
        <f t="shared" si="6"/>
        <v/>
      </c>
      <c r="T837" s="37" t="str">
        <f t="shared" si="7"/>
        <v/>
      </c>
      <c r="U837" s="37" t="str">
        <f t="array" ref="U837">IF($F837="","",IFERROR(INDEX(Config!$F:$F,MATCH($F837,Config!$D:$D,0)),0))</f>
        <v/>
      </c>
    </row>
    <row r="838" ht="15.0" customHeight="1">
      <c r="A838" s="34"/>
      <c r="B838" s="35"/>
      <c r="C838" s="15"/>
      <c r="D838" s="15"/>
      <c r="E838" s="15"/>
      <c r="F838" s="15"/>
      <c r="G838" s="36" t="str">
        <f t="array" ref="G838">IF($F838="","",IFERROR(INDEX(Config!$E:$E,MATCH($F838,Config!$D:$D,0)),0))</f>
        <v/>
      </c>
      <c r="H838" s="16"/>
      <c r="I838" s="36" t="str">
        <f t="shared" si="1"/>
        <v/>
      </c>
      <c r="J838" s="16"/>
      <c r="K838" s="15"/>
      <c r="L838" s="15"/>
      <c r="M838" s="36" t="str">
        <f t="array" ref="M838">IF($A838="","",IF($L838="Atendido",IFERROR($I838*INDEX(Config!$B:$B,MATCH($C838,Config!$A:$A,0)),0),0))</f>
        <v/>
      </c>
      <c r="N838" s="36" t="str">
        <f t="shared" si="2"/>
        <v/>
      </c>
      <c r="O838" s="36" t="str">
        <f t="shared" si="3"/>
        <v/>
      </c>
      <c r="P838" s="15"/>
      <c r="Q838" s="37" t="str">
        <f t="shared" si="4"/>
        <v/>
      </c>
      <c r="R838" s="37" t="str">
        <f t="shared" si="5"/>
        <v/>
      </c>
      <c r="S838" s="32" t="str">
        <f t="shared" si="6"/>
        <v/>
      </c>
      <c r="T838" s="37" t="str">
        <f t="shared" si="7"/>
        <v/>
      </c>
      <c r="U838" s="37" t="str">
        <f t="array" ref="U838">IF($F838="","",IFERROR(INDEX(Config!$F:$F,MATCH($F838,Config!$D:$D,0)),0))</f>
        <v/>
      </c>
    </row>
    <row r="839" ht="15.0" customHeight="1">
      <c r="A839" s="34"/>
      <c r="B839" s="35"/>
      <c r="C839" s="15"/>
      <c r="D839" s="15"/>
      <c r="E839" s="15"/>
      <c r="F839" s="15"/>
      <c r="G839" s="36" t="str">
        <f t="array" ref="G839">IF($F839="","",IFERROR(INDEX(Config!$E:$E,MATCH($F839,Config!$D:$D,0)),0))</f>
        <v/>
      </c>
      <c r="H839" s="16"/>
      <c r="I839" s="36" t="str">
        <f t="shared" si="1"/>
        <v/>
      </c>
      <c r="J839" s="16"/>
      <c r="K839" s="15"/>
      <c r="L839" s="15"/>
      <c r="M839" s="36" t="str">
        <f t="array" ref="M839">IF($A839="","",IF($L839="Atendido",IFERROR($I839*INDEX(Config!$B:$B,MATCH($C839,Config!$A:$A,0)),0),0))</f>
        <v/>
      </c>
      <c r="N839" s="36" t="str">
        <f t="shared" si="2"/>
        <v/>
      </c>
      <c r="O839" s="36" t="str">
        <f t="shared" si="3"/>
        <v/>
      </c>
      <c r="P839" s="15"/>
      <c r="Q839" s="37" t="str">
        <f t="shared" si="4"/>
        <v/>
      </c>
      <c r="R839" s="37" t="str">
        <f t="shared" si="5"/>
        <v/>
      </c>
      <c r="S839" s="32" t="str">
        <f t="shared" si="6"/>
        <v/>
      </c>
      <c r="T839" s="37" t="str">
        <f t="shared" si="7"/>
        <v/>
      </c>
      <c r="U839" s="37" t="str">
        <f t="array" ref="U839">IF($F839="","",IFERROR(INDEX(Config!$F:$F,MATCH($F839,Config!$D:$D,0)),0))</f>
        <v/>
      </c>
    </row>
    <row r="840" ht="15.0" customHeight="1">
      <c r="A840" s="34"/>
      <c r="B840" s="35"/>
      <c r="C840" s="15"/>
      <c r="D840" s="15"/>
      <c r="E840" s="15"/>
      <c r="F840" s="15"/>
      <c r="G840" s="36" t="str">
        <f t="array" ref="G840">IF($F840="","",IFERROR(INDEX(Config!$E:$E,MATCH($F840,Config!$D:$D,0)),0))</f>
        <v/>
      </c>
      <c r="H840" s="16"/>
      <c r="I840" s="36" t="str">
        <f t="shared" si="1"/>
        <v/>
      </c>
      <c r="J840" s="16"/>
      <c r="K840" s="15"/>
      <c r="L840" s="15"/>
      <c r="M840" s="36" t="str">
        <f t="array" ref="M840">IF($A840="","",IF($L840="Atendido",IFERROR($I840*INDEX(Config!$B:$B,MATCH($C840,Config!$A:$A,0)),0),0))</f>
        <v/>
      </c>
      <c r="N840" s="36" t="str">
        <f t="shared" si="2"/>
        <v/>
      </c>
      <c r="O840" s="36" t="str">
        <f t="shared" si="3"/>
        <v/>
      </c>
      <c r="P840" s="15"/>
      <c r="Q840" s="37" t="str">
        <f t="shared" si="4"/>
        <v/>
      </c>
      <c r="R840" s="37" t="str">
        <f t="shared" si="5"/>
        <v/>
      </c>
      <c r="S840" s="32" t="str">
        <f t="shared" si="6"/>
        <v/>
      </c>
      <c r="T840" s="37" t="str">
        <f t="shared" si="7"/>
        <v/>
      </c>
      <c r="U840" s="37" t="str">
        <f t="array" ref="U840">IF($F840="","",IFERROR(INDEX(Config!$F:$F,MATCH($F840,Config!$D:$D,0)),0))</f>
        <v/>
      </c>
    </row>
    <row r="841" ht="15.0" customHeight="1">
      <c r="A841" s="34"/>
      <c r="B841" s="35"/>
      <c r="C841" s="15"/>
      <c r="D841" s="15"/>
      <c r="E841" s="15"/>
      <c r="F841" s="15"/>
      <c r="G841" s="36" t="str">
        <f t="array" ref="G841">IF($F841="","",IFERROR(INDEX(Config!$E:$E,MATCH($F841,Config!$D:$D,0)),0))</f>
        <v/>
      </c>
      <c r="H841" s="16"/>
      <c r="I841" s="36" t="str">
        <f t="shared" si="1"/>
        <v/>
      </c>
      <c r="J841" s="16"/>
      <c r="K841" s="15"/>
      <c r="L841" s="15"/>
      <c r="M841" s="36" t="str">
        <f t="array" ref="M841">IF($A841="","",IF($L841="Atendido",IFERROR($I841*INDEX(Config!$B:$B,MATCH($C841,Config!$A:$A,0)),0),0))</f>
        <v/>
      </c>
      <c r="N841" s="36" t="str">
        <f t="shared" si="2"/>
        <v/>
      </c>
      <c r="O841" s="36" t="str">
        <f t="shared" si="3"/>
        <v/>
      </c>
      <c r="P841" s="15"/>
      <c r="Q841" s="37" t="str">
        <f t="shared" si="4"/>
        <v/>
      </c>
      <c r="R841" s="37" t="str">
        <f t="shared" si="5"/>
        <v/>
      </c>
      <c r="S841" s="32" t="str">
        <f t="shared" si="6"/>
        <v/>
      </c>
      <c r="T841" s="37" t="str">
        <f t="shared" si="7"/>
        <v/>
      </c>
      <c r="U841" s="37" t="str">
        <f t="array" ref="U841">IF($F841="","",IFERROR(INDEX(Config!$F:$F,MATCH($F841,Config!$D:$D,0)),0))</f>
        <v/>
      </c>
    </row>
    <row r="842" ht="15.0" customHeight="1">
      <c r="A842" s="34"/>
      <c r="B842" s="35"/>
      <c r="C842" s="15"/>
      <c r="D842" s="15"/>
      <c r="E842" s="15"/>
      <c r="F842" s="15"/>
      <c r="G842" s="36" t="str">
        <f t="array" ref="G842">IF($F842="","",IFERROR(INDEX(Config!$E:$E,MATCH($F842,Config!$D:$D,0)),0))</f>
        <v/>
      </c>
      <c r="H842" s="16"/>
      <c r="I842" s="36" t="str">
        <f t="shared" si="1"/>
        <v/>
      </c>
      <c r="J842" s="16"/>
      <c r="K842" s="15"/>
      <c r="L842" s="15"/>
      <c r="M842" s="36" t="str">
        <f t="array" ref="M842">IF($A842="","",IF($L842="Atendido",IFERROR($I842*INDEX(Config!$B:$B,MATCH($C842,Config!$A:$A,0)),0),0))</f>
        <v/>
      </c>
      <c r="N842" s="36" t="str">
        <f t="shared" si="2"/>
        <v/>
      </c>
      <c r="O842" s="36" t="str">
        <f t="shared" si="3"/>
        <v/>
      </c>
      <c r="P842" s="15"/>
      <c r="Q842" s="37" t="str">
        <f t="shared" si="4"/>
        <v/>
      </c>
      <c r="R842" s="37" t="str">
        <f t="shared" si="5"/>
        <v/>
      </c>
      <c r="S842" s="32" t="str">
        <f t="shared" si="6"/>
        <v/>
      </c>
      <c r="T842" s="37" t="str">
        <f t="shared" si="7"/>
        <v/>
      </c>
      <c r="U842" s="37" t="str">
        <f t="array" ref="U842">IF($F842="","",IFERROR(INDEX(Config!$F:$F,MATCH($F842,Config!$D:$D,0)),0))</f>
        <v/>
      </c>
    </row>
    <row r="843" ht="15.0" customHeight="1">
      <c r="A843" s="34"/>
      <c r="B843" s="35"/>
      <c r="C843" s="15"/>
      <c r="D843" s="15"/>
      <c r="E843" s="15"/>
      <c r="F843" s="15"/>
      <c r="G843" s="36" t="str">
        <f t="array" ref="G843">IF($F843="","",IFERROR(INDEX(Config!$E:$E,MATCH($F843,Config!$D:$D,0)),0))</f>
        <v/>
      </c>
      <c r="H843" s="16"/>
      <c r="I843" s="36" t="str">
        <f t="shared" si="1"/>
        <v/>
      </c>
      <c r="J843" s="16"/>
      <c r="K843" s="15"/>
      <c r="L843" s="15"/>
      <c r="M843" s="36" t="str">
        <f t="array" ref="M843">IF($A843="","",IF($L843="Atendido",IFERROR($I843*INDEX(Config!$B:$B,MATCH($C843,Config!$A:$A,0)),0),0))</f>
        <v/>
      </c>
      <c r="N843" s="36" t="str">
        <f t="shared" si="2"/>
        <v/>
      </c>
      <c r="O843" s="36" t="str">
        <f t="shared" si="3"/>
        <v/>
      </c>
      <c r="P843" s="15"/>
      <c r="Q843" s="37" t="str">
        <f t="shared" si="4"/>
        <v/>
      </c>
      <c r="R843" s="37" t="str">
        <f t="shared" si="5"/>
        <v/>
      </c>
      <c r="S843" s="32" t="str">
        <f t="shared" si="6"/>
        <v/>
      </c>
      <c r="T843" s="37" t="str">
        <f t="shared" si="7"/>
        <v/>
      </c>
      <c r="U843" s="37" t="str">
        <f t="array" ref="U843">IF($F843="","",IFERROR(INDEX(Config!$F:$F,MATCH($F843,Config!$D:$D,0)),0))</f>
        <v/>
      </c>
    </row>
    <row r="844" ht="15.0" customHeight="1">
      <c r="A844" s="34"/>
      <c r="B844" s="35"/>
      <c r="C844" s="15"/>
      <c r="D844" s="15"/>
      <c r="E844" s="15"/>
      <c r="F844" s="15"/>
      <c r="G844" s="36" t="str">
        <f t="array" ref="G844">IF($F844="","",IFERROR(INDEX(Config!$E:$E,MATCH($F844,Config!$D:$D,0)),0))</f>
        <v/>
      </c>
      <c r="H844" s="16"/>
      <c r="I844" s="36" t="str">
        <f t="shared" si="1"/>
        <v/>
      </c>
      <c r="J844" s="16"/>
      <c r="K844" s="15"/>
      <c r="L844" s="15"/>
      <c r="M844" s="36" t="str">
        <f t="array" ref="M844">IF($A844="","",IF($L844="Atendido",IFERROR($I844*INDEX(Config!$B:$B,MATCH($C844,Config!$A:$A,0)),0),0))</f>
        <v/>
      </c>
      <c r="N844" s="36" t="str">
        <f t="shared" si="2"/>
        <v/>
      </c>
      <c r="O844" s="36" t="str">
        <f t="shared" si="3"/>
        <v/>
      </c>
      <c r="P844" s="15"/>
      <c r="Q844" s="37" t="str">
        <f t="shared" si="4"/>
        <v/>
      </c>
      <c r="R844" s="37" t="str">
        <f t="shared" si="5"/>
        <v/>
      </c>
      <c r="S844" s="32" t="str">
        <f t="shared" si="6"/>
        <v/>
      </c>
      <c r="T844" s="37" t="str">
        <f t="shared" si="7"/>
        <v/>
      </c>
      <c r="U844" s="37" t="str">
        <f t="array" ref="U844">IF($F844="","",IFERROR(INDEX(Config!$F:$F,MATCH($F844,Config!$D:$D,0)),0))</f>
        <v/>
      </c>
    </row>
    <row r="845" ht="15.0" customHeight="1">
      <c r="A845" s="34"/>
      <c r="B845" s="35"/>
      <c r="C845" s="15"/>
      <c r="D845" s="15"/>
      <c r="E845" s="15"/>
      <c r="F845" s="15"/>
      <c r="G845" s="36" t="str">
        <f t="array" ref="G845">IF($F845="","",IFERROR(INDEX(Config!$E:$E,MATCH($F845,Config!$D:$D,0)),0))</f>
        <v/>
      </c>
      <c r="H845" s="16"/>
      <c r="I845" s="36" t="str">
        <f t="shared" si="1"/>
        <v/>
      </c>
      <c r="J845" s="16"/>
      <c r="K845" s="15"/>
      <c r="L845" s="15"/>
      <c r="M845" s="36" t="str">
        <f t="array" ref="M845">IF($A845="","",IF($L845="Atendido",IFERROR($I845*INDEX(Config!$B:$B,MATCH($C845,Config!$A:$A,0)),0),0))</f>
        <v/>
      </c>
      <c r="N845" s="36" t="str">
        <f t="shared" si="2"/>
        <v/>
      </c>
      <c r="O845" s="36" t="str">
        <f t="shared" si="3"/>
        <v/>
      </c>
      <c r="P845" s="15"/>
      <c r="Q845" s="37" t="str">
        <f t="shared" si="4"/>
        <v/>
      </c>
      <c r="R845" s="37" t="str">
        <f t="shared" si="5"/>
        <v/>
      </c>
      <c r="S845" s="32" t="str">
        <f t="shared" si="6"/>
        <v/>
      </c>
      <c r="T845" s="37" t="str">
        <f t="shared" si="7"/>
        <v/>
      </c>
      <c r="U845" s="37" t="str">
        <f t="array" ref="U845">IF($F845="","",IFERROR(INDEX(Config!$F:$F,MATCH($F845,Config!$D:$D,0)),0))</f>
        <v/>
      </c>
    </row>
    <row r="846" ht="15.0" customHeight="1">
      <c r="A846" s="34"/>
      <c r="B846" s="35"/>
      <c r="C846" s="15"/>
      <c r="D846" s="15"/>
      <c r="E846" s="15"/>
      <c r="F846" s="15"/>
      <c r="G846" s="36" t="str">
        <f t="array" ref="G846">IF($F846="","",IFERROR(INDEX(Config!$E:$E,MATCH($F846,Config!$D:$D,0)),0))</f>
        <v/>
      </c>
      <c r="H846" s="16"/>
      <c r="I846" s="36" t="str">
        <f t="shared" si="1"/>
        <v/>
      </c>
      <c r="J846" s="16"/>
      <c r="K846" s="15"/>
      <c r="L846" s="15"/>
      <c r="M846" s="36" t="str">
        <f t="array" ref="M846">IF($A846="","",IF($L846="Atendido",IFERROR($I846*INDEX(Config!$B:$B,MATCH($C846,Config!$A:$A,0)),0),0))</f>
        <v/>
      </c>
      <c r="N846" s="36" t="str">
        <f t="shared" si="2"/>
        <v/>
      </c>
      <c r="O846" s="36" t="str">
        <f t="shared" si="3"/>
        <v/>
      </c>
      <c r="P846" s="15"/>
      <c r="Q846" s="37" t="str">
        <f t="shared" si="4"/>
        <v/>
      </c>
      <c r="R846" s="37" t="str">
        <f t="shared" si="5"/>
        <v/>
      </c>
      <c r="S846" s="32" t="str">
        <f t="shared" si="6"/>
        <v/>
      </c>
      <c r="T846" s="37" t="str">
        <f t="shared" si="7"/>
        <v/>
      </c>
      <c r="U846" s="37" t="str">
        <f t="array" ref="U846">IF($F846="","",IFERROR(INDEX(Config!$F:$F,MATCH($F846,Config!$D:$D,0)),0))</f>
        <v/>
      </c>
    </row>
    <row r="847" ht="15.0" customHeight="1">
      <c r="A847" s="34"/>
      <c r="B847" s="35"/>
      <c r="C847" s="15"/>
      <c r="D847" s="15"/>
      <c r="E847" s="15"/>
      <c r="F847" s="15"/>
      <c r="G847" s="36" t="str">
        <f t="array" ref="G847">IF($F847="","",IFERROR(INDEX(Config!$E:$E,MATCH($F847,Config!$D:$D,0)),0))</f>
        <v/>
      </c>
      <c r="H847" s="16"/>
      <c r="I847" s="36" t="str">
        <f t="shared" si="1"/>
        <v/>
      </c>
      <c r="J847" s="16"/>
      <c r="K847" s="15"/>
      <c r="L847" s="15"/>
      <c r="M847" s="36" t="str">
        <f t="array" ref="M847">IF($A847="","",IF($L847="Atendido",IFERROR($I847*INDEX(Config!$B:$B,MATCH($C847,Config!$A:$A,0)),0),0))</f>
        <v/>
      </c>
      <c r="N847" s="36" t="str">
        <f t="shared" si="2"/>
        <v/>
      </c>
      <c r="O847" s="36" t="str">
        <f t="shared" si="3"/>
        <v/>
      </c>
      <c r="P847" s="15"/>
      <c r="Q847" s="37" t="str">
        <f t="shared" si="4"/>
        <v/>
      </c>
      <c r="R847" s="37" t="str">
        <f t="shared" si="5"/>
        <v/>
      </c>
      <c r="S847" s="32" t="str">
        <f t="shared" si="6"/>
        <v/>
      </c>
      <c r="T847" s="37" t="str">
        <f t="shared" si="7"/>
        <v/>
      </c>
      <c r="U847" s="37" t="str">
        <f t="array" ref="U847">IF($F847="","",IFERROR(INDEX(Config!$F:$F,MATCH($F847,Config!$D:$D,0)),0))</f>
        <v/>
      </c>
    </row>
    <row r="848" ht="15.0" customHeight="1">
      <c r="A848" s="34"/>
      <c r="B848" s="35"/>
      <c r="C848" s="15"/>
      <c r="D848" s="15"/>
      <c r="E848" s="15"/>
      <c r="F848" s="15"/>
      <c r="G848" s="36" t="str">
        <f t="array" ref="G848">IF($F848="","",IFERROR(INDEX(Config!$E:$E,MATCH($F848,Config!$D:$D,0)),0))</f>
        <v/>
      </c>
      <c r="H848" s="16"/>
      <c r="I848" s="36" t="str">
        <f t="shared" si="1"/>
        <v/>
      </c>
      <c r="J848" s="16"/>
      <c r="K848" s="15"/>
      <c r="L848" s="15"/>
      <c r="M848" s="36" t="str">
        <f t="array" ref="M848">IF($A848="","",IF($L848="Atendido",IFERROR($I848*INDEX(Config!$B:$B,MATCH($C848,Config!$A:$A,0)),0),0))</f>
        <v/>
      </c>
      <c r="N848" s="36" t="str">
        <f t="shared" si="2"/>
        <v/>
      </c>
      <c r="O848" s="36" t="str">
        <f t="shared" si="3"/>
        <v/>
      </c>
      <c r="P848" s="15"/>
      <c r="Q848" s="37" t="str">
        <f t="shared" si="4"/>
        <v/>
      </c>
      <c r="R848" s="37" t="str">
        <f t="shared" si="5"/>
        <v/>
      </c>
      <c r="S848" s="32" t="str">
        <f t="shared" si="6"/>
        <v/>
      </c>
      <c r="T848" s="37" t="str">
        <f t="shared" si="7"/>
        <v/>
      </c>
      <c r="U848" s="37" t="str">
        <f t="array" ref="U848">IF($F848="","",IFERROR(INDEX(Config!$F:$F,MATCH($F848,Config!$D:$D,0)),0))</f>
        <v/>
      </c>
    </row>
    <row r="849" ht="15.0" customHeight="1">
      <c r="A849" s="34"/>
      <c r="B849" s="35"/>
      <c r="C849" s="15"/>
      <c r="D849" s="15"/>
      <c r="E849" s="15"/>
      <c r="F849" s="15"/>
      <c r="G849" s="36" t="str">
        <f t="array" ref="G849">IF($F849="","",IFERROR(INDEX(Config!$E:$E,MATCH($F849,Config!$D:$D,0)),0))</f>
        <v/>
      </c>
      <c r="H849" s="16"/>
      <c r="I849" s="36" t="str">
        <f t="shared" si="1"/>
        <v/>
      </c>
      <c r="J849" s="16"/>
      <c r="K849" s="15"/>
      <c r="L849" s="15"/>
      <c r="M849" s="36" t="str">
        <f t="array" ref="M849">IF($A849="","",IF($L849="Atendido",IFERROR($I849*INDEX(Config!$B:$B,MATCH($C849,Config!$A:$A,0)),0),0))</f>
        <v/>
      </c>
      <c r="N849" s="36" t="str">
        <f t="shared" si="2"/>
        <v/>
      </c>
      <c r="O849" s="36" t="str">
        <f t="shared" si="3"/>
        <v/>
      </c>
      <c r="P849" s="15"/>
      <c r="Q849" s="37" t="str">
        <f t="shared" si="4"/>
        <v/>
      </c>
      <c r="R849" s="37" t="str">
        <f t="shared" si="5"/>
        <v/>
      </c>
      <c r="S849" s="32" t="str">
        <f t="shared" si="6"/>
        <v/>
      </c>
      <c r="T849" s="37" t="str">
        <f t="shared" si="7"/>
        <v/>
      </c>
      <c r="U849" s="37" t="str">
        <f t="array" ref="U849">IF($F849="","",IFERROR(INDEX(Config!$F:$F,MATCH($F849,Config!$D:$D,0)),0))</f>
        <v/>
      </c>
    </row>
    <row r="850" ht="15.0" customHeight="1">
      <c r="A850" s="34"/>
      <c r="B850" s="35"/>
      <c r="C850" s="15"/>
      <c r="D850" s="15"/>
      <c r="E850" s="15"/>
      <c r="F850" s="15"/>
      <c r="G850" s="36" t="str">
        <f t="array" ref="G850">IF($F850="","",IFERROR(INDEX(Config!$E:$E,MATCH($F850,Config!$D:$D,0)),0))</f>
        <v/>
      </c>
      <c r="H850" s="16"/>
      <c r="I850" s="36" t="str">
        <f t="shared" si="1"/>
        <v/>
      </c>
      <c r="J850" s="16"/>
      <c r="K850" s="15"/>
      <c r="L850" s="15"/>
      <c r="M850" s="36" t="str">
        <f t="array" ref="M850">IF($A850="","",IF($L850="Atendido",IFERROR($I850*INDEX(Config!$B:$B,MATCH($C850,Config!$A:$A,0)),0),0))</f>
        <v/>
      </c>
      <c r="N850" s="36" t="str">
        <f t="shared" si="2"/>
        <v/>
      </c>
      <c r="O850" s="36" t="str">
        <f t="shared" si="3"/>
        <v/>
      </c>
      <c r="P850" s="15"/>
      <c r="Q850" s="37" t="str">
        <f t="shared" si="4"/>
        <v/>
      </c>
      <c r="R850" s="37" t="str">
        <f t="shared" si="5"/>
        <v/>
      </c>
      <c r="S850" s="32" t="str">
        <f t="shared" si="6"/>
        <v/>
      </c>
      <c r="T850" s="37" t="str">
        <f t="shared" si="7"/>
        <v/>
      </c>
      <c r="U850" s="37" t="str">
        <f t="array" ref="U850">IF($F850="","",IFERROR(INDEX(Config!$F:$F,MATCH($F850,Config!$D:$D,0)),0))</f>
        <v/>
      </c>
    </row>
    <row r="851" ht="15.0" customHeight="1">
      <c r="A851" s="34"/>
      <c r="B851" s="35"/>
      <c r="C851" s="15"/>
      <c r="D851" s="15"/>
      <c r="E851" s="15"/>
      <c r="F851" s="15"/>
      <c r="G851" s="36" t="str">
        <f t="array" ref="G851">IF($F851="","",IFERROR(INDEX(Config!$E:$E,MATCH($F851,Config!$D:$D,0)),0))</f>
        <v/>
      </c>
      <c r="H851" s="16"/>
      <c r="I851" s="36" t="str">
        <f t="shared" si="1"/>
        <v/>
      </c>
      <c r="J851" s="16"/>
      <c r="K851" s="15"/>
      <c r="L851" s="15"/>
      <c r="M851" s="36" t="str">
        <f t="array" ref="M851">IF($A851="","",IF($L851="Atendido",IFERROR($I851*INDEX(Config!$B:$B,MATCH($C851,Config!$A:$A,0)),0),0))</f>
        <v/>
      </c>
      <c r="N851" s="36" t="str">
        <f t="shared" si="2"/>
        <v/>
      </c>
      <c r="O851" s="36" t="str">
        <f t="shared" si="3"/>
        <v/>
      </c>
      <c r="P851" s="15"/>
      <c r="Q851" s="37" t="str">
        <f t="shared" si="4"/>
        <v/>
      </c>
      <c r="R851" s="37" t="str">
        <f t="shared" si="5"/>
        <v/>
      </c>
      <c r="S851" s="32" t="str">
        <f t="shared" si="6"/>
        <v/>
      </c>
      <c r="T851" s="37" t="str">
        <f t="shared" si="7"/>
        <v/>
      </c>
      <c r="U851" s="37" t="str">
        <f t="array" ref="U851">IF($F851="","",IFERROR(INDEX(Config!$F:$F,MATCH($F851,Config!$D:$D,0)),0))</f>
        <v/>
      </c>
    </row>
    <row r="852" ht="15.0" customHeight="1">
      <c r="A852" s="34"/>
      <c r="B852" s="35"/>
      <c r="C852" s="15"/>
      <c r="D852" s="15"/>
      <c r="E852" s="15"/>
      <c r="F852" s="15"/>
      <c r="G852" s="36" t="str">
        <f t="array" ref="G852">IF($F852="","",IFERROR(INDEX(Config!$E:$E,MATCH($F852,Config!$D:$D,0)),0))</f>
        <v/>
      </c>
      <c r="H852" s="16"/>
      <c r="I852" s="36" t="str">
        <f t="shared" si="1"/>
        <v/>
      </c>
      <c r="J852" s="16"/>
      <c r="K852" s="15"/>
      <c r="L852" s="15"/>
      <c r="M852" s="36" t="str">
        <f t="array" ref="M852">IF($A852="","",IF($L852="Atendido",IFERROR($I852*INDEX(Config!$B:$B,MATCH($C852,Config!$A:$A,0)),0),0))</f>
        <v/>
      </c>
      <c r="N852" s="36" t="str">
        <f t="shared" si="2"/>
        <v/>
      </c>
      <c r="O852" s="36" t="str">
        <f t="shared" si="3"/>
        <v/>
      </c>
      <c r="P852" s="15"/>
      <c r="Q852" s="37" t="str">
        <f t="shared" si="4"/>
        <v/>
      </c>
      <c r="R852" s="37" t="str">
        <f t="shared" si="5"/>
        <v/>
      </c>
      <c r="S852" s="32" t="str">
        <f t="shared" si="6"/>
        <v/>
      </c>
      <c r="T852" s="37" t="str">
        <f t="shared" si="7"/>
        <v/>
      </c>
      <c r="U852" s="37" t="str">
        <f t="array" ref="U852">IF($F852="","",IFERROR(INDEX(Config!$F:$F,MATCH($F852,Config!$D:$D,0)),0))</f>
        <v/>
      </c>
    </row>
    <row r="853" ht="15.0" customHeight="1">
      <c r="A853" s="34"/>
      <c r="B853" s="35"/>
      <c r="C853" s="15"/>
      <c r="D853" s="15"/>
      <c r="E853" s="15"/>
      <c r="F853" s="15"/>
      <c r="G853" s="36" t="str">
        <f t="array" ref="G853">IF($F853="","",IFERROR(INDEX(Config!$E:$E,MATCH($F853,Config!$D:$D,0)),0))</f>
        <v/>
      </c>
      <c r="H853" s="16"/>
      <c r="I853" s="36" t="str">
        <f t="shared" si="1"/>
        <v/>
      </c>
      <c r="J853" s="16"/>
      <c r="K853" s="15"/>
      <c r="L853" s="15"/>
      <c r="M853" s="36" t="str">
        <f t="array" ref="M853">IF($A853="","",IF($L853="Atendido",IFERROR($I853*INDEX(Config!$B:$B,MATCH($C853,Config!$A:$A,0)),0),0))</f>
        <v/>
      </c>
      <c r="N853" s="36" t="str">
        <f t="shared" si="2"/>
        <v/>
      </c>
      <c r="O853" s="36" t="str">
        <f t="shared" si="3"/>
        <v/>
      </c>
      <c r="P853" s="15"/>
      <c r="Q853" s="37" t="str">
        <f t="shared" si="4"/>
        <v/>
      </c>
      <c r="R853" s="37" t="str">
        <f t="shared" si="5"/>
        <v/>
      </c>
      <c r="S853" s="32" t="str">
        <f t="shared" si="6"/>
        <v/>
      </c>
      <c r="T853" s="37" t="str">
        <f t="shared" si="7"/>
        <v/>
      </c>
      <c r="U853" s="37" t="str">
        <f t="array" ref="U853">IF($F853="","",IFERROR(INDEX(Config!$F:$F,MATCH($F853,Config!$D:$D,0)),0))</f>
        <v/>
      </c>
    </row>
    <row r="854" ht="15.0" customHeight="1">
      <c r="A854" s="34"/>
      <c r="B854" s="35"/>
      <c r="C854" s="15"/>
      <c r="D854" s="15"/>
      <c r="E854" s="15"/>
      <c r="F854" s="15"/>
      <c r="G854" s="36" t="str">
        <f t="array" ref="G854">IF($F854="","",IFERROR(INDEX(Config!$E:$E,MATCH($F854,Config!$D:$D,0)),0))</f>
        <v/>
      </c>
      <c r="H854" s="16"/>
      <c r="I854" s="36" t="str">
        <f t="shared" si="1"/>
        <v/>
      </c>
      <c r="J854" s="16"/>
      <c r="K854" s="15"/>
      <c r="L854" s="15"/>
      <c r="M854" s="36" t="str">
        <f t="array" ref="M854">IF($A854="","",IF($L854="Atendido",IFERROR($I854*INDEX(Config!$B:$B,MATCH($C854,Config!$A:$A,0)),0),0))</f>
        <v/>
      </c>
      <c r="N854" s="36" t="str">
        <f t="shared" si="2"/>
        <v/>
      </c>
      <c r="O854" s="36" t="str">
        <f t="shared" si="3"/>
        <v/>
      </c>
      <c r="P854" s="15"/>
      <c r="Q854" s="37" t="str">
        <f t="shared" si="4"/>
        <v/>
      </c>
      <c r="R854" s="37" t="str">
        <f t="shared" si="5"/>
        <v/>
      </c>
      <c r="S854" s="32" t="str">
        <f t="shared" si="6"/>
        <v/>
      </c>
      <c r="T854" s="37" t="str">
        <f t="shared" si="7"/>
        <v/>
      </c>
      <c r="U854" s="37" t="str">
        <f t="array" ref="U854">IF($F854="","",IFERROR(INDEX(Config!$F:$F,MATCH($F854,Config!$D:$D,0)),0))</f>
        <v/>
      </c>
    </row>
    <row r="855" ht="15.0" customHeight="1">
      <c r="A855" s="34"/>
      <c r="B855" s="35"/>
      <c r="C855" s="15"/>
      <c r="D855" s="15"/>
      <c r="E855" s="15"/>
      <c r="F855" s="15"/>
      <c r="G855" s="36" t="str">
        <f t="array" ref="G855">IF($F855="","",IFERROR(INDEX(Config!$E:$E,MATCH($F855,Config!$D:$D,0)),0))</f>
        <v/>
      </c>
      <c r="H855" s="16"/>
      <c r="I855" s="36" t="str">
        <f t="shared" si="1"/>
        <v/>
      </c>
      <c r="J855" s="16"/>
      <c r="K855" s="15"/>
      <c r="L855" s="15"/>
      <c r="M855" s="36" t="str">
        <f t="array" ref="M855">IF($A855="","",IF($L855="Atendido",IFERROR($I855*INDEX(Config!$B:$B,MATCH($C855,Config!$A:$A,0)),0),0))</f>
        <v/>
      </c>
      <c r="N855" s="36" t="str">
        <f t="shared" si="2"/>
        <v/>
      </c>
      <c r="O855" s="36" t="str">
        <f t="shared" si="3"/>
        <v/>
      </c>
      <c r="P855" s="15"/>
      <c r="Q855" s="37" t="str">
        <f t="shared" si="4"/>
        <v/>
      </c>
      <c r="R855" s="37" t="str">
        <f t="shared" si="5"/>
        <v/>
      </c>
      <c r="S855" s="32" t="str">
        <f t="shared" si="6"/>
        <v/>
      </c>
      <c r="T855" s="37" t="str">
        <f t="shared" si="7"/>
        <v/>
      </c>
      <c r="U855" s="37" t="str">
        <f t="array" ref="U855">IF($F855="","",IFERROR(INDEX(Config!$F:$F,MATCH($F855,Config!$D:$D,0)),0))</f>
        <v/>
      </c>
    </row>
    <row r="856" ht="15.0" customHeight="1">
      <c r="A856" s="34"/>
      <c r="B856" s="35"/>
      <c r="C856" s="15"/>
      <c r="D856" s="15"/>
      <c r="E856" s="15"/>
      <c r="F856" s="15"/>
      <c r="G856" s="36" t="str">
        <f t="array" ref="G856">IF($F856="","",IFERROR(INDEX(Config!$E:$E,MATCH($F856,Config!$D:$D,0)),0))</f>
        <v/>
      </c>
      <c r="H856" s="16"/>
      <c r="I856" s="36" t="str">
        <f t="shared" si="1"/>
        <v/>
      </c>
      <c r="J856" s="16"/>
      <c r="K856" s="15"/>
      <c r="L856" s="15"/>
      <c r="M856" s="36" t="str">
        <f t="array" ref="M856">IF($A856="","",IF($L856="Atendido",IFERROR($I856*INDEX(Config!$B:$B,MATCH($C856,Config!$A:$A,0)),0),0))</f>
        <v/>
      </c>
      <c r="N856" s="36" t="str">
        <f t="shared" si="2"/>
        <v/>
      </c>
      <c r="O856" s="36" t="str">
        <f t="shared" si="3"/>
        <v/>
      </c>
      <c r="P856" s="15"/>
      <c r="Q856" s="37" t="str">
        <f t="shared" si="4"/>
        <v/>
      </c>
      <c r="R856" s="37" t="str">
        <f t="shared" si="5"/>
        <v/>
      </c>
      <c r="S856" s="32" t="str">
        <f t="shared" si="6"/>
        <v/>
      </c>
      <c r="T856" s="37" t="str">
        <f t="shared" si="7"/>
        <v/>
      </c>
      <c r="U856" s="37" t="str">
        <f t="array" ref="U856">IF($F856="","",IFERROR(INDEX(Config!$F:$F,MATCH($F856,Config!$D:$D,0)),0))</f>
        <v/>
      </c>
    </row>
    <row r="857" ht="15.0" customHeight="1">
      <c r="A857" s="34"/>
      <c r="B857" s="35"/>
      <c r="C857" s="15"/>
      <c r="D857" s="15"/>
      <c r="E857" s="15"/>
      <c r="F857" s="15"/>
      <c r="G857" s="36" t="str">
        <f t="array" ref="G857">IF($F857="","",IFERROR(INDEX(Config!$E:$E,MATCH($F857,Config!$D:$D,0)),0))</f>
        <v/>
      </c>
      <c r="H857" s="16"/>
      <c r="I857" s="36" t="str">
        <f t="shared" si="1"/>
        <v/>
      </c>
      <c r="J857" s="16"/>
      <c r="K857" s="15"/>
      <c r="L857" s="15"/>
      <c r="M857" s="36" t="str">
        <f t="array" ref="M857">IF($A857="","",IF($L857="Atendido",IFERROR($I857*INDEX(Config!$B:$B,MATCH($C857,Config!$A:$A,0)),0),0))</f>
        <v/>
      </c>
      <c r="N857" s="36" t="str">
        <f t="shared" si="2"/>
        <v/>
      </c>
      <c r="O857" s="36" t="str">
        <f t="shared" si="3"/>
        <v/>
      </c>
      <c r="P857" s="15"/>
      <c r="Q857" s="37" t="str">
        <f t="shared" si="4"/>
        <v/>
      </c>
      <c r="R857" s="37" t="str">
        <f t="shared" si="5"/>
        <v/>
      </c>
      <c r="S857" s="32" t="str">
        <f t="shared" si="6"/>
        <v/>
      </c>
      <c r="T857" s="37" t="str">
        <f t="shared" si="7"/>
        <v/>
      </c>
      <c r="U857" s="37" t="str">
        <f t="array" ref="U857">IF($F857="","",IFERROR(INDEX(Config!$F:$F,MATCH($F857,Config!$D:$D,0)),0))</f>
        <v/>
      </c>
    </row>
    <row r="858" ht="15.0" customHeight="1">
      <c r="A858" s="34"/>
      <c r="B858" s="35"/>
      <c r="C858" s="15"/>
      <c r="D858" s="15"/>
      <c r="E858" s="15"/>
      <c r="F858" s="15"/>
      <c r="G858" s="36" t="str">
        <f t="array" ref="G858">IF($F858="","",IFERROR(INDEX(Config!$E:$E,MATCH($F858,Config!$D:$D,0)),0))</f>
        <v/>
      </c>
      <c r="H858" s="16"/>
      <c r="I858" s="36" t="str">
        <f t="shared" si="1"/>
        <v/>
      </c>
      <c r="J858" s="16"/>
      <c r="K858" s="15"/>
      <c r="L858" s="15"/>
      <c r="M858" s="36" t="str">
        <f t="array" ref="M858">IF($A858="","",IF($L858="Atendido",IFERROR($I858*INDEX(Config!$B:$B,MATCH($C858,Config!$A:$A,0)),0),0))</f>
        <v/>
      </c>
      <c r="N858" s="36" t="str">
        <f t="shared" si="2"/>
        <v/>
      </c>
      <c r="O858" s="36" t="str">
        <f t="shared" si="3"/>
        <v/>
      </c>
      <c r="P858" s="15"/>
      <c r="Q858" s="37" t="str">
        <f t="shared" si="4"/>
        <v/>
      </c>
      <c r="R858" s="37" t="str">
        <f t="shared" si="5"/>
        <v/>
      </c>
      <c r="S858" s="32" t="str">
        <f t="shared" si="6"/>
        <v/>
      </c>
      <c r="T858" s="37" t="str">
        <f t="shared" si="7"/>
        <v/>
      </c>
      <c r="U858" s="37" t="str">
        <f t="array" ref="U858">IF($F858="","",IFERROR(INDEX(Config!$F:$F,MATCH($F858,Config!$D:$D,0)),0))</f>
        <v/>
      </c>
    </row>
    <row r="859" ht="15.0" customHeight="1">
      <c r="A859" s="34"/>
      <c r="B859" s="35"/>
      <c r="C859" s="15"/>
      <c r="D859" s="15"/>
      <c r="E859" s="15"/>
      <c r="F859" s="15"/>
      <c r="G859" s="36" t="str">
        <f t="array" ref="G859">IF($F859="","",IFERROR(INDEX(Config!$E:$E,MATCH($F859,Config!$D:$D,0)),0))</f>
        <v/>
      </c>
      <c r="H859" s="16"/>
      <c r="I859" s="36" t="str">
        <f t="shared" si="1"/>
        <v/>
      </c>
      <c r="J859" s="16"/>
      <c r="K859" s="15"/>
      <c r="L859" s="15"/>
      <c r="M859" s="36" t="str">
        <f t="array" ref="M859">IF($A859="","",IF($L859="Atendido",IFERROR($I859*INDEX(Config!$B:$B,MATCH($C859,Config!$A:$A,0)),0),0))</f>
        <v/>
      </c>
      <c r="N859" s="36" t="str">
        <f t="shared" si="2"/>
        <v/>
      </c>
      <c r="O859" s="36" t="str">
        <f t="shared" si="3"/>
        <v/>
      </c>
      <c r="P859" s="15"/>
      <c r="Q859" s="37" t="str">
        <f t="shared" si="4"/>
        <v/>
      </c>
      <c r="R859" s="37" t="str">
        <f t="shared" si="5"/>
        <v/>
      </c>
      <c r="S859" s="32" t="str">
        <f t="shared" si="6"/>
        <v/>
      </c>
      <c r="T859" s="37" t="str">
        <f t="shared" si="7"/>
        <v/>
      </c>
      <c r="U859" s="37" t="str">
        <f t="array" ref="U859">IF($F859="","",IFERROR(INDEX(Config!$F:$F,MATCH($F859,Config!$D:$D,0)),0))</f>
        <v/>
      </c>
    </row>
    <row r="860" ht="15.0" customHeight="1">
      <c r="A860" s="34"/>
      <c r="B860" s="35"/>
      <c r="C860" s="15"/>
      <c r="D860" s="15"/>
      <c r="E860" s="15"/>
      <c r="F860" s="15"/>
      <c r="G860" s="36" t="str">
        <f t="array" ref="G860">IF($F860="","",IFERROR(INDEX(Config!$E:$E,MATCH($F860,Config!$D:$D,0)),0))</f>
        <v/>
      </c>
      <c r="H860" s="16"/>
      <c r="I860" s="36" t="str">
        <f t="shared" si="1"/>
        <v/>
      </c>
      <c r="J860" s="16"/>
      <c r="K860" s="15"/>
      <c r="L860" s="15"/>
      <c r="M860" s="36" t="str">
        <f t="array" ref="M860">IF($A860="","",IF($L860="Atendido",IFERROR($I860*INDEX(Config!$B:$B,MATCH($C860,Config!$A:$A,0)),0),0))</f>
        <v/>
      </c>
      <c r="N860" s="36" t="str">
        <f t="shared" si="2"/>
        <v/>
      </c>
      <c r="O860" s="36" t="str">
        <f t="shared" si="3"/>
        <v/>
      </c>
      <c r="P860" s="15"/>
      <c r="Q860" s="37" t="str">
        <f t="shared" si="4"/>
        <v/>
      </c>
      <c r="R860" s="37" t="str">
        <f t="shared" si="5"/>
        <v/>
      </c>
      <c r="S860" s="32" t="str">
        <f t="shared" si="6"/>
        <v/>
      </c>
      <c r="T860" s="37" t="str">
        <f t="shared" si="7"/>
        <v/>
      </c>
      <c r="U860" s="37" t="str">
        <f t="array" ref="U860">IF($F860="","",IFERROR(INDEX(Config!$F:$F,MATCH($F860,Config!$D:$D,0)),0))</f>
        <v/>
      </c>
    </row>
    <row r="861" ht="15.0" customHeight="1">
      <c r="A861" s="34"/>
      <c r="B861" s="35"/>
      <c r="C861" s="15"/>
      <c r="D861" s="15"/>
      <c r="E861" s="15"/>
      <c r="F861" s="15"/>
      <c r="G861" s="36" t="str">
        <f t="array" ref="G861">IF($F861="","",IFERROR(INDEX(Config!$E:$E,MATCH($F861,Config!$D:$D,0)),0))</f>
        <v/>
      </c>
      <c r="H861" s="16"/>
      <c r="I861" s="36" t="str">
        <f t="shared" si="1"/>
        <v/>
      </c>
      <c r="J861" s="16"/>
      <c r="K861" s="15"/>
      <c r="L861" s="15"/>
      <c r="M861" s="36" t="str">
        <f t="array" ref="M861">IF($A861="","",IF($L861="Atendido",IFERROR($I861*INDEX(Config!$B:$B,MATCH($C861,Config!$A:$A,0)),0),0))</f>
        <v/>
      </c>
      <c r="N861" s="36" t="str">
        <f t="shared" si="2"/>
        <v/>
      </c>
      <c r="O861" s="36" t="str">
        <f t="shared" si="3"/>
        <v/>
      </c>
      <c r="P861" s="15"/>
      <c r="Q861" s="37" t="str">
        <f t="shared" si="4"/>
        <v/>
      </c>
      <c r="R861" s="37" t="str">
        <f t="shared" si="5"/>
        <v/>
      </c>
      <c r="S861" s="32" t="str">
        <f t="shared" si="6"/>
        <v/>
      </c>
      <c r="T861" s="37" t="str">
        <f t="shared" si="7"/>
        <v/>
      </c>
      <c r="U861" s="37" t="str">
        <f t="array" ref="U861">IF($F861="","",IFERROR(INDEX(Config!$F:$F,MATCH($F861,Config!$D:$D,0)),0))</f>
        <v/>
      </c>
    </row>
    <row r="862" ht="15.0" customHeight="1">
      <c r="A862" s="34"/>
      <c r="B862" s="35"/>
      <c r="C862" s="15"/>
      <c r="D862" s="15"/>
      <c r="E862" s="15"/>
      <c r="F862" s="15"/>
      <c r="G862" s="36" t="str">
        <f t="array" ref="G862">IF($F862="","",IFERROR(INDEX(Config!$E:$E,MATCH($F862,Config!$D:$D,0)),0))</f>
        <v/>
      </c>
      <c r="H862" s="16"/>
      <c r="I862" s="36" t="str">
        <f t="shared" si="1"/>
        <v/>
      </c>
      <c r="J862" s="16"/>
      <c r="K862" s="15"/>
      <c r="L862" s="15"/>
      <c r="M862" s="36" t="str">
        <f t="array" ref="M862">IF($A862="","",IF($L862="Atendido",IFERROR($I862*INDEX(Config!$B:$B,MATCH($C862,Config!$A:$A,0)),0),0))</f>
        <v/>
      </c>
      <c r="N862" s="36" t="str">
        <f t="shared" si="2"/>
        <v/>
      </c>
      <c r="O862" s="36" t="str">
        <f t="shared" si="3"/>
        <v/>
      </c>
      <c r="P862" s="15"/>
      <c r="Q862" s="37" t="str">
        <f t="shared" si="4"/>
        <v/>
      </c>
      <c r="R862" s="37" t="str">
        <f t="shared" si="5"/>
        <v/>
      </c>
      <c r="S862" s="32" t="str">
        <f t="shared" si="6"/>
        <v/>
      </c>
      <c r="T862" s="37" t="str">
        <f t="shared" si="7"/>
        <v/>
      </c>
      <c r="U862" s="37" t="str">
        <f t="array" ref="U862">IF($F862="","",IFERROR(INDEX(Config!$F:$F,MATCH($F862,Config!$D:$D,0)),0))</f>
        <v/>
      </c>
    </row>
    <row r="863" ht="15.0" customHeight="1">
      <c r="A863" s="34"/>
      <c r="B863" s="35"/>
      <c r="C863" s="15"/>
      <c r="D863" s="15"/>
      <c r="E863" s="15"/>
      <c r="F863" s="15"/>
      <c r="G863" s="36" t="str">
        <f t="array" ref="G863">IF($F863="","",IFERROR(INDEX(Config!$E:$E,MATCH($F863,Config!$D:$D,0)),0))</f>
        <v/>
      </c>
      <c r="H863" s="16"/>
      <c r="I863" s="36" t="str">
        <f t="shared" si="1"/>
        <v/>
      </c>
      <c r="J863" s="16"/>
      <c r="K863" s="15"/>
      <c r="L863" s="15"/>
      <c r="M863" s="36" t="str">
        <f t="array" ref="M863">IF($A863="","",IF($L863="Atendido",IFERROR($I863*INDEX(Config!$B:$B,MATCH($C863,Config!$A:$A,0)),0),0))</f>
        <v/>
      </c>
      <c r="N863" s="36" t="str">
        <f t="shared" si="2"/>
        <v/>
      </c>
      <c r="O863" s="36" t="str">
        <f t="shared" si="3"/>
        <v/>
      </c>
      <c r="P863" s="15"/>
      <c r="Q863" s="37" t="str">
        <f t="shared" si="4"/>
        <v/>
      </c>
      <c r="R863" s="37" t="str">
        <f t="shared" si="5"/>
        <v/>
      </c>
      <c r="S863" s="32" t="str">
        <f t="shared" si="6"/>
        <v/>
      </c>
      <c r="T863" s="37" t="str">
        <f t="shared" si="7"/>
        <v/>
      </c>
      <c r="U863" s="37" t="str">
        <f t="array" ref="U863">IF($F863="","",IFERROR(INDEX(Config!$F:$F,MATCH($F863,Config!$D:$D,0)),0))</f>
        <v/>
      </c>
    </row>
    <row r="864" ht="15.0" customHeight="1">
      <c r="A864" s="34"/>
      <c r="B864" s="35"/>
      <c r="C864" s="15"/>
      <c r="D864" s="15"/>
      <c r="E864" s="15"/>
      <c r="F864" s="15"/>
      <c r="G864" s="36" t="str">
        <f t="array" ref="G864">IF($F864="","",IFERROR(INDEX(Config!$E:$E,MATCH($F864,Config!$D:$D,0)),0))</f>
        <v/>
      </c>
      <c r="H864" s="16"/>
      <c r="I864" s="36" t="str">
        <f t="shared" si="1"/>
        <v/>
      </c>
      <c r="J864" s="16"/>
      <c r="K864" s="15"/>
      <c r="L864" s="15"/>
      <c r="M864" s="36" t="str">
        <f t="array" ref="M864">IF($A864="","",IF($L864="Atendido",IFERROR($I864*INDEX(Config!$B:$B,MATCH($C864,Config!$A:$A,0)),0),0))</f>
        <v/>
      </c>
      <c r="N864" s="36" t="str">
        <f t="shared" si="2"/>
        <v/>
      </c>
      <c r="O864" s="36" t="str">
        <f t="shared" si="3"/>
        <v/>
      </c>
      <c r="P864" s="15"/>
      <c r="Q864" s="37" t="str">
        <f t="shared" si="4"/>
        <v/>
      </c>
      <c r="R864" s="37" t="str">
        <f t="shared" si="5"/>
        <v/>
      </c>
      <c r="S864" s="32" t="str">
        <f t="shared" si="6"/>
        <v/>
      </c>
      <c r="T864" s="37" t="str">
        <f t="shared" si="7"/>
        <v/>
      </c>
      <c r="U864" s="37" t="str">
        <f t="array" ref="U864">IF($F864="","",IFERROR(INDEX(Config!$F:$F,MATCH($F864,Config!$D:$D,0)),0))</f>
        <v/>
      </c>
    </row>
    <row r="865" ht="15.0" customHeight="1">
      <c r="A865" s="34"/>
      <c r="B865" s="35"/>
      <c r="C865" s="15"/>
      <c r="D865" s="15"/>
      <c r="E865" s="15"/>
      <c r="F865" s="15"/>
      <c r="G865" s="36" t="str">
        <f t="array" ref="G865">IF($F865="","",IFERROR(INDEX(Config!$E:$E,MATCH($F865,Config!$D:$D,0)),0))</f>
        <v/>
      </c>
      <c r="H865" s="16"/>
      <c r="I865" s="36" t="str">
        <f t="shared" si="1"/>
        <v/>
      </c>
      <c r="J865" s="16"/>
      <c r="K865" s="15"/>
      <c r="L865" s="15"/>
      <c r="M865" s="36" t="str">
        <f t="array" ref="M865">IF($A865="","",IF($L865="Atendido",IFERROR($I865*INDEX(Config!$B:$B,MATCH($C865,Config!$A:$A,0)),0),0))</f>
        <v/>
      </c>
      <c r="N865" s="36" t="str">
        <f t="shared" si="2"/>
        <v/>
      </c>
      <c r="O865" s="36" t="str">
        <f t="shared" si="3"/>
        <v/>
      </c>
      <c r="P865" s="15"/>
      <c r="Q865" s="37" t="str">
        <f t="shared" si="4"/>
        <v/>
      </c>
      <c r="R865" s="37" t="str">
        <f t="shared" si="5"/>
        <v/>
      </c>
      <c r="S865" s="32" t="str">
        <f t="shared" si="6"/>
        <v/>
      </c>
      <c r="T865" s="37" t="str">
        <f t="shared" si="7"/>
        <v/>
      </c>
      <c r="U865" s="37" t="str">
        <f t="array" ref="U865">IF($F865="","",IFERROR(INDEX(Config!$F:$F,MATCH($F865,Config!$D:$D,0)),0))</f>
        <v/>
      </c>
    </row>
    <row r="866" ht="15.0" customHeight="1">
      <c r="A866" s="34"/>
      <c r="B866" s="35"/>
      <c r="C866" s="15"/>
      <c r="D866" s="15"/>
      <c r="E866" s="15"/>
      <c r="F866" s="15"/>
      <c r="G866" s="36" t="str">
        <f t="array" ref="G866">IF($F866="","",IFERROR(INDEX(Config!$E:$E,MATCH($F866,Config!$D:$D,0)),0))</f>
        <v/>
      </c>
      <c r="H866" s="16"/>
      <c r="I866" s="36" t="str">
        <f t="shared" si="1"/>
        <v/>
      </c>
      <c r="J866" s="16"/>
      <c r="K866" s="15"/>
      <c r="L866" s="15"/>
      <c r="M866" s="36" t="str">
        <f t="array" ref="M866">IF($A866="","",IF($L866="Atendido",IFERROR($I866*INDEX(Config!$B:$B,MATCH($C866,Config!$A:$A,0)),0),0))</f>
        <v/>
      </c>
      <c r="N866" s="36" t="str">
        <f t="shared" si="2"/>
        <v/>
      </c>
      <c r="O866" s="36" t="str">
        <f t="shared" si="3"/>
        <v/>
      </c>
      <c r="P866" s="15"/>
      <c r="Q866" s="37" t="str">
        <f t="shared" si="4"/>
        <v/>
      </c>
      <c r="R866" s="37" t="str">
        <f t="shared" si="5"/>
        <v/>
      </c>
      <c r="S866" s="32" t="str">
        <f t="shared" si="6"/>
        <v/>
      </c>
      <c r="T866" s="37" t="str">
        <f t="shared" si="7"/>
        <v/>
      </c>
      <c r="U866" s="37" t="str">
        <f t="array" ref="U866">IF($F866="","",IFERROR(INDEX(Config!$F:$F,MATCH($F866,Config!$D:$D,0)),0))</f>
        <v/>
      </c>
    </row>
    <row r="867" ht="15.0" customHeight="1">
      <c r="A867" s="34"/>
      <c r="B867" s="35"/>
      <c r="C867" s="15"/>
      <c r="D867" s="15"/>
      <c r="E867" s="15"/>
      <c r="F867" s="15"/>
      <c r="G867" s="36" t="str">
        <f t="array" ref="G867">IF($F867="","",IFERROR(INDEX(Config!$E:$E,MATCH($F867,Config!$D:$D,0)),0))</f>
        <v/>
      </c>
      <c r="H867" s="16"/>
      <c r="I867" s="36" t="str">
        <f t="shared" si="1"/>
        <v/>
      </c>
      <c r="J867" s="16"/>
      <c r="K867" s="15"/>
      <c r="L867" s="15"/>
      <c r="M867" s="36" t="str">
        <f t="array" ref="M867">IF($A867="","",IF($L867="Atendido",IFERROR($I867*INDEX(Config!$B:$B,MATCH($C867,Config!$A:$A,0)),0),0))</f>
        <v/>
      </c>
      <c r="N867" s="36" t="str">
        <f t="shared" si="2"/>
        <v/>
      </c>
      <c r="O867" s="36" t="str">
        <f t="shared" si="3"/>
        <v/>
      </c>
      <c r="P867" s="15"/>
      <c r="Q867" s="37" t="str">
        <f t="shared" si="4"/>
        <v/>
      </c>
      <c r="R867" s="37" t="str">
        <f t="shared" si="5"/>
        <v/>
      </c>
      <c r="S867" s="32" t="str">
        <f t="shared" si="6"/>
        <v/>
      </c>
      <c r="T867" s="37" t="str">
        <f t="shared" si="7"/>
        <v/>
      </c>
      <c r="U867" s="37" t="str">
        <f t="array" ref="U867">IF($F867="","",IFERROR(INDEX(Config!$F:$F,MATCH($F867,Config!$D:$D,0)),0))</f>
        <v/>
      </c>
    </row>
    <row r="868" ht="15.0" customHeight="1">
      <c r="A868" s="34"/>
      <c r="B868" s="35"/>
      <c r="C868" s="15"/>
      <c r="D868" s="15"/>
      <c r="E868" s="15"/>
      <c r="F868" s="15"/>
      <c r="G868" s="36" t="str">
        <f t="array" ref="G868">IF($F868="","",IFERROR(INDEX(Config!$E:$E,MATCH($F868,Config!$D:$D,0)),0))</f>
        <v/>
      </c>
      <c r="H868" s="16"/>
      <c r="I868" s="36" t="str">
        <f t="shared" si="1"/>
        <v/>
      </c>
      <c r="J868" s="16"/>
      <c r="K868" s="15"/>
      <c r="L868" s="15"/>
      <c r="M868" s="36" t="str">
        <f t="array" ref="M868">IF($A868="","",IF($L868="Atendido",IFERROR($I868*INDEX(Config!$B:$B,MATCH($C868,Config!$A:$A,0)),0),0))</f>
        <v/>
      </c>
      <c r="N868" s="36" t="str">
        <f t="shared" si="2"/>
        <v/>
      </c>
      <c r="O868" s="36" t="str">
        <f t="shared" si="3"/>
        <v/>
      </c>
      <c r="P868" s="15"/>
      <c r="Q868" s="37" t="str">
        <f t="shared" si="4"/>
        <v/>
      </c>
      <c r="R868" s="37" t="str">
        <f t="shared" si="5"/>
        <v/>
      </c>
      <c r="S868" s="32" t="str">
        <f t="shared" si="6"/>
        <v/>
      </c>
      <c r="T868" s="37" t="str">
        <f t="shared" si="7"/>
        <v/>
      </c>
      <c r="U868" s="37" t="str">
        <f t="array" ref="U868">IF($F868="","",IFERROR(INDEX(Config!$F:$F,MATCH($F868,Config!$D:$D,0)),0))</f>
        <v/>
      </c>
    </row>
    <row r="869" ht="15.0" customHeight="1">
      <c r="A869" s="34"/>
      <c r="B869" s="35"/>
      <c r="C869" s="15"/>
      <c r="D869" s="15"/>
      <c r="E869" s="15"/>
      <c r="F869" s="15"/>
      <c r="G869" s="36" t="str">
        <f t="array" ref="G869">IF($F869="","",IFERROR(INDEX(Config!$E:$E,MATCH($F869,Config!$D:$D,0)),0))</f>
        <v/>
      </c>
      <c r="H869" s="16"/>
      <c r="I869" s="36" t="str">
        <f t="shared" si="1"/>
        <v/>
      </c>
      <c r="J869" s="16"/>
      <c r="K869" s="15"/>
      <c r="L869" s="15"/>
      <c r="M869" s="36" t="str">
        <f t="array" ref="M869">IF($A869="","",IF($L869="Atendido",IFERROR($I869*INDEX(Config!$B:$B,MATCH($C869,Config!$A:$A,0)),0),0))</f>
        <v/>
      </c>
      <c r="N869" s="36" t="str">
        <f t="shared" si="2"/>
        <v/>
      </c>
      <c r="O869" s="36" t="str">
        <f t="shared" si="3"/>
        <v/>
      </c>
      <c r="P869" s="15"/>
      <c r="Q869" s="37" t="str">
        <f t="shared" si="4"/>
        <v/>
      </c>
      <c r="R869" s="37" t="str">
        <f t="shared" si="5"/>
        <v/>
      </c>
      <c r="S869" s="32" t="str">
        <f t="shared" si="6"/>
        <v/>
      </c>
      <c r="T869" s="37" t="str">
        <f t="shared" si="7"/>
        <v/>
      </c>
      <c r="U869" s="37" t="str">
        <f t="array" ref="U869">IF($F869="","",IFERROR(INDEX(Config!$F:$F,MATCH($F869,Config!$D:$D,0)),0))</f>
        <v/>
      </c>
    </row>
    <row r="870" ht="15.0" customHeight="1">
      <c r="A870" s="34"/>
      <c r="B870" s="35"/>
      <c r="C870" s="15"/>
      <c r="D870" s="15"/>
      <c r="E870" s="15"/>
      <c r="F870" s="15"/>
      <c r="G870" s="36" t="str">
        <f t="array" ref="G870">IF($F870="","",IFERROR(INDEX(Config!$E:$E,MATCH($F870,Config!$D:$D,0)),0))</f>
        <v/>
      </c>
      <c r="H870" s="16"/>
      <c r="I870" s="36" t="str">
        <f t="shared" si="1"/>
        <v/>
      </c>
      <c r="J870" s="16"/>
      <c r="K870" s="15"/>
      <c r="L870" s="15"/>
      <c r="M870" s="36" t="str">
        <f t="array" ref="M870">IF($A870="","",IF($L870="Atendido",IFERROR($I870*INDEX(Config!$B:$B,MATCH($C870,Config!$A:$A,0)),0),0))</f>
        <v/>
      </c>
      <c r="N870" s="36" t="str">
        <f t="shared" si="2"/>
        <v/>
      </c>
      <c r="O870" s="36" t="str">
        <f t="shared" si="3"/>
        <v/>
      </c>
      <c r="P870" s="15"/>
      <c r="Q870" s="37" t="str">
        <f t="shared" si="4"/>
        <v/>
      </c>
      <c r="R870" s="37" t="str">
        <f t="shared" si="5"/>
        <v/>
      </c>
      <c r="S870" s="32" t="str">
        <f t="shared" si="6"/>
        <v/>
      </c>
      <c r="T870" s="37" t="str">
        <f t="shared" si="7"/>
        <v/>
      </c>
      <c r="U870" s="37" t="str">
        <f t="array" ref="U870">IF($F870="","",IFERROR(INDEX(Config!$F:$F,MATCH($F870,Config!$D:$D,0)),0))</f>
        <v/>
      </c>
    </row>
    <row r="871" ht="15.0" customHeight="1">
      <c r="A871" s="34"/>
      <c r="B871" s="35"/>
      <c r="C871" s="15"/>
      <c r="D871" s="15"/>
      <c r="E871" s="15"/>
      <c r="F871" s="15"/>
      <c r="G871" s="36" t="str">
        <f t="array" ref="G871">IF($F871="","",IFERROR(INDEX(Config!$E:$E,MATCH($F871,Config!$D:$D,0)),0))</f>
        <v/>
      </c>
      <c r="H871" s="16"/>
      <c r="I871" s="36" t="str">
        <f t="shared" si="1"/>
        <v/>
      </c>
      <c r="J871" s="16"/>
      <c r="K871" s="15"/>
      <c r="L871" s="15"/>
      <c r="M871" s="36" t="str">
        <f t="array" ref="M871">IF($A871="","",IF($L871="Atendido",IFERROR($I871*INDEX(Config!$B:$B,MATCH($C871,Config!$A:$A,0)),0),0))</f>
        <v/>
      </c>
      <c r="N871" s="36" t="str">
        <f t="shared" si="2"/>
        <v/>
      </c>
      <c r="O871" s="36" t="str">
        <f t="shared" si="3"/>
        <v/>
      </c>
      <c r="P871" s="15"/>
      <c r="Q871" s="37" t="str">
        <f t="shared" si="4"/>
        <v/>
      </c>
      <c r="R871" s="37" t="str">
        <f t="shared" si="5"/>
        <v/>
      </c>
      <c r="S871" s="32" t="str">
        <f t="shared" si="6"/>
        <v/>
      </c>
      <c r="T871" s="37" t="str">
        <f t="shared" si="7"/>
        <v/>
      </c>
      <c r="U871" s="37" t="str">
        <f t="array" ref="U871">IF($F871="","",IFERROR(INDEX(Config!$F:$F,MATCH($F871,Config!$D:$D,0)),0))</f>
        <v/>
      </c>
    </row>
    <row r="872" ht="15.0" customHeight="1">
      <c r="A872" s="34"/>
      <c r="B872" s="35"/>
      <c r="C872" s="15"/>
      <c r="D872" s="15"/>
      <c r="E872" s="15"/>
      <c r="F872" s="15"/>
      <c r="G872" s="36" t="str">
        <f t="array" ref="G872">IF($F872="","",IFERROR(INDEX(Config!$E:$E,MATCH($F872,Config!$D:$D,0)),0))</f>
        <v/>
      </c>
      <c r="H872" s="16"/>
      <c r="I872" s="36" t="str">
        <f t="shared" si="1"/>
        <v/>
      </c>
      <c r="J872" s="16"/>
      <c r="K872" s="15"/>
      <c r="L872" s="15"/>
      <c r="M872" s="36" t="str">
        <f t="array" ref="M872">IF($A872="","",IF($L872="Atendido",IFERROR($I872*INDEX(Config!$B:$B,MATCH($C872,Config!$A:$A,0)),0),0))</f>
        <v/>
      </c>
      <c r="N872" s="36" t="str">
        <f t="shared" si="2"/>
        <v/>
      </c>
      <c r="O872" s="36" t="str">
        <f t="shared" si="3"/>
        <v/>
      </c>
      <c r="P872" s="15"/>
      <c r="Q872" s="37" t="str">
        <f t="shared" si="4"/>
        <v/>
      </c>
      <c r="R872" s="37" t="str">
        <f t="shared" si="5"/>
        <v/>
      </c>
      <c r="S872" s="32" t="str">
        <f t="shared" si="6"/>
        <v/>
      </c>
      <c r="T872" s="37" t="str">
        <f t="shared" si="7"/>
        <v/>
      </c>
      <c r="U872" s="37" t="str">
        <f t="array" ref="U872">IF($F872="","",IFERROR(INDEX(Config!$F:$F,MATCH($F872,Config!$D:$D,0)),0))</f>
        <v/>
      </c>
    </row>
    <row r="873" ht="15.0" customHeight="1">
      <c r="A873" s="34"/>
      <c r="B873" s="35"/>
      <c r="C873" s="15"/>
      <c r="D873" s="15"/>
      <c r="E873" s="15"/>
      <c r="F873" s="15"/>
      <c r="G873" s="36" t="str">
        <f t="array" ref="G873">IF($F873="","",IFERROR(INDEX(Config!$E:$E,MATCH($F873,Config!$D:$D,0)),0))</f>
        <v/>
      </c>
      <c r="H873" s="16"/>
      <c r="I873" s="36" t="str">
        <f t="shared" si="1"/>
        <v/>
      </c>
      <c r="J873" s="16"/>
      <c r="K873" s="15"/>
      <c r="L873" s="15"/>
      <c r="M873" s="36" t="str">
        <f t="array" ref="M873">IF($A873="","",IF($L873="Atendido",IFERROR($I873*INDEX(Config!$B:$B,MATCH($C873,Config!$A:$A,0)),0),0))</f>
        <v/>
      </c>
      <c r="N873" s="36" t="str">
        <f t="shared" si="2"/>
        <v/>
      </c>
      <c r="O873" s="36" t="str">
        <f t="shared" si="3"/>
        <v/>
      </c>
      <c r="P873" s="15"/>
      <c r="Q873" s="37" t="str">
        <f t="shared" si="4"/>
        <v/>
      </c>
      <c r="R873" s="37" t="str">
        <f t="shared" si="5"/>
        <v/>
      </c>
      <c r="S873" s="32" t="str">
        <f t="shared" si="6"/>
        <v/>
      </c>
      <c r="T873" s="37" t="str">
        <f t="shared" si="7"/>
        <v/>
      </c>
      <c r="U873" s="37" t="str">
        <f t="array" ref="U873">IF($F873="","",IFERROR(INDEX(Config!$F:$F,MATCH($F873,Config!$D:$D,0)),0))</f>
        <v/>
      </c>
    </row>
    <row r="874" ht="15.0" customHeight="1">
      <c r="A874" s="34"/>
      <c r="B874" s="35"/>
      <c r="C874" s="15"/>
      <c r="D874" s="15"/>
      <c r="E874" s="15"/>
      <c r="F874" s="15"/>
      <c r="G874" s="36" t="str">
        <f t="array" ref="G874">IF($F874="","",IFERROR(INDEX(Config!$E:$E,MATCH($F874,Config!$D:$D,0)),0))</f>
        <v/>
      </c>
      <c r="H874" s="16"/>
      <c r="I874" s="36" t="str">
        <f t="shared" si="1"/>
        <v/>
      </c>
      <c r="J874" s="16"/>
      <c r="K874" s="15"/>
      <c r="L874" s="15"/>
      <c r="M874" s="36" t="str">
        <f t="array" ref="M874">IF($A874="","",IF($L874="Atendido",IFERROR($I874*INDEX(Config!$B:$B,MATCH($C874,Config!$A:$A,0)),0),0))</f>
        <v/>
      </c>
      <c r="N874" s="36" t="str">
        <f t="shared" si="2"/>
        <v/>
      </c>
      <c r="O874" s="36" t="str">
        <f t="shared" si="3"/>
        <v/>
      </c>
      <c r="P874" s="15"/>
      <c r="Q874" s="37" t="str">
        <f t="shared" si="4"/>
        <v/>
      </c>
      <c r="R874" s="37" t="str">
        <f t="shared" si="5"/>
        <v/>
      </c>
      <c r="S874" s="32" t="str">
        <f t="shared" si="6"/>
        <v/>
      </c>
      <c r="T874" s="37" t="str">
        <f t="shared" si="7"/>
        <v/>
      </c>
      <c r="U874" s="37" t="str">
        <f t="array" ref="U874">IF($F874="","",IFERROR(INDEX(Config!$F:$F,MATCH($F874,Config!$D:$D,0)),0))</f>
        <v/>
      </c>
    </row>
    <row r="875" ht="15.0" customHeight="1">
      <c r="A875" s="34"/>
      <c r="B875" s="35"/>
      <c r="C875" s="15"/>
      <c r="D875" s="15"/>
      <c r="E875" s="15"/>
      <c r="F875" s="15"/>
      <c r="G875" s="36" t="str">
        <f t="array" ref="G875">IF($F875="","",IFERROR(INDEX(Config!$E:$E,MATCH($F875,Config!$D:$D,0)),0))</f>
        <v/>
      </c>
      <c r="H875" s="16"/>
      <c r="I875" s="36" t="str">
        <f t="shared" si="1"/>
        <v/>
      </c>
      <c r="J875" s="16"/>
      <c r="K875" s="15"/>
      <c r="L875" s="15"/>
      <c r="M875" s="36" t="str">
        <f t="array" ref="M875">IF($A875="","",IF($L875="Atendido",IFERROR($I875*INDEX(Config!$B:$B,MATCH($C875,Config!$A:$A,0)),0),0))</f>
        <v/>
      </c>
      <c r="N875" s="36" t="str">
        <f t="shared" si="2"/>
        <v/>
      </c>
      <c r="O875" s="36" t="str">
        <f t="shared" si="3"/>
        <v/>
      </c>
      <c r="P875" s="15"/>
      <c r="Q875" s="37" t="str">
        <f t="shared" si="4"/>
        <v/>
      </c>
      <c r="R875" s="37" t="str">
        <f t="shared" si="5"/>
        <v/>
      </c>
      <c r="S875" s="32" t="str">
        <f t="shared" si="6"/>
        <v/>
      </c>
      <c r="T875" s="37" t="str">
        <f t="shared" si="7"/>
        <v/>
      </c>
      <c r="U875" s="37" t="str">
        <f t="array" ref="U875">IF($F875="","",IFERROR(INDEX(Config!$F:$F,MATCH($F875,Config!$D:$D,0)),0))</f>
        <v/>
      </c>
    </row>
    <row r="876" ht="15.0" customHeight="1">
      <c r="A876" s="34"/>
      <c r="B876" s="35"/>
      <c r="C876" s="15"/>
      <c r="D876" s="15"/>
      <c r="E876" s="15"/>
      <c r="F876" s="15"/>
      <c r="G876" s="36" t="str">
        <f t="array" ref="G876">IF($F876="","",IFERROR(INDEX(Config!$E:$E,MATCH($F876,Config!$D:$D,0)),0))</f>
        <v/>
      </c>
      <c r="H876" s="16"/>
      <c r="I876" s="36" t="str">
        <f t="shared" si="1"/>
        <v/>
      </c>
      <c r="J876" s="16"/>
      <c r="K876" s="15"/>
      <c r="L876" s="15"/>
      <c r="M876" s="36" t="str">
        <f t="array" ref="M876">IF($A876="","",IF($L876="Atendido",IFERROR($I876*INDEX(Config!$B:$B,MATCH($C876,Config!$A:$A,0)),0),0))</f>
        <v/>
      </c>
      <c r="N876" s="36" t="str">
        <f t="shared" si="2"/>
        <v/>
      </c>
      <c r="O876" s="36" t="str">
        <f t="shared" si="3"/>
        <v/>
      </c>
      <c r="P876" s="15"/>
      <c r="Q876" s="37" t="str">
        <f t="shared" si="4"/>
        <v/>
      </c>
      <c r="R876" s="37" t="str">
        <f t="shared" si="5"/>
        <v/>
      </c>
      <c r="S876" s="32" t="str">
        <f t="shared" si="6"/>
        <v/>
      </c>
      <c r="T876" s="37" t="str">
        <f t="shared" si="7"/>
        <v/>
      </c>
      <c r="U876" s="37" t="str">
        <f t="array" ref="U876">IF($F876="","",IFERROR(INDEX(Config!$F:$F,MATCH($F876,Config!$D:$D,0)),0))</f>
        <v/>
      </c>
    </row>
    <row r="877" ht="15.0" customHeight="1">
      <c r="A877" s="34"/>
      <c r="B877" s="35"/>
      <c r="C877" s="15"/>
      <c r="D877" s="15"/>
      <c r="E877" s="15"/>
      <c r="F877" s="15"/>
      <c r="G877" s="36" t="str">
        <f t="array" ref="G877">IF($F877="","",IFERROR(INDEX(Config!$E:$E,MATCH($F877,Config!$D:$D,0)),0))</f>
        <v/>
      </c>
      <c r="H877" s="16"/>
      <c r="I877" s="36" t="str">
        <f t="shared" si="1"/>
        <v/>
      </c>
      <c r="J877" s="16"/>
      <c r="K877" s="15"/>
      <c r="L877" s="15"/>
      <c r="M877" s="36" t="str">
        <f t="array" ref="M877">IF($A877="","",IF($L877="Atendido",IFERROR($I877*INDEX(Config!$B:$B,MATCH($C877,Config!$A:$A,0)),0),0))</f>
        <v/>
      </c>
      <c r="N877" s="36" t="str">
        <f t="shared" si="2"/>
        <v/>
      </c>
      <c r="O877" s="36" t="str">
        <f t="shared" si="3"/>
        <v/>
      </c>
      <c r="P877" s="15"/>
      <c r="Q877" s="37" t="str">
        <f t="shared" si="4"/>
        <v/>
      </c>
      <c r="R877" s="37" t="str">
        <f t="shared" si="5"/>
        <v/>
      </c>
      <c r="S877" s="32" t="str">
        <f t="shared" si="6"/>
        <v/>
      </c>
      <c r="T877" s="37" t="str">
        <f t="shared" si="7"/>
        <v/>
      </c>
      <c r="U877" s="37" t="str">
        <f t="array" ref="U877">IF($F877="","",IFERROR(INDEX(Config!$F:$F,MATCH($F877,Config!$D:$D,0)),0))</f>
        <v/>
      </c>
    </row>
    <row r="878" ht="15.0" customHeight="1">
      <c r="A878" s="34"/>
      <c r="B878" s="35"/>
      <c r="C878" s="15"/>
      <c r="D878" s="15"/>
      <c r="E878" s="15"/>
      <c r="F878" s="15"/>
      <c r="G878" s="36" t="str">
        <f t="array" ref="G878">IF($F878="","",IFERROR(INDEX(Config!$E:$E,MATCH($F878,Config!$D:$D,0)),0))</f>
        <v/>
      </c>
      <c r="H878" s="16"/>
      <c r="I878" s="36" t="str">
        <f t="shared" si="1"/>
        <v/>
      </c>
      <c r="J878" s="16"/>
      <c r="K878" s="15"/>
      <c r="L878" s="15"/>
      <c r="M878" s="36" t="str">
        <f t="array" ref="M878">IF($A878="","",IF($L878="Atendido",IFERROR($I878*INDEX(Config!$B:$B,MATCH($C878,Config!$A:$A,0)),0),0))</f>
        <v/>
      </c>
      <c r="N878" s="36" t="str">
        <f t="shared" si="2"/>
        <v/>
      </c>
      <c r="O878" s="36" t="str">
        <f t="shared" si="3"/>
        <v/>
      </c>
      <c r="P878" s="15"/>
      <c r="Q878" s="37" t="str">
        <f t="shared" si="4"/>
        <v/>
      </c>
      <c r="R878" s="37" t="str">
        <f t="shared" si="5"/>
        <v/>
      </c>
      <c r="S878" s="32" t="str">
        <f t="shared" si="6"/>
        <v/>
      </c>
      <c r="T878" s="37" t="str">
        <f t="shared" si="7"/>
        <v/>
      </c>
      <c r="U878" s="37" t="str">
        <f t="array" ref="U878">IF($F878="","",IFERROR(INDEX(Config!$F:$F,MATCH($F878,Config!$D:$D,0)),0))</f>
        <v/>
      </c>
    </row>
    <row r="879" ht="15.0" customHeight="1">
      <c r="A879" s="34"/>
      <c r="B879" s="35"/>
      <c r="C879" s="15"/>
      <c r="D879" s="15"/>
      <c r="E879" s="15"/>
      <c r="F879" s="15"/>
      <c r="G879" s="36" t="str">
        <f t="array" ref="G879">IF($F879="","",IFERROR(INDEX(Config!$E:$E,MATCH($F879,Config!$D:$D,0)),0))</f>
        <v/>
      </c>
      <c r="H879" s="16"/>
      <c r="I879" s="36" t="str">
        <f t="shared" si="1"/>
        <v/>
      </c>
      <c r="J879" s="16"/>
      <c r="K879" s="15"/>
      <c r="L879" s="15"/>
      <c r="M879" s="36" t="str">
        <f t="array" ref="M879">IF($A879="","",IF($L879="Atendido",IFERROR($I879*INDEX(Config!$B:$B,MATCH($C879,Config!$A:$A,0)),0),0))</f>
        <v/>
      </c>
      <c r="N879" s="36" t="str">
        <f t="shared" si="2"/>
        <v/>
      </c>
      <c r="O879" s="36" t="str">
        <f t="shared" si="3"/>
        <v/>
      </c>
      <c r="P879" s="15"/>
      <c r="Q879" s="37" t="str">
        <f t="shared" si="4"/>
        <v/>
      </c>
      <c r="R879" s="37" t="str">
        <f t="shared" si="5"/>
        <v/>
      </c>
      <c r="S879" s="32" t="str">
        <f t="shared" si="6"/>
        <v/>
      </c>
      <c r="T879" s="37" t="str">
        <f t="shared" si="7"/>
        <v/>
      </c>
      <c r="U879" s="37" t="str">
        <f t="array" ref="U879">IF($F879="","",IFERROR(INDEX(Config!$F:$F,MATCH($F879,Config!$D:$D,0)),0))</f>
        <v/>
      </c>
    </row>
    <row r="880" ht="15.0" customHeight="1">
      <c r="A880" s="34"/>
      <c r="B880" s="35"/>
      <c r="C880" s="15"/>
      <c r="D880" s="15"/>
      <c r="E880" s="15"/>
      <c r="F880" s="15"/>
      <c r="G880" s="36" t="str">
        <f t="array" ref="G880">IF($F880="","",IFERROR(INDEX(Config!$E:$E,MATCH($F880,Config!$D:$D,0)),0))</f>
        <v/>
      </c>
      <c r="H880" s="16"/>
      <c r="I880" s="36" t="str">
        <f t="shared" si="1"/>
        <v/>
      </c>
      <c r="J880" s="16"/>
      <c r="K880" s="15"/>
      <c r="L880" s="15"/>
      <c r="M880" s="36" t="str">
        <f t="array" ref="M880">IF($A880="","",IF($L880="Atendido",IFERROR($I880*INDEX(Config!$B:$B,MATCH($C880,Config!$A:$A,0)),0),0))</f>
        <v/>
      </c>
      <c r="N880" s="36" t="str">
        <f t="shared" si="2"/>
        <v/>
      </c>
      <c r="O880" s="36" t="str">
        <f t="shared" si="3"/>
        <v/>
      </c>
      <c r="P880" s="15"/>
      <c r="Q880" s="37" t="str">
        <f t="shared" si="4"/>
        <v/>
      </c>
      <c r="R880" s="37" t="str">
        <f t="shared" si="5"/>
        <v/>
      </c>
      <c r="S880" s="32" t="str">
        <f t="shared" si="6"/>
        <v/>
      </c>
      <c r="T880" s="37" t="str">
        <f t="shared" si="7"/>
        <v/>
      </c>
      <c r="U880" s="37" t="str">
        <f t="array" ref="U880">IF($F880="","",IFERROR(INDEX(Config!$F:$F,MATCH($F880,Config!$D:$D,0)),0))</f>
        <v/>
      </c>
    </row>
    <row r="881" ht="15.0" customHeight="1">
      <c r="A881" s="34"/>
      <c r="B881" s="35"/>
      <c r="C881" s="15"/>
      <c r="D881" s="15"/>
      <c r="E881" s="15"/>
      <c r="F881" s="15"/>
      <c r="G881" s="36" t="str">
        <f t="array" ref="G881">IF($F881="","",IFERROR(INDEX(Config!$E:$E,MATCH($F881,Config!$D:$D,0)),0))</f>
        <v/>
      </c>
      <c r="H881" s="16"/>
      <c r="I881" s="36" t="str">
        <f t="shared" si="1"/>
        <v/>
      </c>
      <c r="J881" s="16"/>
      <c r="K881" s="15"/>
      <c r="L881" s="15"/>
      <c r="M881" s="36" t="str">
        <f t="array" ref="M881">IF($A881="","",IF($L881="Atendido",IFERROR($I881*INDEX(Config!$B:$B,MATCH($C881,Config!$A:$A,0)),0),0))</f>
        <v/>
      </c>
      <c r="N881" s="36" t="str">
        <f t="shared" si="2"/>
        <v/>
      </c>
      <c r="O881" s="36" t="str">
        <f t="shared" si="3"/>
        <v/>
      </c>
      <c r="P881" s="15"/>
      <c r="Q881" s="37" t="str">
        <f t="shared" si="4"/>
        <v/>
      </c>
      <c r="R881" s="37" t="str">
        <f t="shared" si="5"/>
        <v/>
      </c>
      <c r="S881" s="32" t="str">
        <f t="shared" si="6"/>
        <v/>
      </c>
      <c r="T881" s="37" t="str">
        <f t="shared" si="7"/>
        <v/>
      </c>
      <c r="U881" s="37" t="str">
        <f t="array" ref="U881">IF($F881="","",IFERROR(INDEX(Config!$F:$F,MATCH($F881,Config!$D:$D,0)),0))</f>
        <v/>
      </c>
    </row>
    <row r="882" ht="15.0" customHeight="1">
      <c r="A882" s="34"/>
      <c r="B882" s="35"/>
      <c r="C882" s="15"/>
      <c r="D882" s="15"/>
      <c r="E882" s="15"/>
      <c r="F882" s="15"/>
      <c r="G882" s="36" t="str">
        <f t="array" ref="G882">IF($F882="","",IFERROR(INDEX(Config!$E:$E,MATCH($F882,Config!$D:$D,0)),0))</f>
        <v/>
      </c>
      <c r="H882" s="16"/>
      <c r="I882" s="36" t="str">
        <f t="shared" si="1"/>
        <v/>
      </c>
      <c r="J882" s="16"/>
      <c r="K882" s="15"/>
      <c r="L882" s="15"/>
      <c r="M882" s="36" t="str">
        <f t="array" ref="M882">IF($A882="","",IF($L882="Atendido",IFERROR($I882*INDEX(Config!$B:$B,MATCH($C882,Config!$A:$A,0)),0),0))</f>
        <v/>
      </c>
      <c r="N882" s="36" t="str">
        <f t="shared" si="2"/>
        <v/>
      </c>
      <c r="O882" s="36" t="str">
        <f t="shared" si="3"/>
        <v/>
      </c>
      <c r="P882" s="15"/>
      <c r="Q882" s="37" t="str">
        <f t="shared" si="4"/>
        <v/>
      </c>
      <c r="R882" s="37" t="str">
        <f t="shared" si="5"/>
        <v/>
      </c>
      <c r="S882" s="32" t="str">
        <f t="shared" si="6"/>
        <v/>
      </c>
      <c r="T882" s="37" t="str">
        <f t="shared" si="7"/>
        <v/>
      </c>
      <c r="U882" s="37" t="str">
        <f t="array" ref="U882">IF($F882="","",IFERROR(INDEX(Config!$F:$F,MATCH($F882,Config!$D:$D,0)),0))</f>
        <v/>
      </c>
    </row>
    <row r="883" ht="15.0" customHeight="1">
      <c r="A883" s="34"/>
      <c r="B883" s="35"/>
      <c r="C883" s="15"/>
      <c r="D883" s="15"/>
      <c r="E883" s="15"/>
      <c r="F883" s="15"/>
      <c r="G883" s="36" t="str">
        <f t="array" ref="G883">IF($F883="","",IFERROR(INDEX(Config!$E:$E,MATCH($F883,Config!$D:$D,0)),0))</f>
        <v/>
      </c>
      <c r="H883" s="16"/>
      <c r="I883" s="36" t="str">
        <f t="shared" si="1"/>
        <v/>
      </c>
      <c r="J883" s="16"/>
      <c r="K883" s="15"/>
      <c r="L883" s="15"/>
      <c r="M883" s="36" t="str">
        <f t="array" ref="M883">IF($A883="","",IF($L883="Atendido",IFERROR($I883*INDEX(Config!$B:$B,MATCH($C883,Config!$A:$A,0)),0),0))</f>
        <v/>
      </c>
      <c r="N883" s="36" t="str">
        <f t="shared" si="2"/>
        <v/>
      </c>
      <c r="O883" s="36" t="str">
        <f t="shared" si="3"/>
        <v/>
      </c>
      <c r="P883" s="15"/>
      <c r="Q883" s="37" t="str">
        <f t="shared" si="4"/>
        <v/>
      </c>
      <c r="R883" s="37" t="str">
        <f t="shared" si="5"/>
        <v/>
      </c>
      <c r="S883" s="32" t="str">
        <f t="shared" si="6"/>
        <v/>
      </c>
      <c r="T883" s="37" t="str">
        <f t="shared" si="7"/>
        <v/>
      </c>
      <c r="U883" s="37" t="str">
        <f t="array" ref="U883">IF($F883="","",IFERROR(INDEX(Config!$F:$F,MATCH($F883,Config!$D:$D,0)),0))</f>
        <v/>
      </c>
    </row>
    <row r="884" ht="15.0" customHeight="1">
      <c r="A884" s="34"/>
      <c r="B884" s="35"/>
      <c r="C884" s="15"/>
      <c r="D884" s="15"/>
      <c r="E884" s="15"/>
      <c r="F884" s="15"/>
      <c r="G884" s="36" t="str">
        <f t="array" ref="G884">IF($F884="","",IFERROR(INDEX(Config!$E:$E,MATCH($F884,Config!$D:$D,0)),0))</f>
        <v/>
      </c>
      <c r="H884" s="16"/>
      <c r="I884" s="36" t="str">
        <f t="shared" si="1"/>
        <v/>
      </c>
      <c r="J884" s="16"/>
      <c r="K884" s="15"/>
      <c r="L884" s="15"/>
      <c r="M884" s="36" t="str">
        <f t="array" ref="M884">IF($A884="","",IF($L884="Atendido",IFERROR($I884*INDEX(Config!$B:$B,MATCH($C884,Config!$A:$A,0)),0),0))</f>
        <v/>
      </c>
      <c r="N884" s="36" t="str">
        <f t="shared" si="2"/>
        <v/>
      </c>
      <c r="O884" s="36" t="str">
        <f t="shared" si="3"/>
        <v/>
      </c>
      <c r="P884" s="15"/>
      <c r="Q884" s="37" t="str">
        <f t="shared" si="4"/>
        <v/>
      </c>
      <c r="R884" s="37" t="str">
        <f t="shared" si="5"/>
        <v/>
      </c>
      <c r="S884" s="32" t="str">
        <f t="shared" si="6"/>
        <v/>
      </c>
      <c r="T884" s="37" t="str">
        <f t="shared" si="7"/>
        <v/>
      </c>
      <c r="U884" s="37" t="str">
        <f t="array" ref="U884">IF($F884="","",IFERROR(INDEX(Config!$F:$F,MATCH($F884,Config!$D:$D,0)),0))</f>
        <v/>
      </c>
    </row>
    <row r="885" ht="15.0" customHeight="1">
      <c r="A885" s="34"/>
      <c r="B885" s="35"/>
      <c r="C885" s="15"/>
      <c r="D885" s="15"/>
      <c r="E885" s="15"/>
      <c r="F885" s="15"/>
      <c r="G885" s="36" t="str">
        <f t="array" ref="G885">IF($F885="","",IFERROR(INDEX(Config!$E:$E,MATCH($F885,Config!$D:$D,0)),0))</f>
        <v/>
      </c>
      <c r="H885" s="16"/>
      <c r="I885" s="36" t="str">
        <f t="shared" si="1"/>
        <v/>
      </c>
      <c r="J885" s="16"/>
      <c r="K885" s="15"/>
      <c r="L885" s="15"/>
      <c r="M885" s="36" t="str">
        <f t="array" ref="M885">IF($A885="","",IF($L885="Atendido",IFERROR($I885*INDEX(Config!$B:$B,MATCH($C885,Config!$A:$A,0)),0),0))</f>
        <v/>
      </c>
      <c r="N885" s="36" t="str">
        <f t="shared" si="2"/>
        <v/>
      </c>
      <c r="O885" s="36" t="str">
        <f t="shared" si="3"/>
        <v/>
      </c>
      <c r="P885" s="15"/>
      <c r="Q885" s="37" t="str">
        <f t="shared" si="4"/>
        <v/>
      </c>
      <c r="R885" s="37" t="str">
        <f t="shared" si="5"/>
        <v/>
      </c>
      <c r="S885" s="32" t="str">
        <f t="shared" si="6"/>
        <v/>
      </c>
      <c r="T885" s="37" t="str">
        <f t="shared" si="7"/>
        <v/>
      </c>
      <c r="U885" s="37" t="str">
        <f t="array" ref="U885">IF($F885="","",IFERROR(INDEX(Config!$F:$F,MATCH($F885,Config!$D:$D,0)),0))</f>
        <v/>
      </c>
    </row>
    <row r="886" ht="15.0" customHeight="1">
      <c r="A886" s="34"/>
      <c r="B886" s="35"/>
      <c r="C886" s="15"/>
      <c r="D886" s="15"/>
      <c r="E886" s="15"/>
      <c r="F886" s="15"/>
      <c r="G886" s="36" t="str">
        <f t="array" ref="G886">IF($F886="","",IFERROR(INDEX(Config!$E:$E,MATCH($F886,Config!$D:$D,0)),0))</f>
        <v/>
      </c>
      <c r="H886" s="16"/>
      <c r="I886" s="36" t="str">
        <f t="shared" si="1"/>
        <v/>
      </c>
      <c r="J886" s="16"/>
      <c r="K886" s="15"/>
      <c r="L886" s="15"/>
      <c r="M886" s="36" t="str">
        <f t="array" ref="M886">IF($A886="","",IF($L886="Atendido",IFERROR($I886*INDEX(Config!$B:$B,MATCH($C886,Config!$A:$A,0)),0),0))</f>
        <v/>
      </c>
      <c r="N886" s="36" t="str">
        <f t="shared" si="2"/>
        <v/>
      </c>
      <c r="O886" s="36" t="str">
        <f t="shared" si="3"/>
        <v/>
      </c>
      <c r="P886" s="15"/>
      <c r="Q886" s="37" t="str">
        <f t="shared" si="4"/>
        <v/>
      </c>
      <c r="R886" s="37" t="str">
        <f t="shared" si="5"/>
        <v/>
      </c>
      <c r="S886" s="32" t="str">
        <f t="shared" si="6"/>
        <v/>
      </c>
      <c r="T886" s="37" t="str">
        <f t="shared" si="7"/>
        <v/>
      </c>
      <c r="U886" s="37" t="str">
        <f t="array" ref="U886">IF($F886="","",IFERROR(INDEX(Config!$F:$F,MATCH($F886,Config!$D:$D,0)),0))</f>
        <v/>
      </c>
    </row>
    <row r="887" ht="15.0" customHeight="1">
      <c r="A887" s="34"/>
      <c r="B887" s="35"/>
      <c r="C887" s="15"/>
      <c r="D887" s="15"/>
      <c r="E887" s="15"/>
      <c r="F887" s="15"/>
      <c r="G887" s="36" t="str">
        <f t="array" ref="G887">IF($F887="","",IFERROR(INDEX(Config!$E:$E,MATCH($F887,Config!$D:$D,0)),0))</f>
        <v/>
      </c>
      <c r="H887" s="16"/>
      <c r="I887" s="36" t="str">
        <f t="shared" si="1"/>
        <v/>
      </c>
      <c r="J887" s="16"/>
      <c r="K887" s="15"/>
      <c r="L887" s="15"/>
      <c r="M887" s="36" t="str">
        <f t="array" ref="M887">IF($A887="","",IF($L887="Atendido",IFERROR($I887*INDEX(Config!$B:$B,MATCH($C887,Config!$A:$A,0)),0),0))</f>
        <v/>
      </c>
      <c r="N887" s="36" t="str">
        <f t="shared" si="2"/>
        <v/>
      </c>
      <c r="O887" s="36" t="str">
        <f t="shared" si="3"/>
        <v/>
      </c>
      <c r="P887" s="15"/>
      <c r="Q887" s="37" t="str">
        <f t="shared" si="4"/>
        <v/>
      </c>
      <c r="R887" s="37" t="str">
        <f t="shared" si="5"/>
        <v/>
      </c>
      <c r="S887" s="32" t="str">
        <f t="shared" si="6"/>
        <v/>
      </c>
      <c r="T887" s="37" t="str">
        <f t="shared" si="7"/>
        <v/>
      </c>
      <c r="U887" s="37" t="str">
        <f t="array" ref="U887">IF($F887="","",IFERROR(INDEX(Config!$F:$F,MATCH($F887,Config!$D:$D,0)),0))</f>
        <v/>
      </c>
    </row>
    <row r="888" ht="15.0" customHeight="1">
      <c r="A888" s="34"/>
      <c r="B888" s="35"/>
      <c r="C888" s="15"/>
      <c r="D888" s="15"/>
      <c r="E888" s="15"/>
      <c r="F888" s="15"/>
      <c r="G888" s="36" t="str">
        <f t="array" ref="G888">IF($F888="","",IFERROR(INDEX(Config!$E:$E,MATCH($F888,Config!$D:$D,0)),0))</f>
        <v/>
      </c>
      <c r="H888" s="16"/>
      <c r="I888" s="36" t="str">
        <f t="shared" si="1"/>
        <v/>
      </c>
      <c r="J888" s="16"/>
      <c r="K888" s="15"/>
      <c r="L888" s="15"/>
      <c r="M888" s="36" t="str">
        <f t="array" ref="M888">IF($A888="","",IF($L888="Atendido",IFERROR($I888*INDEX(Config!$B:$B,MATCH($C888,Config!$A:$A,0)),0),0))</f>
        <v/>
      </c>
      <c r="N888" s="36" t="str">
        <f t="shared" si="2"/>
        <v/>
      </c>
      <c r="O888" s="36" t="str">
        <f t="shared" si="3"/>
        <v/>
      </c>
      <c r="P888" s="15"/>
      <c r="Q888" s="37" t="str">
        <f t="shared" si="4"/>
        <v/>
      </c>
      <c r="R888" s="37" t="str">
        <f t="shared" si="5"/>
        <v/>
      </c>
      <c r="S888" s="32" t="str">
        <f t="shared" si="6"/>
        <v/>
      </c>
      <c r="T888" s="37" t="str">
        <f t="shared" si="7"/>
        <v/>
      </c>
      <c r="U888" s="37" t="str">
        <f t="array" ref="U888">IF($F888="","",IFERROR(INDEX(Config!$F:$F,MATCH($F888,Config!$D:$D,0)),0))</f>
        <v/>
      </c>
    </row>
    <row r="889" ht="15.0" customHeight="1">
      <c r="A889" s="34"/>
      <c r="B889" s="35"/>
      <c r="C889" s="15"/>
      <c r="D889" s="15"/>
      <c r="E889" s="15"/>
      <c r="F889" s="15"/>
      <c r="G889" s="36" t="str">
        <f t="array" ref="G889">IF($F889="","",IFERROR(INDEX(Config!$E:$E,MATCH($F889,Config!$D:$D,0)),0))</f>
        <v/>
      </c>
      <c r="H889" s="16"/>
      <c r="I889" s="36" t="str">
        <f t="shared" si="1"/>
        <v/>
      </c>
      <c r="J889" s="16"/>
      <c r="K889" s="15"/>
      <c r="L889" s="15"/>
      <c r="M889" s="36" t="str">
        <f t="array" ref="M889">IF($A889="","",IF($L889="Atendido",IFERROR($I889*INDEX(Config!$B:$B,MATCH($C889,Config!$A:$A,0)),0),0))</f>
        <v/>
      </c>
      <c r="N889" s="36" t="str">
        <f t="shared" si="2"/>
        <v/>
      </c>
      <c r="O889" s="36" t="str">
        <f t="shared" si="3"/>
        <v/>
      </c>
      <c r="P889" s="15"/>
      <c r="Q889" s="37" t="str">
        <f t="shared" si="4"/>
        <v/>
      </c>
      <c r="R889" s="37" t="str">
        <f t="shared" si="5"/>
        <v/>
      </c>
      <c r="S889" s="32" t="str">
        <f t="shared" si="6"/>
        <v/>
      </c>
      <c r="T889" s="37" t="str">
        <f t="shared" si="7"/>
        <v/>
      </c>
      <c r="U889" s="37" t="str">
        <f t="array" ref="U889">IF($F889="","",IFERROR(INDEX(Config!$F:$F,MATCH($F889,Config!$D:$D,0)),0))</f>
        <v/>
      </c>
    </row>
    <row r="890" ht="15.0" customHeight="1">
      <c r="A890" s="34"/>
      <c r="B890" s="35"/>
      <c r="C890" s="15"/>
      <c r="D890" s="15"/>
      <c r="E890" s="15"/>
      <c r="F890" s="15"/>
      <c r="G890" s="36" t="str">
        <f t="array" ref="G890">IF($F890="","",IFERROR(INDEX(Config!$E:$E,MATCH($F890,Config!$D:$D,0)),0))</f>
        <v/>
      </c>
      <c r="H890" s="16"/>
      <c r="I890" s="36" t="str">
        <f t="shared" si="1"/>
        <v/>
      </c>
      <c r="J890" s="16"/>
      <c r="K890" s="15"/>
      <c r="L890" s="15"/>
      <c r="M890" s="36" t="str">
        <f t="array" ref="M890">IF($A890="","",IF($L890="Atendido",IFERROR($I890*INDEX(Config!$B:$B,MATCH($C890,Config!$A:$A,0)),0),0))</f>
        <v/>
      </c>
      <c r="N890" s="36" t="str">
        <f t="shared" si="2"/>
        <v/>
      </c>
      <c r="O890" s="36" t="str">
        <f t="shared" si="3"/>
        <v/>
      </c>
      <c r="P890" s="15"/>
      <c r="Q890" s="37" t="str">
        <f t="shared" si="4"/>
        <v/>
      </c>
      <c r="R890" s="37" t="str">
        <f t="shared" si="5"/>
        <v/>
      </c>
      <c r="S890" s="32" t="str">
        <f t="shared" si="6"/>
        <v/>
      </c>
      <c r="T890" s="37" t="str">
        <f t="shared" si="7"/>
        <v/>
      </c>
      <c r="U890" s="37" t="str">
        <f t="array" ref="U890">IF($F890="","",IFERROR(INDEX(Config!$F:$F,MATCH($F890,Config!$D:$D,0)),0))</f>
        <v/>
      </c>
    </row>
    <row r="891" ht="15.0" customHeight="1">
      <c r="A891" s="34"/>
      <c r="B891" s="35"/>
      <c r="C891" s="15"/>
      <c r="D891" s="15"/>
      <c r="E891" s="15"/>
      <c r="F891" s="15"/>
      <c r="G891" s="36" t="str">
        <f t="array" ref="G891">IF($F891="","",IFERROR(INDEX(Config!$E:$E,MATCH($F891,Config!$D:$D,0)),0))</f>
        <v/>
      </c>
      <c r="H891" s="16"/>
      <c r="I891" s="36" t="str">
        <f t="shared" si="1"/>
        <v/>
      </c>
      <c r="J891" s="16"/>
      <c r="K891" s="15"/>
      <c r="L891" s="15"/>
      <c r="M891" s="36" t="str">
        <f t="array" ref="M891">IF($A891="","",IF($L891="Atendido",IFERROR($I891*INDEX(Config!$B:$B,MATCH($C891,Config!$A:$A,0)),0),0))</f>
        <v/>
      </c>
      <c r="N891" s="36" t="str">
        <f t="shared" si="2"/>
        <v/>
      </c>
      <c r="O891" s="36" t="str">
        <f t="shared" si="3"/>
        <v/>
      </c>
      <c r="P891" s="15"/>
      <c r="Q891" s="37" t="str">
        <f t="shared" si="4"/>
        <v/>
      </c>
      <c r="R891" s="37" t="str">
        <f t="shared" si="5"/>
        <v/>
      </c>
      <c r="S891" s="32" t="str">
        <f t="shared" si="6"/>
        <v/>
      </c>
      <c r="T891" s="37" t="str">
        <f t="shared" si="7"/>
        <v/>
      </c>
      <c r="U891" s="37" t="str">
        <f t="array" ref="U891">IF($F891="","",IFERROR(INDEX(Config!$F:$F,MATCH($F891,Config!$D:$D,0)),0))</f>
        <v/>
      </c>
    </row>
    <row r="892" ht="15.0" customHeight="1">
      <c r="A892" s="34"/>
      <c r="B892" s="35"/>
      <c r="C892" s="15"/>
      <c r="D892" s="15"/>
      <c r="E892" s="15"/>
      <c r="F892" s="15"/>
      <c r="G892" s="36" t="str">
        <f t="array" ref="G892">IF($F892="","",IFERROR(INDEX(Config!$E:$E,MATCH($F892,Config!$D:$D,0)),0))</f>
        <v/>
      </c>
      <c r="H892" s="16"/>
      <c r="I892" s="36" t="str">
        <f t="shared" si="1"/>
        <v/>
      </c>
      <c r="J892" s="16"/>
      <c r="K892" s="15"/>
      <c r="L892" s="15"/>
      <c r="M892" s="36" t="str">
        <f t="array" ref="M892">IF($A892="","",IF($L892="Atendido",IFERROR($I892*INDEX(Config!$B:$B,MATCH($C892,Config!$A:$A,0)),0),0))</f>
        <v/>
      </c>
      <c r="N892" s="36" t="str">
        <f t="shared" si="2"/>
        <v/>
      </c>
      <c r="O892" s="36" t="str">
        <f t="shared" si="3"/>
        <v/>
      </c>
      <c r="P892" s="15"/>
      <c r="Q892" s="37" t="str">
        <f t="shared" si="4"/>
        <v/>
      </c>
      <c r="R892" s="37" t="str">
        <f t="shared" si="5"/>
        <v/>
      </c>
      <c r="S892" s="32" t="str">
        <f t="shared" si="6"/>
        <v/>
      </c>
      <c r="T892" s="37" t="str">
        <f t="shared" si="7"/>
        <v/>
      </c>
      <c r="U892" s="37" t="str">
        <f t="array" ref="U892">IF($F892="","",IFERROR(INDEX(Config!$F:$F,MATCH($F892,Config!$D:$D,0)),0))</f>
        <v/>
      </c>
    </row>
    <row r="893" ht="15.0" customHeight="1">
      <c r="A893" s="34"/>
      <c r="B893" s="35"/>
      <c r="C893" s="15"/>
      <c r="D893" s="15"/>
      <c r="E893" s="15"/>
      <c r="F893" s="15"/>
      <c r="G893" s="36" t="str">
        <f t="array" ref="G893">IF($F893="","",IFERROR(INDEX(Config!$E:$E,MATCH($F893,Config!$D:$D,0)),0))</f>
        <v/>
      </c>
      <c r="H893" s="16"/>
      <c r="I893" s="36" t="str">
        <f t="shared" si="1"/>
        <v/>
      </c>
      <c r="J893" s="16"/>
      <c r="K893" s="15"/>
      <c r="L893" s="15"/>
      <c r="M893" s="36" t="str">
        <f t="array" ref="M893">IF($A893="","",IF($L893="Atendido",IFERROR($I893*INDEX(Config!$B:$B,MATCH($C893,Config!$A:$A,0)),0),0))</f>
        <v/>
      </c>
      <c r="N893" s="36" t="str">
        <f t="shared" si="2"/>
        <v/>
      </c>
      <c r="O893" s="36" t="str">
        <f t="shared" si="3"/>
        <v/>
      </c>
      <c r="P893" s="15"/>
      <c r="Q893" s="37" t="str">
        <f t="shared" si="4"/>
        <v/>
      </c>
      <c r="R893" s="37" t="str">
        <f t="shared" si="5"/>
        <v/>
      </c>
      <c r="S893" s="32" t="str">
        <f t="shared" si="6"/>
        <v/>
      </c>
      <c r="T893" s="37" t="str">
        <f t="shared" si="7"/>
        <v/>
      </c>
      <c r="U893" s="37" t="str">
        <f t="array" ref="U893">IF($F893="","",IFERROR(INDEX(Config!$F:$F,MATCH($F893,Config!$D:$D,0)),0))</f>
        <v/>
      </c>
    </row>
    <row r="894" ht="15.0" customHeight="1">
      <c r="A894" s="34"/>
      <c r="B894" s="35"/>
      <c r="C894" s="15"/>
      <c r="D894" s="15"/>
      <c r="E894" s="15"/>
      <c r="F894" s="15"/>
      <c r="G894" s="36" t="str">
        <f t="array" ref="G894">IF($F894="","",IFERROR(INDEX(Config!$E:$E,MATCH($F894,Config!$D:$D,0)),0))</f>
        <v/>
      </c>
      <c r="H894" s="16"/>
      <c r="I894" s="36" t="str">
        <f t="shared" si="1"/>
        <v/>
      </c>
      <c r="J894" s="16"/>
      <c r="K894" s="15"/>
      <c r="L894" s="15"/>
      <c r="M894" s="36" t="str">
        <f t="array" ref="M894">IF($A894="","",IF($L894="Atendido",IFERROR($I894*INDEX(Config!$B:$B,MATCH($C894,Config!$A:$A,0)),0),0))</f>
        <v/>
      </c>
      <c r="N894" s="36" t="str">
        <f t="shared" si="2"/>
        <v/>
      </c>
      <c r="O894" s="36" t="str">
        <f t="shared" si="3"/>
        <v/>
      </c>
      <c r="P894" s="15"/>
      <c r="Q894" s="37" t="str">
        <f t="shared" si="4"/>
        <v/>
      </c>
      <c r="R894" s="37" t="str">
        <f t="shared" si="5"/>
        <v/>
      </c>
      <c r="S894" s="32" t="str">
        <f t="shared" si="6"/>
        <v/>
      </c>
      <c r="T894" s="37" t="str">
        <f t="shared" si="7"/>
        <v/>
      </c>
      <c r="U894" s="37" t="str">
        <f t="array" ref="U894">IF($F894="","",IFERROR(INDEX(Config!$F:$F,MATCH($F894,Config!$D:$D,0)),0))</f>
        <v/>
      </c>
    </row>
    <row r="895" ht="15.0" customHeight="1">
      <c r="A895" s="34"/>
      <c r="B895" s="35"/>
      <c r="C895" s="15"/>
      <c r="D895" s="15"/>
      <c r="E895" s="15"/>
      <c r="F895" s="15"/>
      <c r="G895" s="36" t="str">
        <f t="array" ref="G895">IF($F895="","",IFERROR(INDEX(Config!$E:$E,MATCH($F895,Config!$D:$D,0)),0))</f>
        <v/>
      </c>
      <c r="H895" s="16"/>
      <c r="I895" s="36" t="str">
        <f t="shared" si="1"/>
        <v/>
      </c>
      <c r="J895" s="16"/>
      <c r="K895" s="15"/>
      <c r="L895" s="15"/>
      <c r="M895" s="36" t="str">
        <f t="array" ref="M895">IF($A895="","",IF($L895="Atendido",IFERROR($I895*INDEX(Config!$B:$B,MATCH($C895,Config!$A:$A,0)),0),0))</f>
        <v/>
      </c>
      <c r="N895" s="36" t="str">
        <f t="shared" si="2"/>
        <v/>
      </c>
      <c r="O895" s="36" t="str">
        <f t="shared" si="3"/>
        <v/>
      </c>
      <c r="P895" s="15"/>
      <c r="Q895" s="37" t="str">
        <f t="shared" si="4"/>
        <v/>
      </c>
      <c r="R895" s="37" t="str">
        <f t="shared" si="5"/>
        <v/>
      </c>
      <c r="S895" s="32" t="str">
        <f t="shared" si="6"/>
        <v/>
      </c>
      <c r="T895" s="37" t="str">
        <f t="shared" si="7"/>
        <v/>
      </c>
      <c r="U895" s="37" t="str">
        <f t="array" ref="U895">IF($F895="","",IFERROR(INDEX(Config!$F:$F,MATCH($F895,Config!$D:$D,0)),0))</f>
        <v/>
      </c>
    </row>
    <row r="896" ht="15.0" customHeight="1">
      <c r="A896" s="34"/>
      <c r="B896" s="35"/>
      <c r="C896" s="15"/>
      <c r="D896" s="15"/>
      <c r="E896" s="15"/>
      <c r="F896" s="15"/>
      <c r="G896" s="36" t="str">
        <f t="array" ref="G896">IF($F896="","",IFERROR(INDEX(Config!$E:$E,MATCH($F896,Config!$D:$D,0)),0))</f>
        <v/>
      </c>
      <c r="H896" s="16"/>
      <c r="I896" s="36" t="str">
        <f t="shared" si="1"/>
        <v/>
      </c>
      <c r="J896" s="16"/>
      <c r="K896" s="15"/>
      <c r="L896" s="15"/>
      <c r="M896" s="36" t="str">
        <f t="array" ref="M896">IF($A896="","",IF($L896="Atendido",IFERROR($I896*INDEX(Config!$B:$B,MATCH($C896,Config!$A:$A,0)),0),0))</f>
        <v/>
      </c>
      <c r="N896" s="36" t="str">
        <f t="shared" si="2"/>
        <v/>
      </c>
      <c r="O896" s="36" t="str">
        <f t="shared" si="3"/>
        <v/>
      </c>
      <c r="P896" s="15"/>
      <c r="Q896" s="37" t="str">
        <f t="shared" si="4"/>
        <v/>
      </c>
      <c r="R896" s="37" t="str">
        <f t="shared" si="5"/>
        <v/>
      </c>
      <c r="S896" s="32" t="str">
        <f t="shared" si="6"/>
        <v/>
      </c>
      <c r="T896" s="37" t="str">
        <f t="shared" si="7"/>
        <v/>
      </c>
      <c r="U896" s="37" t="str">
        <f t="array" ref="U896">IF($F896="","",IFERROR(INDEX(Config!$F:$F,MATCH($F896,Config!$D:$D,0)),0))</f>
        <v/>
      </c>
    </row>
    <row r="897" ht="15.0" customHeight="1">
      <c r="A897" s="34"/>
      <c r="B897" s="35"/>
      <c r="C897" s="15"/>
      <c r="D897" s="15"/>
      <c r="E897" s="15"/>
      <c r="F897" s="15"/>
      <c r="G897" s="36" t="str">
        <f t="array" ref="G897">IF($F897="","",IFERROR(INDEX(Config!$E:$E,MATCH($F897,Config!$D:$D,0)),0))</f>
        <v/>
      </c>
      <c r="H897" s="16"/>
      <c r="I897" s="36" t="str">
        <f t="shared" si="1"/>
        <v/>
      </c>
      <c r="J897" s="16"/>
      <c r="K897" s="15"/>
      <c r="L897" s="15"/>
      <c r="M897" s="36" t="str">
        <f t="array" ref="M897">IF($A897="","",IF($L897="Atendido",IFERROR($I897*INDEX(Config!$B:$B,MATCH($C897,Config!$A:$A,0)),0),0))</f>
        <v/>
      </c>
      <c r="N897" s="36" t="str">
        <f t="shared" si="2"/>
        <v/>
      </c>
      <c r="O897" s="36" t="str">
        <f t="shared" si="3"/>
        <v/>
      </c>
      <c r="P897" s="15"/>
      <c r="Q897" s="37" t="str">
        <f t="shared" si="4"/>
        <v/>
      </c>
      <c r="R897" s="37" t="str">
        <f t="shared" si="5"/>
        <v/>
      </c>
      <c r="S897" s="32" t="str">
        <f t="shared" si="6"/>
        <v/>
      </c>
      <c r="T897" s="37" t="str">
        <f t="shared" si="7"/>
        <v/>
      </c>
      <c r="U897" s="37" t="str">
        <f t="array" ref="U897">IF($F897="","",IFERROR(INDEX(Config!$F:$F,MATCH($F897,Config!$D:$D,0)),0))</f>
        <v/>
      </c>
    </row>
    <row r="898" ht="15.0" customHeight="1">
      <c r="A898" s="34"/>
      <c r="B898" s="35"/>
      <c r="C898" s="15"/>
      <c r="D898" s="15"/>
      <c r="E898" s="15"/>
      <c r="F898" s="15"/>
      <c r="G898" s="36" t="str">
        <f t="array" ref="G898">IF($F898="","",IFERROR(INDEX(Config!$E:$E,MATCH($F898,Config!$D:$D,0)),0))</f>
        <v/>
      </c>
      <c r="H898" s="16"/>
      <c r="I898" s="36" t="str">
        <f t="shared" si="1"/>
        <v/>
      </c>
      <c r="J898" s="16"/>
      <c r="K898" s="15"/>
      <c r="L898" s="15"/>
      <c r="M898" s="36" t="str">
        <f t="array" ref="M898">IF($A898="","",IF($L898="Atendido",IFERROR($I898*INDEX(Config!$B:$B,MATCH($C898,Config!$A:$A,0)),0),0))</f>
        <v/>
      </c>
      <c r="N898" s="36" t="str">
        <f t="shared" si="2"/>
        <v/>
      </c>
      <c r="O898" s="36" t="str">
        <f t="shared" si="3"/>
        <v/>
      </c>
      <c r="P898" s="15"/>
      <c r="Q898" s="37" t="str">
        <f t="shared" si="4"/>
        <v/>
      </c>
      <c r="R898" s="37" t="str">
        <f t="shared" si="5"/>
        <v/>
      </c>
      <c r="S898" s="32" t="str">
        <f t="shared" si="6"/>
        <v/>
      </c>
      <c r="T898" s="37" t="str">
        <f t="shared" si="7"/>
        <v/>
      </c>
      <c r="U898" s="37" t="str">
        <f t="array" ref="U898">IF($F898="","",IFERROR(INDEX(Config!$F:$F,MATCH($F898,Config!$D:$D,0)),0))</f>
        <v/>
      </c>
    </row>
    <row r="899" ht="15.0" customHeight="1">
      <c r="A899" s="34"/>
      <c r="B899" s="35"/>
      <c r="C899" s="15"/>
      <c r="D899" s="15"/>
      <c r="E899" s="15"/>
      <c r="F899" s="15"/>
      <c r="G899" s="36" t="str">
        <f t="array" ref="G899">IF($F899="","",IFERROR(INDEX(Config!$E:$E,MATCH($F899,Config!$D:$D,0)),0))</f>
        <v/>
      </c>
      <c r="H899" s="16"/>
      <c r="I899" s="36" t="str">
        <f t="shared" si="1"/>
        <v/>
      </c>
      <c r="J899" s="16"/>
      <c r="K899" s="15"/>
      <c r="L899" s="15"/>
      <c r="M899" s="36" t="str">
        <f t="array" ref="M899">IF($A899="","",IF($L899="Atendido",IFERROR($I899*INDEX(Config!$B:$B,MATCH($C899,Config!$A:$A,0)),0),0))</f>
        <v/>
      </c>
      <c r="N899" s="36" t="str">
        <f t="shared" si="2"/>
        <v/>
      </c>
      <c r="O899" s="36" t="str">
        <f t="shared" si="3"/>
        <v/>
      </c>
      <c r="P899" s="15"/>
      <c r="Q899" s="37" t="str">
        <f t="shared" si="4"/>
        <v/>
      </c>
      <c r="R899" s="37" t="str">
        <f t="shared" si="5"/>
        <v/>
      </c>
      <c r="S899" s="32" t="str">
        <f t="shared" si="6"/>
        <v/>
      </c>
      <c r="T899" s="37" t="str">
        <f t="shared" si="7"/>
        <v/>
      </c>
      <c r="U899" s="37" t="str">
        <f t="array" ref="U899">IF($F899="","",IFERROR(INDEX(Config!$F:$F,MATCH($F899,Config!$D:$D,0)),0))</f>
        <v/>
      </c>
    </row>
    <row r="900" ht="15.0" customHeight="1">
      <c r="A900" s="34"/>
      <c r="B900" s="35"/>
      <c r="C900" s="15"/>
      <c r="D900" s="15"/>
      <c r="E900" s="15"/>
      <c r="F900" s="15"/>
      <c r="G900" s="36" t="str">
        <f t="array" ref="G900">IF($F900="","",IFERROR(INDEX(Config!$E:$E,MATCH($F900,Config!$D:$D,0)),0))</f>
        <v/>
      </c>
      <c r="H900" s="16"/>
      <c r="I900" s="36" t="str">
        <f t="shared" si="1"/>
        <v/>
      </c>
      <c r="J900" s="16"/>
      <c r="K900" s="15"/>
      <c r="L900" s="15"/>
      <c r="M900" s="36" t="str">
        <f t="array" ref="M900">IF($A900="","",IF($L900="Atendido",IFERROR($I900*INDEX(Config!$B:$B,MATCH($C900,Config!$A:$A,0)),0),0))</f>
        <v/>
      </c>
      <c r="N900" s="36" t="str">
        <f t="shared" si="2"/>
        <v/>
      </c>
      <c r="O900" s="36" t="str">
        <f t="shared" si="3"/>
        <v/>
      </c>
      <c r="P900" s="15"/>
      <c r="Q900" s="37" t="str">
        <f t="shared" si="4"/>
        <v/>
      </c>
      <c r="R900" s="37" t="str">
        <f t="shared" si="5"/>
        <v/>
      </c>
      <c r="S900" s="32" t="str">
        <f t="shared" si="6"/>
        <v/>
      </c>
      <c r="T900" s="37" t="str">
        <f t="shared" si="7"/>
        <v/>
      </c>
      <c r="U900" s="37" t="str">
        <f t="array" ref="U900">IF($F900="","",IFERROR(INDEX(Config!$F:$F,MATCH($F900,Config!$D:$D,0)),0))</f>
        <v/>
      </c>
    </row>
    <row r="901" ht="15.0" customHeight="1">
      <c r="A901" s="34"/>
      <c r="B901" s="35"/>
      <c r="C901" s="15"/>
      <c r="D901" s="15"/>
      <c r="E901" s="15"/>
      <c r="F901" s="15"/>
      <c r="G901" s="36" t="str">
        <f t="array" ref="G901">IF($F901="","",IFERROR(INDEX(Config!$E:$E,MATCH($F901,Config!$D:$D,0)),0))</f>
        <v/>
      </c>
      <c r="H901" s="16"/>
      <c r="I901" s="36" t="str">
        <f t="shared" si="1"/>
        <v/>
      </c>
      <c r="J901" s="16"/>
      <c r="K901" s="15"/>
      <c r="L901" s="15"/>
      <c r="M901" s="36" t="str">
        <f t="array" ref="M901">IF($A901="","",IF($L901="Atendido",IFERROR($I901*INDEX(Config!$B:$B,MATCH($C901,Config!$A:$A,0)),0),0))</f>
        <v/>
      </c>
      <c r="N901" s="36" t="str">
        <f t="shared" si="2"/>
        <v/>
      </c>
      <c r="O901" s="36" t="str">
        <f t="shared" si="3"/>
        <v/>
      </c>
      <c r="P901" s="15"/>
      <c r="Q901" s="37" t="str">
        <f t="shared" si="4"/>
        <v/>
      </c>
      <c r="R901" s="37" t="str">
        <f t="shared" si="5"/>
        <v/>
      </c>
      <c r="S901" s="32" t="str">
        <f t="shared" si="6"/>
        <v/>
      </c>
      <c r="T901" s="37" t="str">
        <f t="shared" si="7"/>
        <v/>
      </c>
      <c r="U901" s="37" t="str">
        <f t="array" ref="U901">IF($F901="","",IFERROR(INDEX(Config!$F:$F,MATCH($F901,Config!$D:$D,0)),0))</f>
        <v/>
      </c>
    </row>
    <row r="902" ht="15.0" customHeight="1">
      <c r="A902" s="34"/>
      <c r="B902" s="35"/>
      <c r="C902" s="15"/>
      <c r="D902" s="15"/>
      <c r="E902" s="15"/>
      <c r="F902" s="15"/>
      <c r="G902" s="36" t="str">
        <f t="array" ref="G902">IF($F902="","",IFERROR(INDEX(Config!$E:$E,MATCH($F902,Config!$D:$D,0)),0))</f>
        <v/>
      </c>
      <c r="H902" s="16"/>
      <c r="I902" s="36" t="str">
        <f t="shared" si="1"/>
        <v/>
      </c>
      <c r="J902" s="16"/>
      <c r="K902" s="15"/>
      <c r="L902" s="15"/>
      <c r="M902" s="36" t="str">
        <f t="array" ref="M902">IF($A902="","",IF($L902="Atendido",IFERROR($I902*INDEX(Config!$B:$B,MATCH($C902,Config!$A:$A,0)),0),0))</f>
        <v/>
      </c>
      <c r="N902" s="36" t="str">
        <f t="shared" si="2"/>
        <v/>
      </c>
      <c r="O902" s="36" t="str">
        <f t="shared" si="3"/>
        <v/>
      </c>
      <c r="P902" s="15"/>
      <c r="Q902" s="37" t="str">
        <f t="shared" si="4"/>
        <v/>
      </c>
      <c r="R902" s="37" t="str">
        <f t="shared" si="5"/>
        <v/>
      </c>
      <c r="S902" s="32" t="str">
        <f t="shared" si="6"/>
        <v/>
      </c>
      <c r="T902" s="37" t="str">
        <f t="shared" si="7"/>
        <v/>
      </c>
      <c r="U902" s="37" t="str">
        <f t="array" ref="U902">IF($F902="","",IFERROR(INDEX(Config!$F:$F,MATCH($F902,Config!$D:$D,0)),0))</f>
        <v/>
      </c>
    </row>
    <row r="903" ht="15.0" customHeight="1">
      <c r="A903" s="34"/>
      <c r="B903" s="35"/>
      <c r="C903" s="15"/>
      <c r="D903" s="15"/>
      <c r="E903" s="15"/>
      <c r="F903" s="15"/>
      <c r="G903" s="36" t="str">
        <f t="array" ref="G903">IF($F903="","",IFERROR(INDEX(Config!$E:$E,MATCH($F903,Config!$D:$D,0)),0))</f>
        <v/>
      </c>
      <c r="H903" s="16"/>
      <c r="I903" s="36" t="str">
        <f t="shared" si="1"/>
        <v/>
      </c>
      <c r="J903" s="16"/>
      <c r="K903" s="15"/>
      <c r="L903" s="15"/>
      <c r="M903" s="36" t="str">
        <f t="array" ref="M903">IF($A903="","",IF($L903="Atendido",IFERROR($I903*INDEX(Config!$B:$B,MATCH($C903,Config!$A:$A,0)),0),0))</f>
        <v/>
      </c>
      <c r="N903" s="36" t="str">
        <f t="shared" si="2"/>
        <v/>
      </c>
      <c r="O903" s="36" t="str">
        <f t="shared" si="3"/>
        <v/>
      </c>
      <c r="P903" s="15"/>
      <c r="Q903" s="37" t="str">
        <f t="shared" si="4"/>
        <v/>
      </c>
      <c r="R903" s="37" t="str">
        <f t="shared" si="5"/>
        <v/>
      </c>
      <c r="S903" s="32" t="str">
        <f t="shared" si="6"/>
        <v/>
      </c>
      <c r="T903" s="37" t="str">
        <f t="shared" si="7"/>
        <v/>
      </c>
      <c r="U903" s="37" t="str">
        <f t="array" ref="U903">IF($F903="","",IFERROR(INDEX(Config!$F:$F,MATCH($F903,Config!$D:$D,0)),0))</f>
        <v/>
      </c>
    </row>
    <row r="904" ht="15.0" customHeight="1">
      <c r="A904" s="34"/>
      <c r="B904" s="35"/>
      <c r="C904" s="15"/>
      <c r="D904" s="15"/>
      <c r="E904" s="15"/>
      <c r="F904" s="15"/>
      <c r="G904" s="36" t="str">
        <f t="array" ref="G904">IF($F904="","",IFERROR(INDEX(Config!$E:$E,MATCH($F904,Config!$D:$D,0)),0))</f>
        <v/>
      </c>
      <c r="H904" s="16"/>
      <c r="I904" s="36" t="str">
        <f t="shared" si="1"/>
        <v/>
      </c>
      <c r="J904" s="16"/>
      <c r="K904" s="15"/>
      <c r="L904" s="15"/>
      <c r="M904" s="36" t="str">
        <f t="array" ref="M904">IF($A904="","",IF($L904="Atendido",IFERROR($I904*INDEX(Config!$B:$B,MATCH($C904,Config!$A:$A,0)),0),0))</f>
        <v/>
      </c>
      <c r="N904" s="36" t="str">
        <f t="shared" si="2"/>
        <v/>
      </c>
      <c r="O904" s="36" t="str">
        <f t="shared" si="3"/>
        <v/>
      </c>
      <c r="P904" s="15"/>
      <c r="Q904" s="37" t="str">
        <f t="shared" si="4"/>
        <v/>
      </c>
      <c r="R904" s="37" t="str">
        <f t="shared" si="5"/>
        <v/>
      </c>
      <c r="S904" s="32" t="str">
        <f t="shared" si="6"/>
        <v/>
      </c>
      <c r="T904" s="37" t="str">
        <f t="shared" si="7"/>
        <v/>
      </c>
      <c r="U904" s="37" t="str">
        <f t="array" ref="U904">IF($F904="","",IFERROR(INDEX(Config!$F:$F,MATCH($F904,Config!$D:$D,0)),0))</f>
        <v/>
      </c>
    </row>
    <row r="905" ht="15.0" customHeight="1">
      <c r="A905" s="34"/>
      <c r="B905" s="35"/>
      <c r="C905" s="15"/>
      <c r="D905" s="15"/>
      <c r="E905" s="15"/>
      <c r="F905" s="15"/>
      <c r="G905" s="36" t="str">
        <f t="array" ref="G905">IF($F905="","",IFERROR(INDEX(Config!$E:$E,MATCH($F905,Config!$D:$D,0)),0))</f>
        <v/>
      </c>
      <c r="H905" s="16"/>
      <c r="I905" s="36" t="str">
        <f t="shared" si="1"/>
        <v/>
      </c>
      <c r="J905" s="16"/>
      <c r="K905" s="15"/>
      <c r="L905" s="15"/>
      <c r="M905" s="36" t="str">
        <f t="array" ref="M905">IF($A905="","",IF($L905="Atendido",IFERROR($I905*INDEX(Config!$B:$B,MATCH($C905,Config!$A:$A,0)),0),0))</f>
        <v/>
      </c>
      <c r="N905" s="36" t="str">
        <f t="shared" si="2"/>
        <v/>
      </c>
      <c r="O905" s="36" t="str">
        <f t="shared" si="3"/>
        <v/>
      </c>
      <c r="P905" s="15"/>
      <c r="Q905" s="37" t="str">
        <f t="shared" si="4"/>
        <v/>
      </c>
      <c r="R905" s="37" t="str">
        <f t="shared" si="5"/>
        <v/>
      </c>
      <c r="S905" s="32" t="str">
        <f t="shared" si="6"/>
        <v/>
      </c>
      <c r="T905" s="37" t="str">
        <f t="shared" si="7"/>
        <v/>
      </c>
      <c r="U905" s="37" t="str">
        <f t="array" ref="U905">IF($F905="","",IFERROR(INDEX(Config!$F:$F,MATCH($F905,Config!$D:$D,0)),0))</f>
        <v/>
      </c>
    </row>
    <row r="906" ht="15.0" customHeight="1">
      <c r="A906" s="34"/>
      <c r="B906" s="35"/>
      <c r="C906" s="15"/>
      <c r="D906" s="15"/>
      <c r="E906" s="15"/>
      <c r="F906" s="15"/>
      <c r="G906" s="36" t="str">
        <f t="array" ref="G906">IF($F906="","",IFERROR(INDEX(Config!$E:$E,MATCH($F906,Config!$D:$D,0)),0))</f>
        <v/>
      </c>
      <c r="H906" s="16"/>
      <c r="I906" s="36" t="str">
        <f t="shared" si="1"/>
        <v/>
      </c>
      <c r="J906" s="16"/>
      <c r="K906" s="15"/>
      <c r="L906" s="15"/>
      <c r="M906" s="36" t="str">
        <f t="array" ref="M906">IF($A906="","",IF($L906="Atendido",IFERROR($I906*INDEX(Config!$B:$B,MATCH($C906,Config!$A:$A,0)),0),0))</f>
        <v/>
      </c>
      <c r="N906" s="36" t="str">
        <f t="shared" si="2"/>
        <v/>
      </c>
      <c r="O906" s="36" t="str">
        <f t="shared" si="3"/>
        <v/>
      </c>
      <c r="P906" s="15"/>
      <c r="Q906" s="37" t="str">
        <f t="shared" si="4"/>
        <v/>
      </c>
      <c r="R906" s="37" t="str">
        <f t="shared" si="5"/>
        <v/>
      </c>
      <c r="S906" s="32" t="str">
        <f t="shared" si="6"/>
        <v/>
      </c>
      <c r="T906" s="37" t="str">
        <f t="shared" si="7"/>
        <v/>
      </c>
      <c r="U906" s="37" t="str">
        <f t="array" ref="U906">IF($F906="","",IFERROR(INDEX(Config!$F:$F,MATCH($F906,Config!$D:$D,0)),0))</f>
        <v/>
      </c>
    </row>
    <row r="907" ht="15.0" customHeight="1">
      <c r="A907" s="34"/>
      <c r="B907" s="35"/>
      <c r="C907" s="15"/>
      <c r="D907" s="15"/>
      <c r="E907" s="15"/>
      <c r="F907" s="15"/>
      <c r="G907" s="36" t="str">
        <f t="array" ref="G907">IF($F907="","",IFERROR(INDEX(Config!$E:$E,MATCH($F907,Config!$D:$D,0)),0))</f>
        <v/>
      </c>
      <c r="H907" s="16"/>
      <c r="I907" s="36" t="str">
        <f t="shared" si="1"/>
        <v/>
      </c>
      <c r="J907" s="16"/>
      <c r="K907" s="15"/>
      <c r="L907" s="15"/>
      <c r="M907" s="36" t="str">
        <f t="array" ref="M907">IF($A907="","",IF($L907="Atendido",IFERROR($I907*INDEX(Config!$B:$B,MATCH($C907,Config!$A:$A,0)),0),0))</f>
        <v/>
      </c>
      <c r="N907" s="36" t="str">
        <f t="shared" si="2"/>
        <v/>
      </c>
      <c r="O907" s="36" t="str">
        <f t="shared" si="3"/>
        <v/>
      </c>
      <c r="P907" s="15"/>
      <c r="Q907" s="37" t="str">
        <f t="shared" si="4"/>
        <v/>
      </c>
      <c r="R907" s="37" t="str">
        <f t="shared" si="5"/>
        <v/>
      </c>
      <c r="S907" s="32" t="str">
        <f t="shared" si="6"/>
        <v/>
      </c>
      <c r="T907" s="37" t="str">
        <f t="shared" si="7"/>
        <v/>
      </c>
      <c r="U907" s="37" t="str">
        <f t="array" ref="U907">IF($F907="","",IFERROR(INDEX(Config!$F:$F,MATCH($F907,Config!$D:$D,0)),0))</f>
        <v/>
      </c>
    </row>
    <row r="908" ht="15.0" customHeight="1">
      <c r="A908" s="34"/>
      <c r="B908" s="35"/>
      <c r="C908" s="15"/>
      <c r="D908" s="15"/>
      <c r="E908" s="15"/>
      <c r="F908" s="15"/>
      <c r="G908" s="36" t="str">
        <f t="array" ref="G908">IF($F908="","",IFERROR(INDEX(Config!$E:$E,MATCH($F908,Config!$D:$D,0)),0))</f>
        <v/>
      </c>
      <c r="H908" s="16"/>
      <c r="I908" s="36" t="str">
        <f t="shared" si="1"/>
        <v/>
      </c>
      <c r="J908" s="16"/>
      <c r="K908" s="15"/>
      <c r="L908" s="15"/>
      <c r="M908" s="36" t="str">
        <f t="array" ref="M908">IF($A908="","",IF($L908="Atendido",IFERROR($I908*INDEX(Config!$B:$B,MATCH($C908,Config!$A:$A,0)),0),0))</f>
        <v/>
      </c>
      <c r="N908" s="36" t="str">
        <f t="shared" si="2"/>
        <v/>
      </c>
      <c r="O908" s="36" t="str">
        <f t="shared" si="3"/>
        <v/>
      </c>
      <c r="P908" s="15"/>
      <c r="Q908" s="37" t="str">
        <f t="shared" si="4"/>
        <v/>
      </c>
      <c r="R908" s="37" t="str">
        <f t="shared" si="5"/>
        <v/>
      </c>
      <c r="S908" s="32" t="str">
        <f t="shared" si="6"/>
        <v/>
      </c>
      <c r="T908" s="37" t="str">
        <f t="shared" si="7"/>
        <v/>
      </c>
      <c r="U908" s="37" t="str">
        <f t="array" ref="U908">IF($F908="","",IFERROR(INDEX(Config!$F:$F,MATCH($F908,Config!$D:$D,0)),0))</f>
        <v/>
      </c>
    </row>
    <row r="909" ht="15.0" customHeight="1">
      <c r="A909" s="34"/>
      <c r="B909" s="35"/>
      <c r="C909" s="15"/>
      <c r="D909" s="15"/>
      <c r="E909" s="15"/>
      <c r="F909" s="15"/>
      <c r="G909" s="36" t="str">
        <f t="array" ref="G909">IF($F909="","",IFERROR(INDEX(Config!$E:$E,MATCH($F909,Config!$D:$D,0)),0))</f>
        <v/>
      </c>
      <c r="H909" s="16"/>
      <c r="I909" s="36" t="str">
        <f t="shared" si="1"/>
        <v/>
      </c>
      <c r="J909" s="16"/>
      <c r="K909" s="15"/>
      <c r="L909" s="15"/>
      <c r="M909" s="36" t="str">
        <f t="array" ref="M909">IF($A909="","",IF($L909="Atendido",IFERROR($I909*INDEX(Config!$B:$B,MATCH($C909,Config!$A:$A,0)),0),0))</f>
        <v/>
      </c>
      <c r="N909" s="36" t="str">
        <f t="shared" si="2"/>
        <v/>
      </c>
      <c r="O909" s="36" t="str">
        <f t="shared" si="3"/>
        <v/>
      </c>
      <c r="P909" s="15"/>
      <c r="Q909" s="37" t="str">
        <f t="shared" si="4"/>
        <v/>
      </c>
      <c r="R909" s="37" t="str">
        <f t="shared" si="5"/>
        <v/>
      </c>
      <c r="S909" s="32" t="str">
        <f t="shared" si="6"/>
        <v/>
      </c>
      <c r="T909" s="37" t="str">
        <f t="shared" si="7"/>
        <v/>
      </c>
      <c r="U909" s="37" t="str">
        <f t="array" ref="U909">IF($F909="","",IFERROR(INDEX(Config!$F:$F,MATCH($F909,Config!$D:$D,0)),0))</f>
        <v/>
      </c>
    </row>
    <row r="910" ht="15.0" customHeight="1">
      <c r="A910" s="34"/>
      <c r="B910" s="35"/>
      <c r="C910" s="15"/>
      <c r="D910" s="15"/>
      <c r="E910" s="15"/>
      <c r="F910" s="15"/>
      <c r="G910" s="36" t="str">
        <f t="array" ref="G910">IF($F910="","",IFERROR(INDEX(Config!$E:$E,MATCH($F910,Config!$D:$D,0)),0))</f>
        <v/>
      </c>
      <c r="H910" s="16"/>
      <c r="I910" s="36" t="str">
        <f t="shared" si="1"/>
        <v/>
      </c>
      <c r="J910" s="16"/>
      <c r="K910" s="15"/>
      <c r="L910" s="15"/>
      <c r="M910" s="36" t="str">
        <f t="array" ref="M910">IF($A910="","",IF($L910="Atendido",IFERROR($I910*INDEX(Config!$B:$B,MATCH($C910,Config!$A:$A,0)),0),0))</f>
        <v/>
      </c>
      <c r="N910" s="36" t="str">
        <f t="shared" si="2"/>
        <v/>
      </c>
      <c r="O910" s="36" t="str">
        <f t="shared" si="3"/>
        <v/>
      </c>
      <c r="P910" s="15"/>
      <c r="Q910" s="37" t="str">
        <f t="shared" si="4"/>
        <v/>
      </c>
      <c r="R910" s="37" t="str">
        <f t="shared" si="5"/>
        <v/>
      </c>
      <c r="S910" s="32" t="str">
        <f t="shared" si="6"/>
        <v/>
      </c>
      <c r="T910" s="37" t="str">
        <f t="shared" si="7"/>
        <v/>
      </c>
      <c r="U910" s="37" t="str">
        <f t="array" ref="U910">IF($F910="","",IFERROR(INDEX(Config!$F:$F,MATCH($F910,Config!$D:$D,0)),0))</f>
        <v/>
      </c>
    </row>
    <row r="911" ht="15.0" customHeight="1">
      <c r="A911" s="34"/>
      <c r="B911" s="35"/>
      <c r="C911" s="15"/>
      <c r="D911" s="15"/>
      <c r="E911" s="15"/>
      <c r="F911" s="15"/>
      <c r="G911" s="36" t="str">
        <f t="array" ref="G911">IF($F911="","",IFERROR(INDEX(Config!$E:$E,MATCH($F911,Config!$D:$D,0)),0))</f>
        <v/>
      </c>
      <c r="H911" s="16"/>
      <c r="I911" s="36" t="str">
        <f t="shared" si="1"/>
        <v/>
      </c>
      <c r="J911" s="16"/>
      <c r="K911" s="15"/>
      <c r="L911" s="15"/>
      <c r="M911" s="36" t="str">
        <f t="array" ref="M911">IF($A911="","",IF($L911="Atendido",IFERROR($I911*INDEX(Config!$B:$B,MATCH($C911,Config!$A:$A,0)),0),0))</f>
        <v/>
      </c>
      <c r="N911" s="36" t="str">
        <f t="shared" si="2"/>
        <v/>
      </c>
      <c r="O911" s="36" t="str">
        <f t="shared" si="3"/>
        <v/>
      </c>
      <c r="P911" s="15"/>
      <c r="Q911" s="37" t="str">
        <f t="shared" si="4"/>
        <v/>
      </c>
      <c r="R911" s="37" t="str">
        <f t="shared" si="5"/>
        <v/>
      </c>
      <c r="S911" s="32" t="str">
        <f t="shared" si="6"/>
        <v/>
      </c>
      <c r="T911" s="37" t="str">
        <f t="shared" si="7"/>
        <v/>
      </c>
      <c r="U911" s="37" t="str">
        <f t="array" ref="U911">IF($F911="","",IFERROR(INDEX(Config!$F:$F,MATCH($F911,Config!$D:$D,0)),0))</f>
        <v/>
      </c>
    </row>
    <row r="912" ht="15.0" customHeight="1">
      <c r="A912" s="34"/>
      <c r="B912" s="35"/>
      <c r="C912" s="15"/>
      <c r="D912" s="15"/>
      <c r="E912" s="15"/>
      <c r="F912" s="15"/>
      <c r="G912" s="36" t="str">
        <f t="array" ref="G912">IF($F912="","",IFERROR(INDEX(Config!$E:$E,MATCH($F912,Config!$D:$D,0)),0))</f>
        <v/>
      </c>
      <c r="H912" s="16"/>
      <c r="I912" s="36" t="str">
        <f t="shared" si="1"/>
        <v/>
      </c>
      <c r="J912" s="16"/>
      <c r="K912" s="15"/>
      <c r="L912" s="15"/>
      <c r="M912" s="36" t="str">
        <f t="array" ref="M912">IF($A912="","",IF($L912="Atendido",IFERROR($I912*INDEX(Config!$B:$B,MATCH($C912,Config!$A:$A,0)),0),0))</f>
        <v/>
      </c>
      <c r="N912" s="36" t="str">
        <f t="shared" si="2"/>
        <v/>
      </c>
      <c r="O912" s="36" t="str">
        <f t="shared" si="3"/>
        <v/>
      </c>
      <c r="P912" s="15"/>
      <c r="Q912" s="37" t="str">
        <f t="shared" si="4"/>
        <v/>
      </c>
      <c r="R912" s="37" t="str">
        <f t="shared" si="5"/>
        <v/>
      </c>
      <c r="S912" s="32" t="str">
        <f t="shared" si="6"/>
        <v/>
      </c>
      <c r="T912" s="37" t="str">
        <f t="shared" si="7"/>
        <v/>
      </c>
      <c r="U912" s="37" t="str">
        <f t="array" ref="U912">IF($F912="","",IFERROR(INDEX(Config!$F:$F,MATCH($F912,Config!$D:$D,0)),0))</f>
        <v/>
      </c>
    </row>
    <row r="913" ht="15.0" customHeight="1">
      <c r="A913" s="34"/>
      <c r="B913" s="35"/>
      <c r="C913" s="15"/>
      <c r="D913" s="15"/>
      <c r="E913" s="15"/>
      <c r="F913" s="15"/>
      <c r="G913" s="36" t="str">
        <f t="array" ref="G913">IF($F913="","",IFERROR(INDEX(Config!$E:$E,MATCH($F913,Config!$D:$D,0)),0))</f>
        <v/>
      </c>
      <c r="H913" s="16"/>
      <c r="I913" s="36" t="str">
        <f t="shared" si="1"/>
        <v/>
      </c>
      <c r="J913" s="16"/>
      <c r="K913" s="15"/>
      <c r="L913" s="15"/>
      <c r="M913" s="36" t="str">
        <f t="array" ref="M913">IF($A913="","",IF($L913="Atendido",IFERROR($I913*INDEX(Config!$B:$B,MATCH($C913,Config!$A:$A,0)),0),0))</f>
        <v/>
      </c>
      <c r="N913" s="36" t="str">
        <f t="shared" si="2"/>
        <v/>
      </c>
      <c r="O913" s="36" t="str">
        <f t="shared" si="3"/>
        <v/>
      </c>
      <c r="P913" s="15"/>
      <c r="Q913" s="37" t="str">
        <f t="shared" si="4"/>
        <v/>
      </c>
      <c r="R913" s="37" t="str">
        <f t="shared" si="5"/>
        <v/>
      </c>
      <c r="S913" s="32" t="str">
        <f t="shared" si="6"/>
        <v/>
      </c>
      <c r="T913" s="37" t="str">
        <f t="shared" si="7"/>
        <v/>
      </c>
      <c r="U913" s="37" t="str">
        <f t="array" ref="U913">IF($F913="","",IFERROR(INDEX(Config!$F:$F,MATCH($F913,Config!$D:$D,0)),0))</f>
        <v/>
      </c>
    </row>
    <row r="914" ht="15.0" customHeight="1">
      <c r="A914" s="34"/>
      <c r="B914" s="35"/>
      <c r="C914" s="15"/>
      <c r="D914" s="15"/>
      <c r="E914" s="15"/>
      <c r="F914" s="15"/>
      <c r="G914" s="36" t="str">
        <f t="array" ref="G914">IF($F914="","",IFERROR(INDEX(Config!$E:$E,MATCH($F914,Config!$D:$D,0)),0))</f>
        <v/>
      </c>
      <c r="H914" s="16"/>
      <c r="I914" s="36" t="str">
        <f t="shared" si="1"/>
        <v/>
      </c>
      <c r="J914" s="16"/>
      <c r="K914" s="15"/>
      <c r="L914" s="15"/>
      <c r="M914" s="36" t="str">
        <f t="array" ref="M914">IF($A914="","",IF($L914="Atendido",IFERROR($I914*INDEX(Config!$B:$B,MATCH($C914,Config!$A:$A,0)),0),0))</f>
        <v/>
      </c>
      <c r="N914" s="36" t="str">
        <f t="shared" si="2"/>
        <v/>
      </c>
      <c r="O914" s="36" t="str">
        <f t="shared" si="3"/>
        <v/>
      </c>
      <c r="P914" s="15"/>
      <c r="Q914" s="37" t="str">
        <f t="shared" si="4"/>
        <v/>
      </c>
      <c r="R914" s="37" t="str">
        <f t="shared" si="5"/>
        <v/>
      </c>
      <c r="S914" s="32" t="str">
        <f t="shared" si="6"/>
        <v/>
      </c>
      <c r="T914" s="37" t="str">
        <f t="shared" si="7"/>
        <v/>
      </c>
      <c r="U914" s="37" t="str">
        <f t="array" ref="U914">IF($F914="","",IFERROR(INDEX(Config!$F:$F,MATCH($F914,Config!$D:$D,0)),0))</f>
        <v/>
      </c>
    </row>
    <row r="915" ht="15.0" customHeight="1">
      <c r="A915" s="34"/>
      <c r="B915" s="35"/>
      <c r="C915" s="15"/>
      <c r="D915" s="15"/>
      <c r="E915" s="15"/>
      <c r="F915" s="15"/>
      <c r="G915" s="36" t="str">
        <f t="array" ref="G915">IF($F915="","",IFERROR(INDEX(Config!$E:$E,MATCH($F915,Config!$D:$D,0)),0))</f>
        <v/>
      </c>
      <c r="H915" s="16"/>
      <c r="I915" s="36" t="str">
        <f t="shared" si="1"/>
        <v/>
      </c>
      <c r="J915" s="16"/>
      <c r="K915" s="15"/>
      <c r="L915" s="15"/>
      <c r="M915" s="36" t="str">
        <f t="array" ref="M915">IF($A915="","",IF($L915="Atendido",IFERROR($I915*INDEX(Config!$B:$B,MATCH($C915,Config!$A:$A,0)),0),0))</f>
        <v/>
      </c>
      <c r="N915" s="36" t="str">
        <f t="shared" si="2"/>
        <v/>
      </c>
      <c r="O915" s="36" t="str">
        <f t="shared" si="3"/>
        <v/>
      </c>
      <c r="P915" s="15"/>
      <c r="Q915" s="37" t="str">
        <f t="shared" si="4"/>
        <v/>
      </c>
      <c r="R915" s="37" t="str">
        <f t="shared" si="5"/>
        <v/>
      </c>
      <c r="S915" s="32" t="str">
        <f t="shared" si="6"/>
        <v/>
      </c>
      <c r="T915" s="37" t="str">
        <f t="shared" si="7"/>
        <v/>
      </c>
      <c r="U915" s="37" t="str">
        <f t="array" ref="U915">IF($F915="","",IFERROR(INDEX(Config!$F:$F,MATCH($F915,Config!$D:$D,0)),0))</f>
        <v/>
      </c>
    </row>
    <row r="916" ht="15.0" customHeight="1">
      <c r="A916" s="34"/>
      <c r="B916" s="35"/>
      <c r="C916" s="15"/>
      <c r="D916" s="15"/>
      <c r="E916" s="15"/>
      <c r="F916" s="15"/>
      <c r="G916" s="36" t="str">
        <f t="array" ref="G916">IF($F916="","",IFERROR(INDEX(Config!$E:$E,MATCH($F916,Config!$D:$D,0)),0))</f>
        <v/>
      </c>
      <c r="H916" s="16"/>
      <c r="I916" s="36" t="str">
        <f t="shared" si="1"/>
        <v/>
      </c>
      <c r="J916" s="16"/>
      <c r="K916" s="15"/>
      <c r="L916" s="15"/>
      <c r="M916" s="36" t="str">
        <f t="array" ref="M916">IF($A916="","",IF($L916="Atendido",IFERROR($I916*INDEX(Config!$B:$B,MATCH($C916,Config!$A:$A,0)),0),0))</f>
        <v/>
      </c>
      <c r="N916" s="36" t="str">
        <f t="shared" si="2"/>
        <v/>
      </c>
      <c r="O916" s="36" t="str">
        <f t="shared" si="3"/>
        <v/>
      </c>
      <c r="P916" s="15"/>
      <c r="Q916" s="37" t="str">
        <f t="shared" si="4"/>
        <v/>
      </c>
      <c r="R916" s="37" t="str">
        <f t="shared" si="5"/>
        <v/>
      </c>
      <c r="S916" s="32" t="str">
        <f t="shared" si="6"/>
        <v/>
      </c>
      <c r="T916" s="37" t="str">
        <f t="shared" si="7"/>
        <v/>
      </c>
      <c r="U916" s="37" t="str">
        <f t="array" ref="U916">IF($F916="","",IFERROR(INDEX(Config!$F:$F,MATCH($F916,Config!$D:$D,0)),0))</f>
        <v/>
      </c>
    </row>
    <row r="917" ht="15.0" customHeight="1">
      <c r="A917" s="34"/>
      <c r="B917" s="35"/>
      <c r="C917" s="15"/>
      <c r="D917" s="15"/>
      <c r="E917" s="15"/>
      <c r="F917" s="15"/>
      <c r="G917" s="36" t="str">
        <f t="array" ref="G917">IF($F917="","",IFERROR(INDEX(Config!$E:$E,MATCH($F917,Config!$D:$D,0)),0))</f>
        <v/>
      </c>
      <c r="H917" s="16"/>
      <c r="I917" s="36" t="str">
        <f t="shared" si="1"/>
        <v/>
      </c>
      <c r="J917" s="16"/>
      <c r="K917" s="15"/>
      <c r="L917" s="15"/>
      <c r="M917" s="36" t="str">
        <f t="array" ref="M917">IF($A917="","",IF($L917="Atendido",IFERROR($I917*INDEX(Config!$B:$B,MATCH($C917,Config!$A:$A,0)),0),0))</f>
        <v/>
      </c>
      <c r="N917" s="36" t="str">
        <f t="shared" si="2"/>
        <v/>
      </c>
      <c r="O917" s="36" t="str">
        <f t="shared" si="3"/>
        <v/>
      </c>
      <c r="P917" s="15"/>
      <c r="Q917" s="37" t="str">
        <f t="shared" si="4"/>
        <v/>
      </c>
      <c r="R917" s="37" t="str">
        <f t="shared" si="5"/>
        <v/>
      </c>
      <c r="S917" s="32" t="str">
        <f t="shared" si="6"/>
        <v/>
      </c>
      <c r="T917" s="37" t="str">
        <f t="shared" si="7"/>
        <v/>
      </c>
      <c r="U917" s="37" t="str">
        <f t="array" ref="U917">IF($F917="","",IFERROR(INDEX(Config!$F:$F,MATCH($F917,Config!$D:$D,0)),0))</f>
        <v/>
      </c>
    </row>
    <row r="918" ht="15.0" customHeight="1">
      <c r="A918" s="34"/>
      <c r="B918" s="35"/>
      <c r="C918" s="15"/>
      <c r="D918" s="15"/>
      <c r="E918" s="15"/>
      <c r="F918" s="15"/>
      <c r="G918" s="36" t="str">
        <f t="array" ref="G918">IF($F918="","",IFERROR(INDEX(Config!$E:$E,MATCH($F918,Config!$D:$D,0)),0))</f>
        <v/>
      </c>
      <c r="H918" s="16"/>
      <c r="I918" s="36" t="str">
        <f t="shared" si="1"/>
        <v/>
      </c>
      <c r="J918" s="16"/>
      <c r="K918" s="15"/>
      <c r="L918" s="15"/>
      <c r="M918" s="36" t="str">
        <f t="array" ref="M918">IF($A918="","",IF($L918="Atendido",IFERROR($I918*INDEX(Config!$B:$B,MATCH($C918,Config!$A:$A,0)),0),0))</f>
        <v/>
      </c>
      <c r="N918" s="36" t="str">
        <f t="shared" si="2"/>
        <v/>
      </c>
      <c r="O918" s="36" t="str">
        <f t="shared" si="3"/>
        <v/>
      </c>
      <c r="P918" s="15"/>
      <c r="Q918" s="37" t="str">
        <f t="shared" si="4"/>
        <v/>
      </c>
      <c r="R918" s="37" t="str">
        <f t="shared" si="5"/>
        <v/>
      </c>
      <c r="S918" s="32" t="str">
        <f t="shared" si="6"/>
        <v/>
      </c>
      <c r="T918" s="37" t="str">
        <f t="shared" si="7"/>
        <v/>
      </c>
      <c r="U918" s="37" t="str">
        <f t="array" ref="U918">IF($F918="","",IFERROR(INDEX(Config!$F:$F,MATCH($F918,Config!$D:$D,0)),0))</f>
        <v/>
      </c>
    </row>
    <row r="919" ht="15.0" customHeight="1">
      <c r="A919" s="34"/>
      <c r="B919" s="35"/>
      <c r="C919" s="15"/>
      <c r="D919" s="15"/>
      <c r="E919" s="15"/>
      <c r="F919" s="15"/>
      <c r="G919" s="36" t="str">
        <f t="array" ref="G919">IF($F919="","",IFERROR(INDEX(Config!$E:$E,MATCH($F919,Config!$D:$D,0)),0))</f>
        <v/>
      </c>
      <c r="H919" s="16"/>
      <c r="I919" s="36" t="str">
        <f t="shared" si="1"/>
        <v/>
      </c>
      <c r="J919" s="16"/>
      <c r="K919" s="15"/>
      <c r="L919" s="15"/>
      <c r="M919" s="36" t="str">
        <f t="array" ref="M919">IF($A919="","",IF($L919="Atendido",IFERROR($I919*INDEX(Config!$B:$B,MATCH($C919,Config!$A:$A,0)),0),0))</f>
        <v/>
      </c>
      <c r="N919" s="36" t="str">
        <f t="shared" si="2"/>
        <v/>
      </c>
      <c r="O919" s="36" t="str">
        <f t="shared" si="3"/>
        <v/>
      </c>
      <c r="P919" s="15"/>
      <c r="Q919" s="37" t="str">
        <f t="shared" si="4"/>
        <v/>
      </c>
      <c r="R919" s="37" t="str">
        <f t="shared" si="5"/>
        <v/>
      </c>
      <c r="S919" s="32" t="str">
        <f t="shared" si="6"/>
        <v/>
      </c>
      <c r="T919" s="37" t="str">
        <f t="shared" si="7"/>
        <v/>
      </c>
      <c r="U919" s="37" t="str">
        <f t="array" ref="U919">IF($F919="","",IFERROR(INDEX(Config!$F:$F,MATCH($F919,Config!$D:$D,0)),0))</f>
        <v/>
      </c>
    </row>
    <row r="920" ht="15.0" customHeight="1">
      <c r="A920" s="34"/>
      <c r="B920" s="35"/>
      <c r="C920" s="15"/>
      <c r="D920" s="15"/>
      <c r="E920" s="15"/>
      <c r="F920" s="15"/>
      <c r="G920" s="36" t="str">
        <f t="array" ref="G920">IF($F920="","",IFERROR(INDEX(Config!$E:$E,MATCH($F920,Config!$D:$D,0)),0))</f>
        <v/>
      </c>
      <c r="H920" s="16"/>
      <c r="I920" s="36" t="str">
        <f t="shared" si="1"/>
        <v/>
      </c>
      <c r="J920" s="16"/>
      <c r="K920" s="15"/>
      <c r="L920" s="15"/>
      <c r="M920" s="36" t="str">
        <f t="array" ref="M920">IF($A920="","",IF($L920="Atendido",IFERROR($I920*INDEX(Config!$B:$B,MATCH($C920,Config!$A:$A,0)),0),0))</f>
        <v/>
      </c>
      <c r="N920" s="36" t="str">
        <f t="shared" si="2"/>
        <v/>
      </c>
      <c r="O920" s="36" t="str">
        <f t="shared" si="3"/>
        <v/>
      </c>
      <c r="P920" s="15"/>
      <c r="Q920" s="37" t="str">
        <f t="shared" si="4"/>
        <v/>
      </c>
      <c r="R920" s="37" t="str">
        <f t="shared" si="5"/>
        <v/>
      </c>
      <c r="S920" s="32" t="str">
        <f t="shared" si="6"/>
        <v/>
      </c>
      <c r="T920" s="37" t="str">
        <f t="shared" si="7"/>
        <v/>
      </c>
      <c r="U920" s="37" t="str">
        <f t="array" ref="U920">IF($F920="","",IFERROR(INDEX(Config!$F:$F,MATCH($F920,Config!$D:$D,0)),0))</f>
        <v/>
      </c>
    </row>
    <row r="921" ht="15.0" customHeight="1">
      <c r="A921" s="34"/>
      <c r="B921" s="35"/>
      <c r="C921" s="15"/>
      <c r="D921" s="15"/>
      <c r="E921" s="15"/>
      <c r="F921" s="15"/>
      <c r="G921" s="36" t="str">
        <f t="array" ref="G921">IF($F921="","",IFERROR(INDEX(Config!$E:$E,MATCH($F921,Config!$D:$D,0)),0))</f>
        <v/>
      </c>
      <c r="H921" s="16"/>
      <c r="I921" s="36" t="str">
        <f t="shared" si="1"/>
        <v/>
      </c>
      <c r="J921" s="16"/>
      <c r="K921" s="15"/>
      <c r="L921" s="15"/>
      <c r="M921" s="36" t="str">
        <f t="array" ref="M921">IF($A921="","",IF($L921="Atendido",IFERROR($I921*INDEX(Config!$B:$B,MATCH($C921,Config!$A:$A,0)),0),0))</f>
        <v/>
      </c>
      <c r="N921" s="36" t="str">
        <f t="shared" si="2"/>
        <v/>
      </c>
      <c r="O921" s="36" t="str">
        <f t="shared" si="3"/>
        <v/>
      </c>
      <c r="P921" s="15"/>
      <c r="Q921" s="37" t="str">
        <f t="shared" si="4"/>
        <v/>
      </c>
      <c r="R921" s="37" t="str">
        <f t="shared" si="5"/>
        <v/>
      </c>
      <c r="S921" s="32" t="str">
        <f t="shared" si="6"/>
        <v/>
      </c>
      <c r="T921" s="37" t="str">
        <f t="shared" si="7"/>
        <v/>
      </c>
      <c r="U921" s="37" t="str">
        <f t="array" ref="U921">IF($F921="","",IFERROR(INDEX(Config!$F:$F,MATCH($F921,Config!$D:$D,0)),0))</f>
        <v/>
      </c>
    </row>
    <row r="922" ht="15.0" customHeight="1">
      <c r="A922" s="34"/>
      <c r="B922" s="35"/>
      <c r="C922" s="15"/>
      <c r="D922" s="15"/>
      <c r="E922" s="15"/>
      <c r="F922" s="15"/>
      <c r="G922" s="36" t="str">
        <f t="array" ref="G922">IF($F922="","",IFERROR(INDEX(Config!$E:$E,MATCH($F922,Config!$D:$D,0)),0))</f>
        <v/>
      </c>
      <c r="H922" s="16"/>
      <c r="I922" s="36" t="str">
        <f t="shared" si="1"/>
        <v/>
      </c>
      <c r="J922" s="16"/>
      <c r="K922" s="15"/>
      <c r="L922" s="15"/>
      <c r="M922" s="36" t="str">
        <f t="array" ref="M922">IF($A922="","",IF($L922="Atendido",IFERROR($I922*INDEX(Config!$B:$B,MATCH($C922,Config!$A:$A,0)),0),0))</f>
        <v/>
      </c>
      <c r="N922" s="36" t="str">
        <f t="shared" si="2"/>
        <v/>
      </c>
      <c r="O922" s="36" t="str">
        <f t="shared" si="3"/>
        <v/>
      </c>
      <c r="P922" s="15"/>
      <c r="Q922" s="37" t="str">
        <f t="shared" si="4"/>
        <v/>
      </c>
      <c r="R922" s="37" t="str">
        <f t="shared" si="5"/>
        <v/>
      </c>
      <c r="S922" s="32" t="str">
        <f t="shared" si="6"/>
        <v/>
      </c>
      <c r="T922" s="37" t="str">
        <f t="shared" si="7"/>
        <v/>
      </c>
      <c r="U922" s="37" t="str">
        <f t="array" ref="U922">IF($F922="","",IFERROR(INDEX(Config!$F:$F,MATCH($F922,Config!$D:$D,0)),0))</f>
        <v/>
      </c>
    </row>
    <row r="923" ht="15.0" customHeight="1">
      <c r="A923" s="34"/>
      <c r="B923" s="35"/>
      <c r="C923" s="15"/>
      <c r="D923" s="15"/>
      <c r="E923" s="15"/>
      <c r="F923" s="15"/>
      <c r="G923" s="36" t="str">
        <f t="array" ref="G923">IF($F923="","",IFERROR(INDEX(Config!$E:$E,MATCH($F923,Config!$D:$D,0)),0))</f>
        <v/>
      </c>
      <c r="H923" s="16"/>
      <c r="I923" s="36" t="str">
        <f t="shared" si="1"/>
        <v/>
      </c>
      <c r="J923" s="16"/>
      <c r="K923" s="15"/>
      <c r="L923" s="15"/>
      <c r="M923" s="36" t="str">
        <f t="array" ref="M923">IF($A923="","",IF($L923="Atendido",IFERROR($I923*INDEX(Config!$B:$B,MATCH($C923,Config!$A:$A,0)),0),0))</f>
        <v/>
      </c>
      <c r="N923" s="36" t="str">
        <f t="shared" si="2"/>
        <v/>
      </c>
      <c r="O923" s="36" t="str">
        <f t="shared" si="3"/>
        <v/>
      </c>
      <c r="P923" s="15"/>
      <c r="Q923" s="37" t="str">
        <f t="shared" si="4"/>
        <v/>
      </c>
      <c r="R923" s="37" t="str">
        <f t="shared" si="5"/>
        <v/>
      </c>
      <c r="S923" s="32" t="str">
        <f t="shared" si="6"/>
        <v/>
      </c>
      <c r="T923" s="37" t="str">
        <f t="shared" si="7"/>
        <v/>
      </c>
      <c r="U923" s="37" t="str">
        <f t="array" ref="U923">IF($F923="","",IFERROR(INDEX(Config!$F:$F,MATCH($F923,Config!$D:$D,0)),0))</f>
        <v/>
      </c>
    </row>
    <row r="924" ht="15.0" customHeight="1">
      <c r="A924" s="34"/>
      <c r="B924" s="35"/>
      <c r="C924" s="15"/>
      <c r="D924" s="15"/>
      <c r="E924" s="15"/>
      <c r="F924" s="15"/>
      <c r="G924" s="36" t="str">
        <f t="array" ref="G924">IF($F924="","",IFERROR(INDEX(Config!$E:$E,MATCH($F924,Config!$D:$D,0)),0))</f>
        <v/>
      </c>
      <c r="H924" s="16"/>
      <c r="I924" s="36" t="str">
        <f t="shared" si="1"/>
        <v/>
      </c>
      <c r="J924" s="16"/>
      <c r="K924" s="15"/>
      <c r="L924" s="15"/>
      <c r="M924" s="36" t="str">
        <f t="array" ref="M924">IF($A924="","",IF($L924="Atendido",IFERROR($I924*INDEX(Config!$B:$B,MATCH($C924,Config!$A:$A,0)),0),0))</f>
        <v/>
      </c>
      <c r="N924" s="36" t="str">
        <f t="shared" si="2"/>
        <v/>
      </c>
      <c r="O924" s="36" t="str">
        <f t="shared" si="3"/>
        <v/>
      </c>
      <c r="P924" s="15"/>
      <c r="Q924" s="37" t="str">
        <f t="shared" si="4"/>
        <v/>
      </c>
      <c r="R924" s="37" t="str">
        <f t="shared" si="5"/>
        <v/>
      </c>
      <c r="S924" s="32" t="str">
        <f t="shared" si="6"/>
        <v/>
      </c>
      <c r="T924" s="37" t="str">
        <f t="shared" si="7"/>
        <v/>
      </c>
      <c r="U924" s="37" t="str">
        <f t="array" ref="U924">IF($F924="","",IFERROR(INDEX(Config!$F:$F,MATCH($F924,Config!$D:$D,0)),0))</f>
        <v/>
      </c>
    </row>
    <row r="925" ht="15.0" customHeight="1">
      <c r="A925" s="34"/>
      <c r="B925" s="35"/>
      <c r="C925" s="15"/>
      <c r="D925" s="15"/>
      <c r="E925" s="15"/>
      <c r="F925" s="15"/>
      <c r="G925" s="36" t="str">
        <f t="array" ref="G925">IF($F925="","",IFERROR(INDEX(Config!$E:$E,MATCH($F925,Config!$D:$D,0)),0))</f>
        <v/>
      </c>
      <c r="H925" s="16"/>
      <c r="I925" s="36" t="str">
        <f t="shared" si="1"/>
        <v/>
      </c>
      <c r="J925" s="16"/>
      <c r="K925" s="15"/>
      <c r="L925" s="15"/>
      <c r="M925" s="36" t="str">
        <f t="array" ref="M925">IF($A925="","",IF($L925="Atendido",IFERROR($I925*INDEX(Config!$B:$B,MATCH($C925,Config!$A:$A,0)),0),0))</f>
        <v/>
      </c>
      <c r="N925" s="36" t="str">
        <f t="shared" si="2"/>
        <v/>
      </c>
      <c r="O925" s="36" t="str">
        <f t="shared" si="3"/>
        <v/>
      </c>
      <c r="P925" s="15"/>
      <c r="Q925" s="37" t="str">
        <f t="shared" si="4"/>
        <v/>
      </c>
      <c r="R925" s="37" t="str">
        <f t="shared" si="5"/>
        <v/>
      </c>
      <c r="S925" s="32" t="str">
        <f t="shared" si="6"/>
        <v/>
      </c>
      <c r="T925" s="37" t="str">
        <f t="shared" si="7"/>
        <v/>
      </c>
      <c r="U925" s="37" t="str">
        <f t="array" ref="U925">IF($F925="","",IFERROR(INDEX(Config!$F:$F,MATCH($F925,Config!$D:$D,0)),0))</f>
        <v/>
      </c>
    </row>
    <row r="926" ht="15.0" customHeight="1">
      <c r="A926" s="34"/>
      <c r="B926" s="35"/>
      <c r="C926" s="15"/>
      <c r="D926" s="15"/>
      <c r="E926" s="15"/>
      <c r="F926" s="15"/>
      <c r="G926" s="36" t="str">
        <f t="array" ref="G926">IF($F926="","",IFERROR(INDEX(Config!$E:$E,MATCH($F926,Config!$D:$D,0)),0))</f>
        <v/>
      </c>
      <c r="H926" s="16"/>
      <c r="I926" s="36" t="str">
        <f t="shared" si="1"/>
        <v/>
      </c>
      <c r="J926" s="16"/>
      <c r="K926" s="15"/>
      <c r="L926" s="15"/>
      <c r="M926" s="36" t="str">
        <f t="array" ref="M926">IF($A926="","",IF($L926="Atendido",IFERROR($I926*INDEX(Config!$B:$B,MATCH($C926,Config!$A:$A,0)),0),0))</f>
        <v/>
      </c>
      <c r="N926" s="36" t="str">
        <f t="shared" si="2"/>
        <v/>
      </c>
      <c r="O926" s="36" t="str">
        <f t="shared" si="3"/>
        <v/>
      </c>
      <c r="P926" s="15"/>
      <c r="Q926" s="37" t="str">
        <f t="shared" si="4"/>
        <v/>
      </c>
      <c r="R926" s="37" t="str">
        <f t="shared" si="5"/>
        <v/>
      </c>
      <c r="S926" s="32" t="str">
        <f t="shared" si="6"/>
        <v/>
      </c>
      <c r="T926" s="37" t="str">
        <f t="shared" si="7"/>
        <v/>
      </c>
      <c r="U926" s="37" t="str">
        <f t="array" ref="U926">IF($F926="","",IFERROR(INDEX(Config!$F:$F,MATCH($F926,Config!$D:$D,0)),0))</f>
        <v/>
      </c>
    </row>
    <row r="927" ht="15.0" customHeight="1">
      <c r="A927" s="34"/>
      <c r="B927" s="35"/>
      <c r="C927" s="15"/>
      <c r="D927" s="15"/>
      <c r="E927" s="15"/>
      <c r="F927" s="15"/>
      <c r="G927" s="36" t="str">
        <f t="array" ref="G927">IF($F927="","",IFERROR(INDEX(Config!$E:$E,MATCH($F927,Config!$D:$D,0)),0))</f>
        <v/>
      </c>
      <c r="H927" s="16"/>
      <c r="I927" s="36" t="str">
        <f t="shared" si="1"/>
        <v/>
      </c>
      <c r="J927" s="16"/>
      <c r="K927" s="15"/>
      <c r="L927" s="15"/>
      <c r="M927" s="36" t="str">
        <f t="array" ref="M927">IF($A927="","",IF($L927="Atendido",IFERROR($I927*INDEX(Config!$B:$B,MATCH($C927,Config!$A:$A,0)),0),0))</f>
        <v/>
      </c>
      <c r="N927" s="36" t="str">
        <f t="shared" si="2"/>
        <v/>
      </c>
      <c r="O927" s="36" t="str">
        <f t="shared" si="3"/>
        <v/>
      </c>
      <c r="P927" s="15"/>
      <c r="Q927" s="37" t="str">
        <f t="shared" si="4"/>
        <v/>
      </c>
      <c r="R927" s="37" t="str">
        <f t="shared" si="5"/>
        <v/>
      </c>
      <c r="S927" s="32" t="str">
        <f t="shared" si="6"/>
        <v/>
      </c>
      <c r="T927" s="37" t="str">
        <f t="shared" si="7"/>
        <v/>
      </c>
      <c r="U927" s="37" t="str">
        <f t="array" ref="U927">IF($F927="","",IFERROR(INDEX(Config!$F:$F,MATCH($F927,Config!$D:$D,0)),0))</f>
        <v/>
      </c>
    </row>
    <row r="928" ht="15.0" customHeight="1">
      <c r="A928" s="34"/>
      <c r="B928" s="35"/>
      <c r="C928" s="15"/>
      <c r="D928" s="15"/>
      <c r="E928" s="15"/>
      <c r="F928" s="15"/>
      <c r="G928" s="36" t="str">
        <f t="array" ref="G928">IF($F928="","",IFERROR(INDEX(Config!$E:$E,MATCH($F928,Config!$D:$D,0)),0))</f>
        <v/>
      </c>
      <c r="H928" s="16"/>
      <c r="I928" s="36" t="str">
        <f t="shared" si="1"/>
        <v/>
      </c>
      <c r="J928" s="16"/>
      <c r="K928" s="15"/>
      <c r="L928" s="15"/>
      <c r="M928" s="36" t="str">
        <f t="array" ref="M928">IF($A928="","",IF($L928="Atendido",IFERROR($I928*INDEX(Config!$B:$B,MATCH($C928,Config!$A:$A,0)),0),0))</f>
        <v/>
      </c>
      <c r="N928" s="36" t="str">
        <f t="shared" si="2"/>
        <v/>
      </c>
      <c r="O928" s="36" t="str">
        <f t="shared" si="3"/>
        <v/>
      </c>
      <c r="P928" s="15"/>
      <c r="Q928" s="37" t="str">
        <f t="shared" si="4"/>
        <v/>
      </c>
      <c r="R928" s="37" t="str">
        <f t="shared" si="5"/>
        <v/>
      </c>
      <c r="S928" s="32" t="str">
        <f t="shared" si="6"/>
        <v/>
      </c>
      <c r="T928" s="37" t="str">
        <f t="shared" si="7"/>
        <v/>
      </c>
      <c r="U928" s="37" t="str">
        <f t="array" ref="U928">IF($F928="","",IFERROR(INDEX(Config!$F:$F,MATCH($F928,Config!$D:$D,0)),0))</f>
        <v/>
      </c>
    </row>
    <row r="929" ht="15.0" customHeight="1">
      <c r="A929" s="34"/>
      <c r="B929" s="35"/>
      <c r="C929" s="15"/>
      <c r="D929" s="15"/>
      <c r="E929" s="15"/>
      <c r="F929" s="15"/>
      <c r="G929" s="36" t="str">
        <f t="array" ref="G929">IF($F929="","",IFERROR(INDEX(Config!$E:$E,MATCH($F929,Config!$D:$D,0)),0))</f>
        <v/>
      </c>
      <c r="H929" s="16"/>
      <c r="I929" s="36" t="str">
        <f t="shared" si="1"/>
        <v/>
      </c>
      <c r="J929" s="16"/>
      <c r="K929" s="15"/>
      <c r="L929" s="15"/>
      <c r="M929" s="36" t="str">
        <f t="array" ref="M929">IF($A929="","",IF($L929="Atendido",IFERROR($I929*INDEX(Config!$B:$B,MATCH($C929,Config!$A:$A,0)),0),0))</f>
        <v/>
      </c>
      <c r="N929" s="36" t="str">
        <f t="shared" si="2"/>
        <v/>
      </c>
      <c r="O929" s="36" t="str">
        <f t="shared" si="3"/>
        <v/>
      </c>
      <c r="P929" s="15"/>
      <c r="Q929" s="37" t="str">
        <f t="shared" si="4"/>
        <v/>
      </c>
      <c r="R929" s="37" t="str">
        <f t="shared" si="5"/>
        <v/>
      </c>
      <c r="S929" s="32" t="str">
        <f t="shared" si="6"/>
        <v/>
      </c>
      <c r="T929" s="37" t="str">
        <f t="shared" si="7"/>
        <v/>
      </c>
      <c r="U929" s="37" t="str">
        <f t="array" ref="U929">IF($F929="","",IFERROR(INDEX(Config!$F:$F,MATCH($F929,Config!$D:$D,0)),0))</f>
        <v/>
      </c>
    </row>
    <row r="930" ht="15.0" customHeight="1">
      <c r="A930" s="34"/>
      <c r="B930" s="35"/>
      <c r="C930" s="15"/>
      <c r="D930" s="15"/>
      <c r="E930" s="15"/>
      <c r="F930" s="15"/>
      <c r="G930" s="36" t="str">
        <f t="array" ref="G930">IF($F930="","",IFERROR(INDEX(Config!$E:$E,MATCH($F930,Config!$D:$D,0)),0))</f>
        <v/>
      </c>
      <c r="H930" s="16"/>
      <c r="I930" s="36" t="str">
        <f t="shared" si="1"/>
        <v/>
      </c>
      <c r="J930" s="16"/>
      <c r="K930" s="15"/>
      <c r="L930" s="15"/>
      <c r="M930" s="36" t="str">
        <f t="array" ref="M930">IF($A930="","",IF($L930="Atendido",IFERROR($I930*INDEX(Config!$B:$B,MATCH($C930,Config!$A:$A,0)),0),0))</f>
        <v/>
      </c>
      <c r="N930" s="36" t="str">
        <f t="shared" si="2"/>
        <v/>
      </c>
      <c r="O930" s="36" t="str">
        <f t="shared" si="3"/>
        <v/>
      </c>
      <c r="P930" s="15"/>
      <c r="Q930" s="37" t="str">
        <f t="shared" si="4"/>
        <v/>
      </c>
      <c r="R930" s="37" t="str">
        <f t="shared" si="5"/>
        <v/>
      </c>
      <c r="S930" s="32" t="str">
        <f t="shared" si="6"/>
        <v/>
      </c>
      <c r="T930" s="37" t="str">
        <f t="shared" si="7"/>
        <v/>
      </c>
      <c r="U930" s="37" t="str">
        <f t="array" ref="U930">IF($F930="","",IFERROR(INDEX(Config!$F:$F,MATCH($F930,Config!$D:$D,0)),0))</f>
        <v/>
      </c>
    </row>
    <row r="931" ht="15.0" customHeight="1">
      <c r="A931" s="34"/>
      <c r="B931" s="35"/>
      <c r="C931" s="15"/>
      <c r="D931" s="15"/>
      <c r="E931" s="15"/>
      <c r="F931" s="15"/>
      <c r="G931" s="36" t="str">
        <f t="array" ref="G931">IF($F931="","",IFERROR(INDEX(Config!$E:$E,MATCH($F931,Config!$D:$D,0)),0))</f>
        <v/>
      </c>
      <c r="H931" s="16"/>
      <c r="I931" s="36" t="str">
        <f t="shared" si="1"/>
        <v/>
      </c>
      <c r="J931" s="16"/>
      <c r="K931" s="15"/>
      <c r="L931" s="15"/>
      <c r="M931" s="36" t="str">
        <f t="array" ref="M931">IF($A931="","",IF($L931="Atendido",IFERROR($I931*INDEX(Config!$B:$B,MATCH($C931,Config!$A:$A,0)),0),0))</f>
        <v/>
      </c>
      <c r="N931" s="36" t="str">
        <f t="shared" si="2"/>
        <v/>
      </c>
      <c r="O931" s="36" t="str">
        <f t="shared" si="3"/>
        <v/>
      </c>
      <c r="P931" s="15"/>
      <c r="Q931" s="37" t="str">
        <f t="shared" si="4"/>
        <v/>
      </c>
      <c r="R931" s="37" t="str">
        <f t="shared" si="5"/>
        <v/>
      </c>
      <c r="S931" s="32" t="str">
        <f t="shared" si="6"/>
        <v/>
      </c>
      <c r="T931" s="37" t="str">
        <f t="shared" si="7"/>
        <v/>
      </c>
      <c r="U931" s="37" t="str">
        <f t="array" ref="U931">IF($F931="","",IFERROR(INDEX(Config!$F:$F,MATCH($F931,Config!$D:$D,0)),0))</f>
        <v/>
      </c>
    </row>
    <row r="932" ht="15.0" customHeight="1">
      <c r="A932" s="34"/>
      <c r="B932" s="35"/>
      <c r="C932" s="15"/>
      <c r="D932" s="15"/>
      <c r="E932" s="15"/>
      <c r="F932" s="15"/>
      <c r="G932" s="36" t="str">
        <f t="array" ref="G932">IF($F932="","",IFERROR(INDEX(Config!$E:$E,MATCH($F932,Config!$D:$D,0)),0))</f>
        <v/>
      </c>
      <c r="H932" s="16"/>
      <c r="I932" s="36" t="str">
        <f t="shared" si="1"/>
        <v/>
      </c>
      <c r="J932" s="16"/>
      <c r="K932" s="15"/>
      <c r="L932" s="15"/>
      <c r="M932" s="36" t="str">
        <f t="array" ref="M932">IF($A932="","",IF($L932="Atendido",IFERROR($I932*INDEX(Config!$B:$B,MATCH($C932,Config!$A:$A,0)),0),0))</f>
        <v/>
      </c>
      <c r="N932" s="36" t="str">
        <f t="shared" si="2"/>
        <v/>
      </c>
      <c r="O932" s="36" t="str">
        <f t="shared" si="3"/>
        <v/>
      </c>
      <c r="P932" s="15"/>
      <c r="Q932" s="37" t="str">
        <f t="shared" si="4"/>
        <v/>
      </c>
      <c r="R932" s="37" t="str">
        <f t="shared" si="5"/>
        <v/>
      </c>
      <c r="S932" s="32" t="str">
        <f t="shared" si="6"/>
        <v/>
      </c>
      <c r="T932" s="37" t="str">
        <f t="shared" si="7"/>
        <v/>
      </c>
      <c r="U932" s="37" t="str">
        <f t="array" ref="U932">IF($F932="","",IFERROR(INDEX(Config!$F:$F,MATCH($F932,Config!$D:$D,0)),0))</f>
        <v/>
      </c>
    </row>
    <row r="933" ht="15.0" customHeight="1">
      <c r="A933" s="34"/>
      <c r="B933" s="35"/>
      <c r="C933" s="15"/>
      <c r="D933" s="15"/>
      <c r="E933" s="15"/>
      <c r="F933" s="15"/>
      <c r="G933" s="36" t="str">
        <f t="array" ref="G933">IF($F933="","",IFERROR(INDEX(Config!$E:$E,MATCH($F933,Config!$D:$D,0)),0))</f>
        <v/>
      </c>
      <c r="H933" s="16"/>
      <c r="I933" s="36" t="str">
        <f t="shared" si="1"/>
        <v/>
      </c>
      <c r="J933" s="16"/>
      <c r="K933" s="15"/>
      <c r="L933" s="15"/>
      <c r="M933" s="36" t="str">
        <f t="array" ref="M933">IF($A933="","",IF($L933="Atendido",IFERROR($I933*INDEX(Config!$B:$B,MATCH($C933,Config!$A:$A,0)),0),0))</f>
        <v/>
      </c>
      <c r="N933" s="36" t="str">
        <f t="shared" si="2"/>
        <v/>
      </c>
      <c r="O933" s="36" t="str">
        <f t="shared" si="3"/>
        <v/>
      </c>
      <c r="P933" s="15"/>
      <c r="Q933" s="37" t="str">
        <f t="shared" si="4"/>
        <v/>
      </c>
      <c r="R933" s="37" t="str">
        <f t="shared" si="5"/>
        <v/>
      </c>
      <c r="S933" s="32" t="str">
        <f t="shared" si="6"/>
        <v/>
      </c>
      <c r="T933" s="37" t="str">
        <f t="shared" si="7"/>
        <v/>
      </c>
      <c r="U933" s="37" t="str">
        <f t="array" ref="U933">IF($F933="","",IFERROR(INDEX(Config!$F:$F,MATCH($F933,Config!$D:$D,0)),0))</f>
        <v/>
      </c>
    </row>
    <row r="934" ht="15.0" customHeight="1">
      <c r="A934" s="34"/>
      <c r="B934" s="35"/>
      <c r="C934" s="15"/>
      <c r="D934" s="15"/>
      <c r="E934" s="15"/>
      <c r="F934" s="15"/>
      <c r="G934" s="36" t="str">
        <f t="array" ref="G934">IF($F934="","",IFERROR(INDEX(Config!$E:$E,MATCH($F934,Config!$D:$D,0)),0))</f>
        <v/>
      </c>
      <c r="H934" s="16"/>
      <c r="I934" s="36" t="str">
        <f t="shared" si="1"/>
        <v/>
      </c>
      <c r="J934" s="16"/>
      <c r="K934" s="15"/>
      <c r="L934" s="15"/>
      <c r="M934" s="36" t="str">
        <f t="array" ref="M934">IF($A934="","",IF($L934="Atendido",IFERROR($I934*INDEX(Config!$B:$B,MATCH($C934,Config!$A:$A,0)),0),0))</f>
        <v/>
      </c>
      <c r="N934" s="36" t="str">
        <f t="shared" si="2"/>
        <v/>
      </c>
      <c r="O934" s="36" t="str">
        <f t="shared" si="3"/>
        <v/>
      </c>
      <c r="P934" s="15"/>
      <c r="Q934" s="37" t="str">
        <f t="shared" si="4"/>
        <v/>
      </c>
      <c r="R934" s="37" t="str">
        <f t="shared" si="5"/>
        <v/>
      </c>
      <c r="S934" s="32" t="str">
        <f t="shared" si="6"/>
        <v/>
      </c>
      <c r="T934" s="37" t="str">
        <f t="shared" si="7"/>
        <v/>
      </c>
      <c r="U934" s="37" t="str">
        <f t="array" ref="U934">IF($F934="","",IFERROR(INDEX(Config!$F:$F,MATCH($F934,Config!$D:$D,0)),0))</f>
        <v/>
      </c>
    </row>
    <row r="935" ht="15.0" customHeight="1">
      <c r="A935" s="34"/>
      <c r="B935" s="35"/>
      <c r="C935" s="15"/>
      <c r="D935" s="15"/>
      <c r="E935" s="15"/>
      <c r="F935" s="15"/>
      <c r="G935" s="36" t="str">
        <f t="array" ref="G935">IF($F935="","",IFERROR(INDEX(Config!$E:$E,MATCH($F935,Config!$D:$D,0)),0))</f>
        <v/>
      </c>
      <c r="H935" s="16"/>
      <c r="I935" s="36" t="str">
        <f t="shared" si="1"/>
        <v/>
      </c>
      <c r="J935" s="16"/>
      <c r="K935" s="15"/>
      <c r="L935" s="15"/>
      <c r="M935" s="36" t="str">
        <f t="array" ref="M935">IF($A935="","",IF($L935="Atendido",IFERROR($I935*INDEX(Config!$B:$B,MATCH($C935,Config!$A:$A,0)),0),0))</f>
        <v/>
      </c>
      <c r="N935" s="36" t="str">
        <f t="shared" si="2"/>
        <v/>
      </c>
      <c r="O935" s="36" t="str">
        <f t="shared" si="3"/>
        <v/>
      </c>
      <c r="P935" s="15"/>
      <c r="Q935" s="37" t="str">
        <f t="shared" si="4"/>
        <v/>
      </c>
      <c r="R935" s="37" t="str">
        <f t="shared" si="5"/>
        <v/>
      </c>
      <c r="S935" s="32" t="str">
        <f t="shared" si="6"/>
        <v/>
      </c>
      <c r="T935" s="37" t="str">
        <f t="shared" si="7"/>
        <v/>
      </c>
      <c r="U935" s="37" t="str">
        <f t="array" ref="U935">IF($F935="","",IFERROR(INDEX(Config!$F:$F,MATCH($F935,Config!$D:$D,0)),0))</f>
        <v/>
      </c>
    </row>
    <row r="936" ht="15.0" customHeight="1">
      <c r="A936" s="34"/>
      <c r="B936" s="35"/>
      <c r="C936" s="15"/>
      <c r="D936" s="15"/>
      <c r="E936" s="15"/>
      <c r="F936" s="15"/>
      <c r="G936" s="36" t="str">
        <f t="array" ref="G936">IF($F936="","",IFERROR(INDEX(Config!$E:$E,MATCH($F936,Config!$D:$D,0)),0))</f>
        <v/>
      </c>
      <c r="H936" s="16"/>
      <c r="I936" s="36" t="str">
        <f t="shared" si="1"/>
        <v/>
      </c>
      <c r="J936" s="16"/>
      <c r="K936" s="15"/>
      <c r="L936" s="15"/>
      <c r="M936" s="36" t="str">
        <f t="array" ref="M936">IF($A936="","",IF($L936="Atendido",IFERROR($I936*INDEX(Config!$B:$B,MATCH($C936,Config!$A:$A,0)),0),0))</f>
        <v/>
      </c>
      <c r="N936" s="36" t="str">
        <f t="shared" si="2"/>
        <v/>
      </c>
      <c r="O936" s="36" t="str">
        <f t="shared" si="3"/>
        <v/>
      </c>
      <c r="P936" s="15"/>
      <c r="Q936" s="37" t="str">
        <f t="shared" si="4"/>
        <v/>
      </c>
      <c r="R936" s="37" t="str">
        <f t="shared" si="5"/>
        <v/>
      </c>
      <c r="S936" s="32" t="str">
        <f t="shared" si="6"/>
        <v/>
      </c>
      <c r="T936" s="37" t="str">
        <f t="shared" si="7"/>
        <v/>
      </c>
      <c r="U936" s="37" t="str">
        <f t="array" ref="U936">IF($F936="","",IFERROR(INDEX(Config!$F:$F,MATCH($F936,Config!$D:$D,0)),0))</f>
        <v/>
      </c>
    </row>
    <row r="937" ht="15.0" customHeight="1">
      <c r="A937" s="34"/>
      <c r="B937" s="35"/>
      <c r="C937" s="15"/>
      <c r="D937" s="15"/>
      <c r="E937" s="15"/>
      <c r="F937" s="15"/>
      <c r="G937" s="36" t="str">
        <f t="array" ref="G937">IF($F937="","",IFERROR(INDEX(Config!$E:$E,MATCH($F937,Config!$D:$D,0)),0))</f>
        <v/>
      </c>
      <c r="H937" s="16"/>
      <c r="I937" s="36" t="str">
        <f t="shared" si="1"/>
        <v/>
      </c>
      <c r="J937" s="16"/>
      <c r="K937" s="15"/>
      <c r="L937" s="15"/>
      <c r="M937" s="36" t="str">
        <f t="array" ref="M937">IF($A937="","",IF($L937="Atendido",IFERROR($I937*INDEX(Config!$B:$B,MATCH($C937,Config!$A:$A,0)),0),0))</f>
        <v/>
      </c>
      <c r="N937" s="36" t="str">
        <f t="shared" si="2"/>
        <v/>
      </c>
      <c r="O937" s="36" t="str">
        <f t="shared" si="3"/>
        <v/>
      </c>
      <c r="P937" s="15"/>
      <c r="Q937" s="37" t="str">
        <f t="shared" si="4"/>
        <v/>
      </c>
      <c r="R937" s="37" t="str">
        <f t="shared" si="5"/>
        <v/>
      </c>
      <c r="S937" s="32" t="str">
        <f t="shared" si="6"/>
        <v/>
      </c>
      <c r="T937" s="37" t="str">
        <f t="shared" si="7"/>
        <v/>
      </c>
      <c r="U937" s="37" t="str">
        <f t="array" ref="U937">IF($F937="","",IFERROR(INDEX(Config!$F:$F,MATCH($F937,Config!$D:$D,0)),0))</f>
        <v/>
      </c>
    </row>
    <row r="938" ht="15.0" customHeight="1">
      <c r="A938" s="34"/>
      <c r="B938" s="35"/>
      <c r="C938" s="15"/>
      <c r="D938" s="15"/>
      <c r="E938" s="15"/>
      <c r="F938" s="15"/>
      <c r="G938" s="36" t="str">
        <f t="array" ref="G938">IF($F938="","",IFERROR(INDEX(Config!$E:$E,MATCH($F938,Config!$D:$D,0)),0))</f>
        <v/>
      </c>
      <c r="H938" s="16"/>
      <c r="I938" s="36" t="str">
        <f t="shared" si="1"/>
        <v/>
      </c>
      <c r="J938" s="16"/>
      <c r="K938" s="15"/>
      <c r="L938" s="15"/>
      <c r="M938" s="36" t="str">
        <f t="array" ref="M938">IF($A938="","",IF($L938="Atendido",IFERROR($I938*INDEX(Config!$B:$B,MATCH($C938,Config!$A:$A,0)),0),0))</f>
        <v/>
      </c>
      <c r="N938" s="36" t="str">
        <f t="shared" si="2"/>
        <v/>
      </c>
      <c r="O938" s="36" t="str">
        <f t="shared" si="3"/>
        <v/>
      </c>
      <c r="P938" s="15"/>
      <c r="Q938" s="37" t="str">
        <f t="shared" si="4"/>
        <v/>
      </c>
      <c r="R938" s="37" t="str">
        <f t="shared" si="5"/>
        <v/>
      </c>
      <c r="S938" s="32" t="str">
        <f t="shared" si="6"/>
        <v/>
      </c>
      <c r="T938" s="37" t="str">
        <f t="shared" si="7"/>
        <v/>
      </c>
      <c r="U938" s="37" t="str">
        <f t="array" ref="U938">IF($F938="","",IFERROR(INDEX(Config!$F:$F,MATCH($F938,Config!$D:$D,0)),0))</f>
        <v/>
      </c>
    </row>
    <row r="939" ht="15.0" customHeight="1">
      <c r="A939" s="34"/>
      <c r="B939" s="35"/>
      <c r="C939" s="15"/>
      <c r="D939" s="15"/>
      <c r="E939" s="15"/>
      <c r="F939" s="15"/>
      <c r="G939" s="36" t="str">
        <f t="array" ref="G939">IF($F939="","",IFERROR(INDEX(Config!$E:$E,MATCH($F939,Config!$D:$D,0)),0))</f>
        <v/>
      </c>
      <c r="H939" s="16"/>
      <c r="I939" s="36" t="str">
        <f t="shared" si="1"/>
        <v/>
      </c>
      <c r="J939" s="16"/>
      <c r="K939" s="15"/>
      <c r="L939" s="15"/>
      <c r="M939" s="36" t="str">
        <f t="array" ref="M939">IF($A939="","",IF($L939="Atendido",IFERROR($I939*INDEX(Config!$B:$B,MATCH($C939,Config!$A:$A,0)),0),0))</f>
        <v/>
      </c>
      <c r="N939" s="36" t="str">
        <f t="shared" si="2"/>
        <v/>
      </c>
      <c r="O939" s="36" t="str">
        <f t="shared" si="3"/>
        <v/>
      </c>
      <c r="P939" s="15"/>
      <c r="Q939" s="37" t="str">
        <f t="shared" si="4"/>
        <v/>
      </c>
      <c r="R939" s="37" t="str">
        <f t="shared" si="5"/>
        <v/>
      </c>
      <c r="S939" s="32" t="str">
        <f t="shared" si="6"/>
        <v/>
      </c>
      <c r="T939" s="37" t="str">
        <f t="shared" si="7"/>
        <v/>
      </c>
      <c r="U939" s="37" t="str">
        <f t="array" ref="U939">IF($F939="","",IFERROR(INDEX(Config!$F:$F,MATCH($F939,Config!$D:$D,0)),0))</f>
        <v/>
      </c>
    </row>
    <row r="940" ht="15.0" customHeight="1">
      <c r="A940" s="34"/>
      <c r="B940" s="35"/>
      <c r="C940" s="15"/>
      <c r="D940" s="15"/>
      <c r="E940" s="15"/>
      <c r="F940" s="15"/>
      <c r="G940" s="36" t="str">
        <f t="array" ref="G940">IF($F940="","",IFERROR(INDEX(Config!$E:$E,MATCH($F940,Config!$D:$D,0)),0))</f>
        <v/>
      </c>
      <c r="H940" s="16"/>
      <c r="I940" s="36" t="str">
        <f t="shared" si="1"/>
        <v/>
      </c>
      <c r="J940" s="16"/>
      <c r="K940" s="15"/>
      <c r="L940" s="15"/>
      <c r="M940" s="36" t="str">
        <f t="array" ref="M940">IF($A940="","",IF($L940="Atendido",IFERROR($I940*INDEX(Config!$B:$B,MATCH($C940,Config!$A:$A,0)),0),0))</f>
        <v/>
      </c>
      <c r="N940" s="36" t="str">
        <f t="shared" si="2"/>
        <v/>
      </c>
      <c r="O940" s="36" t="str">
        <f t="shared" si="3"/>
        <v/>
      </c>
      <c r="P940" s="15"/>
      <c r="Q940" s="37" t="str">
        <f t="shared" si="4"/>
        <v/>
      </c>
      <c r="R940" s="37" t="str">
        <f t="shared" si="5"/>
        <v/>
      </c>
      <c r="S940" s="32" t="str">
        <f t="shared" si="6"/>
        <v/>
      </c>
      <c r="T940" s="37" t="str">
        <f t="shared" si="7"/>
        <v/>
      </c>
      <c r="U940" s="37" t="str">
        <f t="array" ref="U940">IF($F940="","",IFERROR(INDEX(Config!$F:$F,MATCH($F940,Config!$D:$D,0)),0))</f>
        <v/>
      </c>
    </row>
    <row r="941" ht="15.0" customHeight="1">
      <c r="A941" s="34"/>
      <c r="B941" s="35"/>
      <c r="C941" s="15"/>
      <c r="D941" s="15"/>
      <c r="E941" s="15"/>
      <c r="F941" s="15"/>
      <c r="G941" s="36" t="str">
        <f t="array" ref="G941">IF($F941="","",IFERROR(INDEX(Config!$E:$E,MATCH($F941,Config!$D:$D,0)),0))</f>
        <v/>
      </c>
      <c r="H941" s="16"/>
      <c r="I941" s="36" t="str">
        <f t="shared" si="1"/>
        <v/>
      </c>
      <c r="J941" s="16"/>
      <c r="K941" s="15"/>
      <c r="L941" s="15"/>
      <c r="M941" s="36" t="str">
        <f t="array" ref="M941">IF($A941="","",IF($L941="Atendido",IFERROR($I941*INDEX(Config!$B:$B,MATCH($C941,Config!$A:$A,0)),0),0))</f>
        <v/>
      </c>
      <c r="N941" s="36" t="str">
        <f t="shared" si="2"/>
        <v/>
      </c>
      <c r="O941" s="36" t="str">
        <f t="shared" si="3"/>
        <v/>
      </c>
      <c r="P941" s="15"/>
      <c r="Q941" s="37" t="str">
        <f t="shared" si="4"/>
        <v/>
      </c>
      <c r="R941" s="37" t="str">
        <f t="shared" si="5"/>
        <v/>
      </c>
      <c r="S941" s="32" t="str">
        <f t="shared" si="6"/>
        <v/>
      </c>
      <c r="T941" s="37" t="str">
        <f t="shared" si="7"/>
        <v/>
      </c>
      <c r="U941" s="37" t="str">
        <f t="array" ref="U941">IF($F941="","",IFERROR(INDEX(Config!$F:$F,MATCH($F941,Config!$D:$D,0)),0))</f>
        <v/>
      </c>
    </row>
    <row r="942" ht="15.0" customHeight="1">
      <c r="A942" s="34"/>
      <c r="B942" s="35"/>
      <c r="C942" s="15"/>
      <c r="D942" s="15"/>
      <c r="E942" s="15"/>
      <c r="F942" s="15"/>
      <c r="G942" s="36" t="str">
        <f t="array" ref="G942">IF($F942="","",IFERROR(INDEX(Config!$E:$E,MATCH($F942,Config!$D:$D,0)),0))</f>
        <v/>
      </c>
      <c r="H942" s="16"/>
      <c r="I942" s="36" t="str">
        <f t="shared" si="1"/>
        <v/>
      </c>
      <c r="J942" s="16"/>
      <c r="K942" s="15"/>
      <c r="L942" s="15"/>
      <c r="M942" s="36" t="str">
        <f t="array" ref="M942">IF($A942="","",IF($L942="Atendido",IFERROR($I942*INDEX(Config!$B:$B,MATCH($C942,Config!$A:$A,0)),0),0))</f>
        <v/>
      </c>
      <c r="N942" s="36" t="str">
        <f t="shared" si="2"/>
        <v/>
      </c>
      <c r="O942" s="36" t="str">
        <f t="shared" si="3"/>
        <v/>
      </c>
      <c r="P942" s="15"/>
      <c r="Q942" s="37" t="str">
        <f t="shared" si="4"/>
        <v/>
      </c>
      <c r="R942" s="37" t="str">
        <f t="shared" si="5"/>
        <v/>
      </c>
      <c r="S942" s="32" t="str">
        <f t="shared" si="6"/>
        <v/>
      </c>
      <c r="T942" s="37" t="str">
        <f t="shared" si="7"/>
        <v/>
      </c>
      <c r="U942" s="37" t="str">
        <f t="array" ref="U942">IF($F942="","",IFERROR(INDEX(Config!$F:$F,MATCH($F942,Config!$D:$D,0)),0))</f>
        <v/>
      </c>
    </row>
    <row r="943" ht="15.0" customHeight="1">
      <c r="A943" s="34"/>
      <c r="B943" s="35"/>
      <c r="C943" s="15"/>
      <c r="D943" s="15"/>
      <c r="E943" s="15"/>
      <c r="F943" s="15"/>
      <c r="G943" s="36" t="str">
        <f t="array" ref="G943">IF($F943="","",IFERROR(INDEX(Config!$E:$E,MATCH($F943,Config!$D:$D,0)),0))</f>
        <v/>
      </c>
      <c r="H943" s="16"/>
      <c r="I943" s="36" t="str">
        <f t="shared" si="1"/>
        <v/>
      </c>
      <c r="J943" s="16"/>
      <c r="K943" s="15"/>
      <c r="L943" s="15"/>
      <c r="M943" s="36" t="str">
        <f t="array" ref="M943">IF($A943="","",IF($L943="Atendido",IFERROR($I943*INDEX(Config!$B:$B,MATCH($C943,Config!$A:$A,0)),0),0))</f>
        <v/>
      </c>
      <c r="N943" s="36" t="str">
        <f t="shared" si="2"/>
        <v/>
      </c>
      <c r="O943" s="36" t="str">
        <f t="shared" si="3"/>
        <v/>
      </c>
      <c r="P943" s="15"/>
      <c r="Q943" s="37" t="str">
        <f t="shared" si="4"/>
        <v/>
      </c>
      <c r="R943" s="37" t="str">
        <f t="shared" si="5"/>
        <v/>
      </c>
      <c r="S943" s="32" t="str">
        <f t="shared" si="6"/>
        <v/>
      </c>
      <c r="T943" s="37" t="str">
        <f t="shared" si="7"/>
        <v/>
      </c>
      <c r="U943" s="37" t="str">
        <f t="array" ref="U943">IF($F943="","",IFERROR(INDEX(Config!$F:$F,MATCH($F943,Config!$D:$D,0)),0))</f>
        <v/>
      </c>
    </row>
    <row r="944" ht="15.0" customHeight="1">
      <c r="A944" s="34"/>
      <c r="B944" s="35"/>
      <c r="C944" s="15"/>
      <c r="D944" s="15"/>
      <c r="E944" s="15"/>
      <c r="F944" s="15"/>
      <c r="G944" s="36" t="str">
        <f t="array" ref="G944">IF($F944="","",IFERROR(INDEX(Config!$E:$E,MATCH($F944,Config!$D:$D,0)),0))</f>
        <v/>
      </c>
      <c r="H944" s="16"/>
      <c r="I944" s="36" t="str">
        <f t="shared" si="1"/>
        <v/>
      </c>
      <c r="J944" s="16"/>
      <c r="K944" s="15"/>
      <c r="L944" s="15"/>
      <c r="M944" s="36" t="str">
        <f t="array" ref="M944">IF($A944="","",IF($L944="Atendido",IFERROR($I944*INDEX(Config!$B:$B,MATCH($C944,Config!$A:$A,0)),0),0))</f>
        <v/>
      </c>
      <c r="N944" s="36" t="str">
        <f t="shared" si="2"/>
        <v/>
      </c>
      <c r="O944" s="36" t="str">
        <f t="shared" si="3"/>
        <v/>
      </c>
      <c r="P944" s="15"/>
      <c r="Q944" s="37" t="str">
        <f t="shared" si="4"/>
        <v/>
      </c>
      <c r="R944" s="37" t="str">
        <f t="shared" si="5"/>
        <v/>
      </c>
      <c r="S944" s="32" t="str">
        <f t="shared" si="6"/>
        <v/>
      </c>
      <c r="T944" s="37" t="str">
        <f t="shared" si="7"/>
        <v/>
      </c>
      <c r="U944" s="37" t="str">
        <f t="array" ref="U944">IF($F944="","",IFERROR(INDEX(Config!$F:$F,MATCH($F944,Config!$D:$D,0)),0))</f>
        <v/>
      </c>
    </row>
    <row r="945" ht="15.0" customHeight="1">
      <c r="A945" s="34"/>
      <c r="B945" s="35"/>
      <c r="C945" s="15"/>
      <c r="D945" s="15"/>
      <c r="E945" s="15"/>
      <c r="F945" s="15"/>
      <c r="G945" s="36" t="str">
        <f t="array" ref="G945">IF($F945="","",IFERROR(INDEX(Config!$E:$E,MATCH($F945,Config!$D:$D,0)),0))</f>
        <v/>
      </c>
      <c r="H945" s="16"/>
      <c r="I945" s="36" t="str">
        <f t="shared" si="1"/>
        <v/>
      </c>
      <c r="J945" s="16"/>
      <c r="K945" s="15"/>
      <c r="L945" s="15"/>
      <c r="M945" s="36" t="str">
        <f t="array" ref="M945">IF($A945="","",IF($L945="Atendido",IFERROR($I945*INDEX(Config!$B:$B,MATCH($C945,Config!$A:$A,0)),0),0))</f>
        <v/>
      </c>
      <c r="N945" s="36" t="str">
        <f t="shared" si="2"/>
        <v/>
      </c>
      <c r="O945" s="36" t="str">
        <f t="shared" si="3"/>
        <v/>
      </c>
      <c r="P945" s="15"/>
      <c r="Q945" s="37" t="str">
        <f t="shared" si="4"/>
        <v/>
      </c>
      <c r="R945" s="37" t="str">
        <f t="shared" si="5"/>
        <v/>
      </c>
      <c r="S945" s="32" t="str">
        <f t="shared" si="6"/>
        <v/>
      </c>
      <c r="T945" s="37" t="str">
        <f t="shared" si="7"/>
        <v/>
      </c>
      <c r="U945" s="37" t="str">
        <f t="array" ref="U945">IF($F945="","",IFERROR(INDEX(Config!$F:$F,MATCH($F945,Config!$D:$D,0)),0))</f>
        <v/>
      </c>
    </row>
    <row r="946" ht="15.0" customHeight="1">
      <c r="A946" s="34"/>
      <c r="B946" s="35"/>
      <c r="C946" s="15"/>
      <c r="D946" s="15"/>
      <c r="E946" s="15"/>
      <c r="F946" s="15"/>
      <c r="G946" s="36" t="str">
        <f t="array" ref="G946">IF($F946="","",IFERROR(INDEX(Config!$E:$E,MATCH($F946,Config!$D:$D,0)),0))</f>
        <v/>
      </c>
      <c r="H946" s="16"/>
      <c r="I946" s="36" t="str">
        <f t="shared" si="1"/>
        <v/>
      </c>
      <c r="J946" s="16"/>
      <c r="K946" s="15"/>
      <c r="L946" s="15"/>
      <c r="M946" s="36" t="str">
        <f t="array" ref="M946">IF($A946="","",IF($L946="Atendido",IFERROR($I946*INDEX(Config!$B:$B,MATCH($C946,Config!$A:$A,0)),0),0))</f>
        <v/>
      </c>
      <c r="N946" s="36" t="str">
        <f t="shared" si="2"/>
        <v/>
      </c>
      <c r="O946" s="36" t="str">
        <f t="shared" si="3"/>
        <v/>
      </c>
      <c r="P946" s="15"/>
      <c r="Q946" s="37" t="str">
        <f t="shared" si="4"/>
        <v/>
      </c>
      <c r="R946" s="37" t="str">
        <f t="shared" si="5"/>
        <v/>
      </c>
      <c r="S946" s="32" t="str">
        <f t="shared" si="6"/>
        <v/>
      </c>
      <c r="T946" s="37" t="str">
        <f t="shared" si="7"/>
        <v/>
      </c>
      <c r="U946" s="37" t="str">
        <f t="array" ref="U946">IF($F946="","",IFERROR(INDEX(Config!$F:$F,MATCH($F946,Config!$D:$D,0)),0))</f>
        <v/>
      </c>
    </row>
    <row r="947" ht="15.0" customHeight="1">
      <c r="A947" s="34"/>
      <c r="B947" s="35"/>
      <c r="C947" s="15"/>
      <c r="D947" s="15"/>
      <c r="E947" s="15"/>
      <c r="F947" s="15"/>
      <c r="G947" s="36" t="str">
        <f t="array" ref="G947">IF($F947="","",IFERROR(INDEX(Config!$E:$E,MATCH($F947,Config!$D:$D,0)),0))</f>
        <v/>
      </c>
      <c r="H947" s="16"/>
      <c r="I947" s="36" t="str">
        <f t="shared" si="1"/>
        <v/>
      </c>
      <c r="J947" s="16"/>
      <c r="K947" s="15"/>
      <c r="L947" s="15"/>
      <c r="M947" s="36" t="str">
        <f t="array" ref="M947">IF($A947="","",IF($L947="Atendido",IFERROR($I947*INDEX(Config!$B:$B,MATCH($C947,Config!$A:$A,0)),0),0))</f>
        <v/>
      </c>
      <c r="N947" s="36" t="str">
        <f t="shared" si="2"/>
        <v/>
      </c>
      <c r="O947" s="36" t="str">
        <f t="shared" si="3"/>
        <v/>
      </c>
      <c r="P947" s="15"/>
      <c r="Q947" s="37" t="str">
        <f t="shared" si="4"/>
        <v/>
      </c>
      <c r="R947" s="37" t="str">
        <f t="shared" si="5"/>
        <v/>
      </c>
      <c r="S947" s="32" t="str">
        <f t="shared" si="6"/>
        <v/>
      </c>
      <c r="T947" s="37" t="str">
        <f t="shared" si="7"/>
        <v/>
      </c>
      <c r="U947" s="37" t="str">
        <f t="array" ref="U947">IF($F947="","",IFERROR(INDEX(Config!$F:$F,MATCH($F947,Config!$D:$D,0)),0))</f>
        <v/>
      </c>
    </row>
    <row r="948" ht="15.0" customHeight="1">
      <c r="A948" s="34"/>
      <c r="B948" s="35"/>
      <c r="C948" s="15"/>
      <c r="D948" s="15"/>
      <c r="E948" s="15"/>
      <c r="F948" s="15"/>
      <c r="G948" s="36" t="str">
        <f t="array" ref="G948">IF($F948="","",IFERROR(INDEX(Config!$E:$E,MATCH($F948,Config!$D:$D,0)),0))</f>
        <v/>
      </c>
      <c r="H948" s="16"/>
      <c r="I948" s="36" t="str">
        <f t="shared" si="1"/>
        <v/>
      </c>
      <c r="J948" s="16"/>
      <c r="K948" s="15"/>
      <c r="L948" s="15"/>
      <c r="M948" s="36" t="str">
        <f t="array" ref="M948">IF($A948="","",IF($L948="Atendido",IFERROR($I948*INDEX(Config!$B:$B,MATCH($C948,Config!$A:$A,0)),0),0))</f>
        <v/>
      </c>
      <c r="N948" s="36" t="str">
        <f t="shared" si="2"/>
        <v/>
      </c>
      <c r="O948" s="36" t="str">
        <f t="shared" si="3"/>
        <v/>
      </c>
      <c r="P948" s="15"/>
      <c r="Q948" s="37" t="str">
        <f t="shared" si="4"/>
        <v/>
      </c>
      <c r="R948" s="37" t="str">
        <f t="shared" si="5"/>
        <v/>
      </c>
      <c r="S948" s="32" t="str">
        <f t="shared" si="6"/>
        <v/>
      </c>
      <c r="T948" s="37" t="str">
        <f t="shared" si="7"/>
        <v/>
      </c>
      <c r="U948" s="37" t="str">
        <f t="array" ref="U948">IF($F948="","",IFERROR(INDEX(Config!$F:$F,MATCH($F948,Config!$D:$D,0)),0))</f>
        <v/>
      </c>
    </row>
    <row r="949" ht="15.0" customHeight="1">
      <c r="A949" s="34"/>
      <c r="B949" s="35"/>
      <c r="C949" s="15"/>
      <c r="D949" s="15"/>
      <c r="E949" s="15"/>
      <c r="F949" s="15"/>
      <c r="G949" s="36" t="str">
        <f t="array" ref="G949">IF($F949="","",IFERROR(INDEX(Config!$E:$E,MATCH($F949,Config!$D:$D,0)),0))</f>
        <v/>
      </c>
      <c r="H949" s="16"/>
      <c r="I949" s="36" t="str">
        <f t="shared" si="1"/>
        <v/>
      </c>
      <c r="J949" s="16"/>
      <c r="K949" s="15"/>
      <c r="L949" s="15"/>
      <c r="M949" s="36" t="str">
        <f t="array" ref="M949">IF($A949="","",IF($L949="Atendido",IFERROR($I949*INDEX(Config!$B:$B,MATCH($C949,Config!$A:$A,0)),0),0))</f>
        <v/>
      </c>
      <c r="N949" s="36" t="str">
        <f t="shared" si="2"/>
        <v/>
      </c>
      <c r="O949" s="36" t="str">
        <f t="shared" si="3"/>
        <v/>
      </c>
      <c r="P949" s="15"/>
      <c r="Q949" s="37" t="str">
        <f t="shared" si="4"/>
        <v/>
      </c>
      <c r="R949" s="37" t="str">
        <f t="shared" si="5"/>
        <v/>
      </c>
      <c r="S949" s="32" t="str">
        <f t="shared" si="6"/>
        <v/>
      </c>
      <c r="T949" s="37" t="str">
        <f t="shared" si="7"/>
        <v/>
      </c>
      <c r="U949" s="37" t="str">
        <f t="array" ref="U949">IF($F949="","",IFERROR(INDEX(Config!$F:$F,MATCH($F949,Config!$D:$D,0)),0))</f>
        <v/>
      </c>
    </row>
    <row r="950" ht="15.0" customHeight="1">
      <c r="A950" s="34"/>
      <c r="B950" s="35"/>
      <c r="C950" s="15"/>
      <c r="D950" s="15"/>
      <c r="E950" s="15"/>
      <c r="F950" s="15"/>
      <c r="G950" s="36" t="str">
        <f t="array" ref="G950">IF($F950="","",IFERROR(INDEX(Config!$E:$E,MATCH($F950,Config!$D:$D,0)),0))</f>
        <v/>
      </c>
      <c r="H950" s="16"/>
      <c r="I950" s="36" t="str">
        <f t="shared" si="1"/>
        <v/>
      </c>
      <c r="J950" s="16"/>
      <c r="K950" s="15"/>
      <c r="L950" s="15"/>
      <c r="M950" s="36" t="str">
        <f t="array" ref="M950">IF($A950="","",IF($L950="Atendido",IFERROR($I950*INDEX(Config!$B:$B,MATCH($C950,Config!$A:$A,0)),0),0))</f>
        <v/>
      </c>
      <c r="N950" s="36" t="str">
        <f t="shared" si="2"/>
        <v/>
      </c>
      <c r="O950" s="36" t="str">
        <f t="shared" si="3"/>
        <v/>
      </c>
      <c r="P950" s="15"/>
      <c r="Q950" s="37" t="str">
        <f t="shared" si="4"/>
        <v/>
      </c>
      <c r="R950" s="37" t="str">
        <f t="shared" si="5"/>
        <v/>
      </c>
      <c r="S950" s="32" t="str">
        <f t="shared" si="6"/>
        <v/>
      </c>
      <c r="T950" s="37" t="str">
        <f t="shared" si="7"/>
        <v/>
      </c>
      <c r="U950" s="37" t="str">
        <f t="array" ref="U950">IF($F950="","",IFERROR(INDEX(Config!$F:$F,MATCH($F950,Config!$D:$D,0)),0))</f>
        <v/>
      </c>
    </row>
    <row r="951" ht="15.0" customHeight="1">
      <c r="A951" s="34"/>
      <c r="B951" s="35"/>
      <c r="C951" s="15"/>
      <c r="D951" s="15"/>
      <c r="E951" s="15"/>
      <c r="F951" s="15"/>
      <c r="G951" s="36" t="str">
        <f t="array" ref="G951">IF($F951="","",IFERROR(INDEX(Config!$E:$E,MATCH($F951,Config!$D:$D,0)),0))</f>
        <v/>
      </c>
      <c r="H951" s="16"/>
      <c r="I951" s="36" t="str">
        <f t="shared" si="1"/>
        <v/>
      </c>
      <c r="J951" s="16"/>
      <c r="K951" s="15"/>
      <c r="L951" s="15"/>
      <c r="M951" s="36" t="str">
        <f t="array" ref="M951">IF($A951="","",IF($L951="Atendido",IFERROR($I951*INDEX(Config!$B:$B,MATCH($C951,Config!$A:$A,0)),0),0))</f>
        <v/>
      </c>
      <c r="N951" s="36" t="str">
        <f t="shared" si="2"/>
        <v/>
      </c>
      <c r="O951" s="36" t="str">
        <f t="shared" si="3"/>
        <v/>
      </c>
      <c r="P951" s="15"/>
      <c r="Q951" s="37" t="str">
        <f t="shared" si="4"/>
        <v/>
      </c>
      <c r="R951" s="37" t="str">
        <f t="shared" si="5"/>
        <v/>
      </c>
      <c r="S951" s="32" t="str">
        <f t="shared" si="6"/>
        <v/>
      </c>
      <c r="T951" s="37" t="str">
        <f t="shared" si="7"/>
        <v/>
      </c>
      <c r="U951" s="37" t="str">
        <f t="array" ref="U951">IF($F951="","",IFERROR(INDEX(Config!$F:$F,MATCH($F951,Config!$D:$D,0)),0))</f>
        <v/>
      </c>
    </row>
    <row r="952" ht="15.0" customHeight="1">
      <c r="A952" s="34"/>
      <c r="B952" s="35"/>
      <c r="C952" s="15"/>
      <c r="D952" s="15"/>
      <c r="E952" s="15"/>
      <c r="F952" s="15"/>
      <c r="G952" s="36" t="str">
        <f t="array" ref="G952">IF($F952="","",IFERROR(INDEX(Config!$E:$E,MATCH($F952,Config!$D:$D,0)),0))</f>
        <v/>
      </c>
      <c r="H952" s="16"/>
      <c r="I952" s="36" t="str">
        <f t="shared" si="1"/>
        <v/>
      </c>
      <c r="J952" s="16"/>
      <c r="K952" s="15"/>
      <c r="L952" s="15"/>
      <c r="M952" s="36" t="str">
        <f t="array" ref="M952">IF($A952="","",IF($L952="Atendido",IFERROR($I952*INDEX(Config!$B:$B,MATCH($C952,Config!$A:$A,0)),0),0))</f>
        <v/>
      </c>
      <c r="N952" s="36" t="str">
        <f t="shared" si="2"/>
        <v/>
      </c>
      <c r="O952" s="36" t="str">
        <f t="shared" si="3"/>
        <v/>
      </c>
      <c r="P952" s="15"/>
      <c r="Q952" s="37" t="str">
        <f t="shared" si="4"/>
        <v/>
      </c>
      <c r="R952" s="37" t="str">
        <f t="shared" si="5"/>
        <v/>
      </c>
      <c r="S952" s="32" t="str">
        <f t="shared" si="6"/>
        <v/>
      </c>
      <c r="T952" s="37" t="str">
        <f t="shared" si="7"/>
        <v/>
      </c>
      <c r="U952" s="37" t="str">
        <f t="array" ref="U952">IF($F952="","",IFERROR(INDEX(Config!$F:$F,MATCH($F952,Config!$D:$D,0)),0))</f>
        <v/>
      </c>
    </row>
    <row r="953" ht="15.0" customHeight="1">
      <c r="A953" s="34"/>
      <c r="B953" s="35"/>
      <c r="C953" s="15"/>
      <c r="D953" s="15"/>
      <c r="E953" s="15"/>
      <c r="F953" s="15"/>
      <c r="G953" s="36" t="str">
        <f t="array" ref="G953">IF($F953="","",IFERROR(INDEX(Config!$E:$E,MATCH($F953,Config!$D:$D,0)),0))</f>
        <v/>
      </c>
      <c r="H953" s="16"/>
      <c r="I953" s="36" t="str">
        <f t="shared" si="1"/>
        <v/>
      </c>
      <c r="J953" s="16"/>
      <c r="K953" s="15"/>
      <c r="L953" s="15"/>
      <c r="M953" s="36" t="str">
        <f t="array" ref="M953">IF($A953="","",IF($L953="Atendido",IFERROR($I953*INDEX(Config!$B:$B,MATCH($C953,Config!$A:$A,0)),0),0))</f>
        <v/>
      </c>
      <c r="N953" s="36" t="str">
        <f t="shared" si="2"/>
        <v/>
      </c>
      <c r="O953" s="36" t="str">
        <f t="shared" si="3"/>
        <v/>
      </c>
      <c r="P953" s="15"/>
      <c r="Q953" s="37" t="str">
        <f t="shared" si="4"/>
        <v/>
      </c>
      <c r="R953" s="37" t="str">
        <f t="shared" si="5"/>
        <v/>
      </c>
      <c r="S953" s="32" t="str">
        <f t="shared" si="6"/>
        <v/>
      </c>
      <c r="T953" s="37" t="str">
        <f t="shared" si="7"/>
        <v/>
      </c>
      <c r="U953" s="37" t="str">
        <f t="array" ref="U953">IF($F953="","",IFERROR(INDEX(Config!$F:$F,MATCH($F953,Config!$D:$D,0)),0))</f>
        <v/>
      </c>
    </row>
    <row r="954" ht="15.0" customHeight="1">
      <c r="A954" s="34"/>
      <c r="B954" s="35"/>
      <c r="C954" s="15"/>
      <c r="D954" s="15"/>
      <c r="E954" s="15"/>
      <c r="F954" s="15"/>
      <c r="G954" s="36" t="str">
        <f t="array" ref="G954">IF($F954="","",IFERROR(INDEX(Config!$E:$E,MATCH($F954,Config!$D:$D,0)),0))</f>
        <v/>
      </c>
      <c r="H954" s="16"/>
      <c r="I954" s="36" t="str">
        <f t="shared" si="1"/>
        <v/>
      </c>
      <c r="J954" s="16"/>
      <c r="K954" s="15"/>
      <c r="L954" s="15"/>
      <c r="M954" s="36" t="str">
        <f t="array" ref="M954">IF($A954="","",IF($L954="Atendido",IFERROR($I954*INDEX(Config!$B:$B,MATCH($C954,Config!$A:$A,0)),0),0))</f>
        <v/>
      </c>
      <c r="N954" s="36" t="str">
        <f t="shared" si="2"/>
        <v/>
      </c>
      <c r="O954" s="36" t="str">
        <f t="shared" si="3"/>
        <v/>
      </c>
      <c r="P954" s="15"/>
      <c r="Q954" s="37" t="str">
        <f t="shared" si="4"/>
        <v/>
      </c>
      <c r="R954" s="37" t="str">
        <f t="shared" si="5"/>
        <v/>
      </c>
      <c r="S954" s="32" t="str">
        <f t="shared" si="6"/>
        <v/>
      </c>
      <c r="T954" s="37" t="str">
        <f t="shared" si="7"/>
        <v/>
      </c>
      <c r="U954" s="37" t="str">
        <f t="array" ref="U954">IF($F954="","",IFERROR(INDEX(Config!$F:$F,MATCH($F954,Config!$D:$D,0)),0))</f>
        <v/>
      </c>
    </row>
    <row r="955" ht="15.0" customHeight="1">
      <c r="A955" s="34"/>
      <c r="B955" s="35"/>
      <c r="C955" s="15"/>
      <c r="D955" s="15"/>
      <c r="E955" s="15"/>
      <c r="F955" s="15"/>
      <c r="G955" s="36" t="str">
        <f t="array" ref="G955">IF($F955="","",IFERROR(INDEX(Config!$E:$E,MATCH($F955,Config!$D:$D,0)),0))</f>
        <v/>
      </c>
      <c r="H955" s="16"/>
      <c r="I955" s="36" t="str">
        <f t="shared" si="1"/>
        <v/>
      </c>
      <c r="J955" s="16"/>
      <c r="K955" s="15"/>
      <c r="L955" s="15"/>
      <c r="M955" s="36" t="str">
        <f t="array" ref="M955">IF($A955="","",IF($L955="Atendido",IFERROR($I955*INDEX(Config!$B:$B,MATCH($C955,Config!$A:$A,0)),0),0))</f>
        <v/>
      </c>
      <c r="N955" s="36" t="str">
        <f t="shared" si="2"/>
        <v/>
      </c>
      <c r="O955" s="36" t="str">
        <f t="shared" si="3"/>
        <v/>
      </c>
      <c r="P955" s="15"/>
      <c r="Q955" s="37" t="str">
        <f t="shared" si="4"/>
        <v/>
      </c>
      <c r="R955" s="37" t="str">
        <f t="shared" si="5"/>
        <v/>
      </c>
      <c r="S955" s="32" t="str">
        <f t="shared" si="6"/>
        <v/>
      </c>
      <c r="T955" s="37" t="str">
        <f t="shared" si="7"/>
        <v/>
      </c>
      <c r="U955" s="37" t="str">
        <f t="array" ref="U955">IF($F955="","",IFERROR(INDEX(Config!$F:$F,MATCH($F955,Config!$D:$D,0)),0))</f>
        <v/>
      </c>
    </row>
    <row r="956" ht="15.0" customHeight="1">
      <c r="A956" s="34"/>
      <c r="B956" s="35"/>
      <c r="C956" s="15"/>
      <c r="D956" s="15"/>
      <c r="E956" s="15"/>
      <c r="F956" s="15"/>
      <c r="G956" s="36" t="str">
        <f t="array" ref="G956">IF($F956="","",IFERROR(INDEX(Config!$E:$E,MATCH($F956,Config!$D:$D,0)),0))</f>
        <v/>
      </c>
      <c r="H956" s="16"/>
      <c r="I956" s="36" t="str">
        <f t="shared" si="1"/>
        <v/>
      </c>
      <c r="J956" s="16"/>
      <c r="K956" s="15"/>
      <c r="L956" s="15"/>
      <c r="M956" s="36" t="str">
        <f t="array" ref="M956">IF($A956="","",IF($L956="Atendido",IFERROR($I956*INDEX(Config!$B:$B,MATCH($C956,Config!$A:$A,0)),0),0))</f>
        <v/>
      </c>
      <c r="N956" s="36" t="str">
        <f t="shared" si="2"/>
        <v/>
      </c>
      <c r="O956" s="36" t="str">
        <f t="shared" si="3"/>
        <v/>
      </c>
      <c r="P956" s="15"/>
      <c r="Q956" s="37" t="str">
        <f t="shared" si="4"/>
        <v/>
      </c>
      <c r="R956" s="37" t="str">
        <f t="shared" si="5"/>
        <v/>
      </c>
      <c r="S956" s="32" t="str">
        <f t="shared" si="6"/>
        <v/>
      </c>
      <c r="T956" s="37" t="str">
        <f t="shared" si="7"/>
        <v/>
      </c>
      <c r="U956" s="37" t="str">
        <f t="array" ref="U956">IF($F956="","",IFERROR(INDEX(Config!$F:$F,MATCH($F956,Config!$D:$D,0)),0))</f>
        <v/>
      </c>
    </row>
    <row r="957" ht="15.0" customHeight="1">
      <c r="A957" s="34"/>
      <c r="B957" s="35"/>
      <c r="C957" s="15"/>
      <c r="D957" s="15"/>
      <c r="E957" s="15"/>
      <c r="F957" s="15"/>
      <c r="G957" s="36" t="str">
        <f t="array" ref="G957">IF($F957="","",IFERROR(INDEX(Config!$E:$E,MATCH($F957,Config!$D:$D,0)),0))</f>
        <v/>
      </c>
      <c r="H957" s="16"/>
      <c r="I957" s="36" t="str">
        <f t="shared" si="1"/>
        <v/>
      </c>
      <c r="J957" s="16"/>
      <c r="K957" s="15"/>
      <c r="L957" s="15"/>
      <c r="M957" s="36" t="str">
        <f t="array" ref="M957">IF($A957="","",IF($L957="Atendido",IFERROR($I957*INDEX(Config!$B:$B,MATCH($C957,Config!$A:$A,0)),0),0))</f>
        <v/>
      </c>
      <c r="N957" s="36" t="str">
        <f t="shared" si="2"/>
        <v/>
      </c>
      <c r="O957" s="36" t="str">
        <f t="shared" si="3"/>
        <v/>
      </c>
      <c r="P957" s="15"/>
      <c r="Q957" s="37" t="str">
        <f t="shared" si="4"/>
        <v/>
      </c>
      <c r="R957" s="37" t="str">
        <f t="shared" si="5"/>
        <v/>
      </c>
      <c r="S957" s="32" t="str">
        <f t="shared" si="6"/>
        <v/>
      </c>
      <c r="T957" s="37" t="str">
        <f t="shared" si="7"/>
        <v/>
      </c>
      <c r="U957" s="37" t="str">
        <f t="array" ref="U957">IF($F957="","",IFERROR(INDEX(Config!$F:$F,MATCH($F957,Config!$D:$D,0)),0))</f>
        <v/>
      </c>
    </row>
    <row r="958" ht="15.0" customHeight="1">
      <c r="A958" s="34"/>
      <c r="B958" s="35"/>
      <c r="C958" s="15"/>
      <c r="D958" s="15"/>
      <c r="E958" s="15"/>
      <c r="F958" s="15"/>
      <c r="G958" s="36" t="str">
        <f t="array" ref="G958">IF($F958="","",IFERROR(INDEX(Config!$E:$E,MATCH($F958,Config!$D:$D,0)),0))</f>
        <v/>
      </c>
      <c r="H958" s="16"/>
      <c r="I958" s="36" t="str">
        <f t="shared" si="1"/>
        <v/>
      </c>
      <c r="J958" s="16"/>
      <c r="K958" s="15"/>
      <c r="L958" s="15"/>
      <c r="M958" s="36" t="str">
        <f t="array" ref="M958">IF($A958="","",IF($L958="Atendido",IFERROR($I958*INDEX(Config!$B:$B,MATCH($C958,Config!$A:$A,0)),0),0))</f>
        <v/>
      </c>
      <c r="N958" s="36" t="str">
        <f t="shared" si="2"/>
        <v/>
      </c>
      <c r="O958" s="36" t="str">
        <f t="shared" si="3"/>
        <v/>
      </c>
      <c r="P958" s="15"/>
      <c r="Q958" s="37" t="str">
        <f t="shared" si="4"/>
        <v/>
      </c>
      <c r="R958" s="37" t="str">
        <f t="shared" si="5"/>
        <v/>
      </c>
      <c r="S958" s="32" t="str">
        <f t="shared" si="6"/>
        <v/>
      </c>
      <c r="T958" s="37" t="str">
        <f t="shared" si="7"/>
        <v/>
      </c>
      <c r="U958" s="37" t="str">
        <f t="array" ref="U958">IF($F958="","",IFERROR(INDEX(Config!$F:$F,MATCH($F958,Config!$D:$D,0)),0))</f>
        <v/>
      </c>
    </row>
    <row r="959" ht="15.0" customHeight="1">
      <c r="A959" s="34"/>
      <c r="B959" s="35"/>
      <c r="C959" s="15"/>
      <c r="D959" s="15"/>
      <c r="E959" s="15"/>
      <c r="F959" s="15"/>
      <c r="G959" s="36" t="str">
        <f t="array" ref="G959">IF($F959="","",IFERROR(INDEX(Config!$E:$E,MATCH($F959,Config!$D:$D,0)),0))</f>
        <v/>
      </c>
      <c r="H959" s="16"/>
      <c r="I959" s="36" t="str">
        <f t="shared" si="1"/>
        <v/>
      </c>
      <c r="J959" s="16"/>
      <c r="K959" s="15"/>
      <c r="L959" s="15"/>
      <c r="M959" s="36" t="str">
        <f t="array" ref="M959">IF($A959="","",IF($L959="Atendido",IFERROR($I959*INDEX(Config!$B:$B,MATCH($C959,Config!$A:$A,0)),0),0))</f>
        <v/>
      </c>
      <c r="N959" s="36" t="str">
        <f t="shared" si="2"/>
        <v/>
      </c>
      <c r="O959" s="36" t="str">
        <f t="shared" si="3"/>
        <v/>
      </c>
      <c r="P959" s="15"/>
      <c r="Q959" s="37" t="str">
        <f t="shared" si="4"/>
        <v/>
      </c>
      <c r="R959" s="37" t="str">
        <f t="shared" si="5"/>
        <v/>
      </c>
      <c r="S959" s="32" t="str">
        <f t="shared" si="6"/>
        <v/>
      </c>
      <c r="T959" s="37" t="str">
        <f t="shared" si="7"/>
        <v/>
      </c>
      <c r="U959" s="37" t="str">
        <f t="array" ref="U959">IF($F959="","",IFERROR(INDEX(Config!$F:$F,MATCH($F959,Config!$D:$D,0)),0))</f>
        <v/>
      </c>
    </row>
    <row r="960" ht="15.0" customHeight="1">
      <c r="A960" s="34"/>
      <c r="B960" s="35"/>
      <c r="C960" s="15"/>
      <c r="D960" s="15"/>
      <c r="E960" s="15"/>
      <c r="F960" s="15"/>
      <c r="G960" s="36" t="str">
        <f t="array" ref="G960">IF($F960="","",IFERROR(INDEX(Config!$E:$E,MATCH($F960,Config!$D:$D,0)),0))</f>
        <v/>
      </c>
      <c r="H960" s="16"/>
      <c r="I960" s="36" t="str">
        <f t="shared" si="1"/>
        <v/>
      </c>
      <c r="J960" s="16"/>
      <c r="K960" s="15"/>
      <c r="L960" s="15"/>
      <c r="M960" s="36" t="str">
        <f t="array" ref="M960">IF($A960="","",IF($L960="Atendido",IFERROR($I960*INDEX(Config!$B:$B,MATCH($C960,Config!$A:$A,0)),0),0))</f>
        <v/>
      </c>
      <c r="N960" s="36" t="str">
        <f t="shared" si="2"/>
        <v/>
      </c>
      <c r="O960" s="36" t="str">
        <f t="shared" si="3"/>
        <v/>
      </c>
      <c r="P960" s="15"/>
      <c r="Q960" s="37" t="str">
        <f t="shared" si="4"/>
        <v/>
      </c>
      <c r="R960" s="37" t="str">
        <f t="shared" si="5"/>
        <v/>
      </c>
      <c r="S960" s="32" t="str">
        <f t="shared" si="6"/>
        <v/>
      </c>
      <c r="T960" s="37" t="str">
        <f t="shared" si="7"/>
        <v/>
      </c>
      <c r="U960" s="37" t="str">
        <f t="array" ref="U960">IF($F960="","",IFERROR(INDEX(Config!$F:$F,MATCH($F960,Config!$D:$D,0)),0))</f>
        <v/>
      </c>
    </row>
    <row r="961" ht="15.0" customHeight="1">
      <c r="A961" s="34"/>
      <c r="B961" s="35"/>
      <c r="C961" s="15"/>
      <c r="D961" s="15"/>
      <c r="E961" s="15"/>
      <c r="F961" s="15"/>
      <c r="G961" s="36" t="str">
        <f t="array" ref="G961">IF($F961="","",IFERROR(INDEX(Config!$E:$E,MATCH($F961,Config!$D:$D,0)),0))</f>
        <v/>
      </c>
      <c r="H961" s="16"/>
      <c r="I961" s="36" t="str">
        <f t="shared" si="1"/>
        <v/>
      </c>
      <c r="J961" s="16"/>
      <c r="K961" s="15"/>
      <c r="L961" s="15"/>
      <c r="M961" s="36" t="str">
        <f t="array" ref="M961">IF($A961="","",IF($L961="Atendido",IFERROR($I961*INDEX(Config!$B:$B,MATCH($C961,Config!$A:$A,0)),0),0))</f>
        <v/>
      </c>
      <c r="N961" s="36" t="str">
        <f t="shared" si="2"/>
        <v/>
      </c>
      <c r="O961" s="36" t="str">
        <f t="shared" si="3"/>
        <v/>
      </c>
      <c r="P961" s="15"/>
      <c r="Q961" s="37" t="str">
        <f t="shared" si="4"/>
        <v/>
      </c>
      <c r="R961" s="37" t="str">
        <f t="shared" si="5"/>
        <v/>
      </c>
      <c r="S961" s="32" t="str">
        <f t="shared" si="6"/>
        <v/>
      </c>
      <c r="T961" s="37" t="str">
        <f t="shared" si="7"/>
        <v/>
      </c>
      <c r="U961" s="37" t="str">
        <f t="array" ref="U961">IF($F961="","",IFERROR(INDEX(Config!$F:$F,MATCH($F961,Config!$D:$D,0)),0))</f>
        <v/>
      </c>
    </row>
    <row r="962" ht="15.0" customHeight="1">
      <c r="A962" s="34"/>
      <c r="B962" s="35"/>
      <c r="C962" s="15"/>
      <c r="D962" s="15"/>
      <c r="E962" s="15"/>
      <c r="F962" s="15"/>
      <c r="G962" s="36" t="str">
        <f t="array" ref="G962">IF($F962="","",IFERROR(INDEX(Config!$E:$E,MATCH($F962,Config!$D:$D,0)),0))</f>
        <v/>
      </c>
      <c r="H962" s="16"/>
      <c r="I962" s="36" t="str">
        <f t="shared" si="1"/>
        <v/>
      </c>
      <c r="J962" s="16"/>
      <c r="K962" s="15"/>
      <c r="L962" s="15"/>
      <c r="M962" s="36" t="str">
        <f t="array" ref="M962">IF($A962="","",IF($L962="Atendido",IFERROR($I962*INDEX(Config!$B:$B,MATCH($C962,Config!$A:$A,0)),0),0))</f>
        <v/>
      </c>
      <c r="N962" s="36" t="str">
        <f t="shared" si="2"/>
        <v/>
      </c>
      <c r="O962" s="36" t="str">
        <f t="shared" si="3"/>
        <v/>
      </c>
      <c r="P962" s="15"/>
      <c r="Q962" s="37" t="str">
        <f t="shared" si="4"/>
        <v/>
      </c>
      <c r="R962" s="37" t="str">
        <f t="shared" si="5"/>
        <v/>
      </c>
      <c r="S962" s="32" t="str">
        <f t="shared" si="6"/>
        <v/>
      </c>
      <c r="T962" s="37" t="str">
        <f t="shared" si="7"/>
        <v/>
      </c>
      <c r="U962" s="37" t="str">
        <f t="array" ref="U962">IF($F962="","",IFERROR(INDEX(Config!$F:$F,MATCH($F962,Config!$D:$D,0)),0))</f>
        <v/>
      </c>
    </row>
    <row r="963" ht="15.0" customHeight="1">
      <c r="A963" s="34"/>
      <c r="B963" s="35"/>
      <c r="C963" s="15"/>
      <c r="D963" s="15"/>
      <c r="E963" s="15"/>
      <c r="F963" s="15"/>
      <c r="G963" s="36" t="str">
        <f t="array" ref="G963">IF($F963="","",IFERROR(INDEX(Config!$E:$E,MATCH($F963,Config!$D:$D,0)),0))</f>
        <v/>
      </c>
      <c r="H963" s="16"/>
      <c r="I963" s="36" t="str">
        <f t="shared" si="1"/>
        <v/>
      </c>
      <c r="J963" s="16"/>
      <c r="K963" s="15"/>
      <c r="L963" s="15"/>
      <c r="M963" s="36" t="str">
        <f t="array" ref="M963">IF($A963="","",IF($L963="Atendido",IFERROR($I963*INDEX(Config!$B:$B,MATCH($C963,Config!$A:$A,0)),0),0))</f>
        <v/>
      </c>
      <c r="N963" s="36" t="str">
        <f t="shared" si="2"/>
        <v/>
      </c>
      <c r="O963" s="36" t="str">
        <f t="shared" si="3"/>
        <v/>
      </c>
      <c r="P963" s="15"/>
      <c r="Q963" s="37" t="str">
        <f t="shared" si="4"/>
        <v/>
      </c>
      <c r="R963" s="37" t="str">
        <f t="shared" si="5"/>
        <v/>
      </c>
      <c r="S963" s="32" t="str">
        <f t="shared" si="6"/>
        <v/>
      </c>
      <c r="T963" s="37" t="str">
        <f t="shared" si="7"/>
        <v/>
      </c>
      <c r="U963" s="37" t="str">
        <f t="array" ref="U963">IF($F963="","",IFERROR(INDEX(Config!$F:$F,MATCH($F963,Config!$D:$D,0)),0))</f>
        <v/>
      </c>
    </row>
    <row r="964" ht="15.0" customHeight="1">
      <c r="A964" s="34"/>
      <c r="B964" s="35"/>
      <c r="C964" s="15"/>
      <c r="D964" s="15"/>
      <c r="E964" s="15"/>
      <c r="F964" s="15"/>
      <c r="G964" s="36" t="str">
        <f t="array" ref="G964">IF($F964="","",IFERROR(INDEX(Config!$E:$E,MATCH($F964,Config!$D:$D,0)),0))</f>
        <v/>
      </c>
      <c r="H964" s="16"/>
      <c r="I964" s="36" t="str">
        <f t="shared" si="1"/>
        <v/>
      </c>
      <c r="J964" s="16"/>
      <c r="K964" s="15"/>
      <c r="L964" s="15"/>
      <c r="M964" s="36" t="str">
        <f t="array" ref="M964">IF($A964="","",IF($L964="Atendido",IFERROR($I964*INDEX(Config!$B:$B,MATCH($C964,Config!$A:$A,0)),0),0))</f>
        <v/>
      </c>
      <c r="N964" s="36" t="str">
        <f t="shared" si="2"/>
        <v/>
      </c>
      <c r="O964" s="36" t="str">
        <f t="shared" si="3"/>
        <v/>
      </c>
      <c r="P964" s="15"/>
      <c r="Q964" s="37" t="str">
        <f t="shared" si="4"/>
        <v/>
      </c>
      <c r="R964" s="37" t="str">
        <f t="shared" si="5"/>
        <v/>
      </c>
      <c r="S964" s="32" t="str">
        <f t="shared" si="6"/>
        <v/>
      </c>
      <c r="T964" s="37" t="str">
        <f t="shared" si="7"/>
        <v/>
      </c>
      <c r="U964" s="37" t="str">
        <f t="array" ref="U964">IF($F964="","",IFERROR(INDEX(Config!$F:$F,MATCH($F964,Config!$D:$D,0)),0))</f>
        <v/>
      </c>
    </row>
    <row r="965" ht="15.0" customHeight="1">
      <c r="A965" s="34"/>
      <c r="B965" s="35"/>
      <c r="C965" s="15"/>
      <c r="D965" s="15"/>
      <c r="E965" s="15"/>
      <c r="F965" s="15"/>
      <c r="G965" s="36" t="str">
        <f t="array" ref="G965">IF($F965="","",IFERROR(INDEX(Config!$E:$E,MATCH($F965,Config!$D:$D,0)),0))</f>
        <v/>
      </c>
      <c r="H965" s="16"/>
      <c r="I965" s="36" t="str">
        <f t="shared" si="1"/>
        <v/>
      </c>
      <c r="J965" s="16"/>
      <c r="K965" s="15"/>
      <c r="L965" s="15"/>
      <c r="M965" s="36" t="str">
        <f t="array" ref="M965">IF($A965="","",IF($L965="Atendido",IFERROR($I965*INDEX(Config!$B:$B,MATCH($C965,Config!$A:$A,0)),0),0))</f>
        <v/>
      </c>
      <c r="N965" s="36" t="str">
        <f t="shared" si="2"/>
        <v/>
      </c>
      <c r="O965" s="36" t="str">
        <f t="shared" si="3"/>
        <v/>
      </c>
      <c r="P965" s="15"/>
      <c r="Q965" s="37" t="str">
        <f t="shared" si="4"/>
        <v/>
      </c>
      <c r="R965" s="37" t="str">
        <f t="shared" si="5"/>
        <v/>
      </c>
      <c r="S965" s="32" t="str">
        <f t="shared" si="6"/>
        <v/>
      </c>
      <c r="T965" s="37" t="str">
        <f t="shared" si="7"/>
        <v/>
      </c>
      <c r="U965" s="37" t="str">
        <f t="array" ref="U965">IF($F965="","",IFERROR(INDEX(Config!$F:$F,MATCH($F965,Config!$D:$D,0)),0))</f>
        <v/>
      </c>
    </row>
    <row r="966" ht="15.0" customHeight="1">
      <c r="A966" s="34"/>
      <c r="B966" s="35"/>
      <c r="C966" s="15"/>
      <c r="D966" s="15"/>
      <c r="E966" s="15"/>
      <c r="F966" s="15"/>
      <c r="G966" s="36" t="str">
        <f t="array" ref="G966">IF($F966="","",IFERROR(INDEX(Config!$E:$E,MATCH($F966,Config!$D:$D,0)),0))</f>
        <v/>
      </c>
      <c r="H966" s="16"/>
      <c r="I966" s="36" t="str">
        <f t="shared" si="1"/>
        <v/>
      </c>
      <c r="J966" s="16"/>
      <c r="K966" s="15"/>
      <c r="L966" s="15"/>
      <c r="M966" s="36" t="str">
        <f t="array" ref="M966">IF($A966="","",IF($L966="Atendido",IFERROR($I966*INDEX(Config!$B:$B,MATCH($C966,Config!$A:$A,0)),0),0))</f>
        <v/>
      </c>
      <c r="N966" s="36" t="str">
        <f t="shared" si="2"/>
        <v/>
      </c>
      <c r="O966" s="36" t="str">
        <f t="shared" si="3"/>
        <v/>
      </c>
      <c r="P966" s="15"/>
      <c r="Q966" s="37" t="str">
        <f t="shared" si="4"/>
        <v/>
      </c>
      <c r="R966" s="37" t="str">
        <f t="shared" si="5"/>
        <v/>
      </c>
      <c r="S966" s="32" t="str">
        <f t="shared" si="6"/>
        <v/>
      </c>
      <c r="T966" s="37" t="str">
        <f t="shared" si="7"/>
        <v/>
      </c>
      <c r="U966" s="37" t="str">
        <f t="array" ref="U966">IF($F966="","",IFERROR(INDEX(Config!$F:$F,MATCH($F966,Config!$D:$D,0)),0))</f>
        <v/>
      </c>
    </row>
    <row r="967" ht="15.0" customHeight="1">
      <c r="A967" s="34"/>
      <c r="B967" s="35"/>
      <c r="C967" s="15"/>
      <c r="D967" s="15"/>
      <c r="E967" s="15"/>
      <c r="F967" s="15"/>
      <c r="G967" s="36" t="str">
        <f t="array" ref="G967">IF($F967="","",IFERROR(INDEX(Config!$E:$E,MATCH($F967,Config!$D:$D,0)),0))</f>
        <v/>
      </c>
      <c r="H967" s="16"/>
      <c r="I967" s="36" t="str">
        <f t="shared" si="1"/>
        <v/>
      </c>
      <c r="J967" s="16"/>
      <c r="K967" s="15"/>
      <c r="L967" s="15"/>
      <c r="M967" s="36" t="str">
        <f t="array" ref="M967">IF($A967="","",IF($L967="Atendido",IFERROR($I967*INDEX(Config!$B:$B,MATCH($C967,Config!$A:$A,0)),0),0))</f>
        <v/>
      </c>
      <c r="N967" s="36" t="str">
        <f t="shared" si="2"/>
        <v/>
      </c>
      <c r="O967" s="36" t="str">
        <f t="shared" si="3"/>
        <v/>
      </c>
      <c r="P967" s="15"/>
      <c r="Q967" s="37" t="str">
        <f t="shared" si="4"/>
        <v/>
      </c>
      <c r="R967" s="37" t="str">
        <f t="shared" si="5"/>
        <v/>
      </c>
      <c r="S967" s="32" t="str">
        <f t="shared" si="6"/>
        <v/>
      </c>
      <c r="T967" s="37" t="str">
        <f t="shared" si="7"/>
        <v/>
      </c>
      <c r="U967" s="37" t="str">
        <f t="array" ref="U967">IF($F967="","",IFERROR(INDEX(Config!$F:$F,MATCH($F967,Config!$D:$D,0)),0))</f>
        <v/>
      </c>
    </row>
    <row r="968" ht="15.0" customHeight="1">
      <c r="A968" s="34"/>
      <c r="B968" s="35"/>
      <c r="C968" s="15"/>
      <c r="D968" s="15"/>
      <c r="E968" s="15"/>
      <c r="F968" s="15"/>
      <c r="G968" s="36" t="str">
        <f t="array" ref="G968">IF($F968="","",IFERROR(INDEX(Config!$E:$E,MATCH($F968,Config!$D:$D,0)),0))</f>
        <v/>
      </c>
      <c r="H968" s="16"/>
      <c r="I968" s="36" t="str">
        <f t="shared" si="1"/>
        <v/>
      </c>
      <c r="J968" s="16"/>
      <c r="K968" s="15"/>
      <c r="L968" s="15"/>
      <c r="M968" s="36" t="str">
        <f t="array" ref="M968">IF($A968="","",IF($L968="Atendido",IFERROR($I968*INDEX(Config!$B:$B,MATCH($C968,Config!$A:$A,0)),0),0))</f>
        <v/>
      </c>
      <c r="N968" s="36" t="str">
        <f t="shared" si="2"/>
        <v/>
      </c>
      <c r="O968" s="36" t="str">
        <f t="shared" si="3"/>
        <v/>
      </c>
      <c r="P968" s="15"/>
      <c r="Q968" s="37" t="str">
        <f t="shared" si="4"/>
        <v/>
      </c>
      <c r="R968" s="37" t="str">
        <f t="shared" si="5"/>
        <v/>
      </c>
      <c r="S968" s="32" t="str">
        <f t="shared" si="6"/>
        <v/>
      </c>
      <c r="T968" s="37" t="str">
        <f t="shared" si="7"/>
        <v/>
      </c>
      <c r="U968" s="37" t="str">
        <f t="array" ref="U968">IF($F968="","",IFERROR(INDEX(Config!$F:$F,MATCH($F968,Config!$D:$D,0)),0))</f>
        <v/>
      </c>
    </row>
    <row r="969" ht="15.0" customHeight="1">
      <c r="A969" s="34"/>
      <c r="B969" s="35"/>
      <c r="C969" s="15"/>
      <c r="D969" s="15"/>
      <c r="E969" s="15"/>
      <c r="F969" s="15"/>
      <c r="G969" s="36" t="str">
        <f t="array" ref="G969">IF($F969="","",IFERROR(INDEX(Config!$E:$E,MATCH($F969,Config!$D:$D,0)),0))</f>
        <v/>
      </c>
      <c r="H969" s="16"/>
      <c r="I969" s="36" t="str">
        <f t="shared" si="1"/>
        <v/>
      </c>
      <c r="J969" s="16"/>
      <c r="K969" s="15"/>
      <c r="L969" s="15"/>
      <c r="M969" s="36" t="str">
        <f t="array" ref="M969">IF($A969="","",IF($L969="Atendido",IFERROR($I969*INDEX(Config!$B:$B,MATCH($C969,Config!$A:$A,0)),0),0))</f>
        <v/>
      </c>
      <c r="N969" s="36" t="str">
        <f t="shared" si="2"/>
        <v/>
      </c>
      <c r="O969" s="36" t="str">
        <f t="shared" si="3"/>
        <v/>
      </c>
      <c r="P969" s="15"/>
      <c r="Q969" s="37" t="str">
        <f t="shared" si="4"/>
        <v/>
      </c>
      <c r="R969" s="37" t="str">
        <f t="shared" si="5"/>
        <v/>
      </c>
      <c r="S969" s="32" t="str">
        <f t="shared" si="6"/>
        <v/>
      </c>
      <c r="T969" s="37" t="str">
        <f t="shared" si="7"/>
        <v/>
      </c>
      <c r="U969" s="37" t="str">
        <f t="array" ref="U969">IF($F969="","",IFERROR(INDEX(Config!$F:$F,MATCH($F969,Config!$D:$D,0)),0))</f>
        <v/>
      </c>
    </row>
    <row r="970" ht="15.0" customHeight="1">
      <c r="A970" s="34"/>
      <c r="B970" s="35"/>
      <c r="C970" s="15"/>
      <c r="D970" s="15"/>
      <c r="E970" s="15"/>
      <c r="F970" s="15"/>
      <c r="G970" s="36" t="str">
        <f t="array" ref="G970">IF($F970="","",IFERROR(INDEX(Config!$E:$E,MATCH($F970,Config!$D:$D,0)),0))</f>
        <v/>
      </c>
      <c r="H970" s="16"/>
      <c r="I970" s="36" t="str">
        <f t="shared" si="1"/>
        <v/>
      </c>
      <c r="J970" s="16"/>
      <c r="K970" s="15"/>
      <c r="L970" s="15"/>
      <c r="M970" s="36" t="str">
        <f t="array" ref="M970">IF($A970="","",IF($L970="Atendido",IFERROR($I970*INDEX(Config!$B:$B,MATCH($C970,Config!$A:$A,0)),0),0))</f>
        <v/>
      </c>
      <c r="N970" s="36" t="str">
        <f t="shared" si="2"/>
        <v/>
      </c>
      <c r="O970" s="36" t="str">
        <f t="shared" si="3"/>
        <v/>
      </c>
      <c r="P970" s="15"/>
      <c r="Q970" s="37" t="str">
        <f t="shared" si="4"/>
        <v/>
      </c>
      <c r="R970" s="37" t="str">
        <f t="shared" si="5"/>
        <v/>
      </c>
      <c r="S970" s="32" t="str">
        <f t="shared" si="6"/>
        <v/>
      </c>
      <c r="T970" s="37" t="str">
        <f t="shared" si="7"/>
        <v/>
      </c>
      <c r="U970" s="37" t="str">
        <f t="array" ref="U970">IF($F970="","",IFERROR(INDEX(Config!$F:$F,MATCH($F970,Config!$D:$D,0)),0))</f>
        <v/>
      </c>
    </row>
    <row r="971" ht="15.0" customHeight="1">
      <c r="A971" s="34"/>
      <c r="B971" s="35"/>
      <c r="C971" s="15"/>
      <c r="D971" s="15"/>
      <c r="E971" s="15"/>
      <c r="F971" s="15"/>
      <c r="G971" s="36" t="str">
        <f t="array" ref="G971">IF($F971="","",IFERROR(INDEX(Config!$E:$E,MATCH($F971,Config!$D:$D,0)),0))</f>
        <v/>
      </c>
      <c r="H971" s="16"/>
      <c r="I971" s="36" t="str">
        <f t="shared" si="1"/>
        <v/>
      </c>
      <c r="J971" s="16"/>
      <c r="K971" s="15"/>
      <c r="L971" s="15"/>
      <c r="M971" s="36" t="str">
        <f t="array" ref="M971">IF($A971="","",IF($L971="Atendido",IFERROR($I971*INDEX(Config!$B:$B,MATCH($C971,Config!$A:$A,0)),0),0))</f>
        <v/>
      </c>
      <c r="N971" s="36" t="str">
        <f t="shared" si="2"/>
        <v/>
      </c>
      <c r="O971" s="36" t="str">
        <f t="shared" si="3"/>
        <v/>
      </c>
      <c r="P971" s="15"/>
      <c r="Q971" s="37" t="str">
        <f t="shared" si="4"/>
        <v/>
      </c>
      <c r="R971" s="37" t="str">
        <f t="shared" si="5"/>
        <v/>
      </c>
      <c r="S971" s="32" t="str">
        <f t="shared" si="6"/>
        <v/>
      </c>
      <c r="T971" s="37" t="str">
        <f t="shared" si="7"/>
        <v/>
      </c>
      <c r="U971" s="37" t="str">
        <f t="array" ref="U971">IF($F971="","",IFERROR(INDEX(Config!$F:$F,MATCH($F971,Config!$D:$D,0)),0))</f>
        <v/>
      </c>
    </row>
    <row r="972" ht="15.0" customHeight="1">
      <c r="A972" s="34"/>
      <c r="B972" s="35"/>
      <c r="C972" s="15"/>
      <c r="D972" s="15"/>
      <c r="E972" s="15"/>
      <c r="F972" s="15"/>
      <c r="G972" s="36" t="str">
        <f t="array" ref="G972">IF($F972="","",IFERROR(INDEX(Config!$E:$E,MATCH($F972,Config!$D:$D,0)),0))</f>
        <v/>
      </c>
      <c r="H972" s="16"/>
      <c r="I972" s="36" t="str">
        <f t="shared" si="1"/>
        <v/>
      </c>
      <c r="J972" s="16"/>
      <c r="K972" s="15"/>
      <c r="L972" s="15"/>
      <c r="M972" s="36" t="str">
        <f t="array" ref="M972">IF($A972="","",IF($L972="Atendido",IFERROR($I972*INDEX(Config!$B:$B,MATCH($C972,Config!$A:$A,0)),0),0))</f>
        <v/>
      </c>
      <c r="N972" s="36" t="str">
        <f t="shared" si="2"/>
        <v/>
      </c>
      <c r="O972" s="36" t="str">
        <f t="shared" si="3"/>
        <v/>
      </c>
      <c r="P972" s="15"/>
      <c r="Q972" s="37" t="str">
        <f t="shared" si="4"/>
        <v/>
      </c>
      <c r="R972" s="37" t="str">
        <f t="shared" si="5"/>
        <v/>
      </c>
      <c r="S972" s="32" t="str">
        <f t="shared" si="6"/>
        <v/>
      </c>
      <c r="T972" s="37" t="str">
        <f t="shared" si="7"/>
        <v/>
      </c>
      <c r="U972" s="37" t="str">
        <f t="array" ref="U972">IF($F972="","",IFERROR(INDEX(Config!$F:$F,MATCH($F972,Config!$D:$D,0)),0))</f>
        <v/>
      </c>
    </row>
    <row r="973" ht="15.0" customHeight="1">
      <c r="A973" s="34"/>
      <c r="B973" s="35"/>
      <c r="C973" s="15"/>
      <c r="D973" s="15"/>
      <c r="E973" s="15"/>
      <c r="F973" s="15"/>
      <c r="G973" s="36" t="str">
        <f t="array" ref="G973">IF($F973="","",IFERROR(INDEX(Config!$E:$E,MATCH($F973,Config!$D:$D,0)),0))</f>
        <v/>
      </c>
      <c r="H973" s="16"/>
      <c r="I973" s="36" t="str">
        <f t="shared" si="1"/>
        <v/>
      </c>
      <c r="J973" s="16"/>
      <c r="K973" s="15"/>
      <c r="L973" s="15"/>
      <c r="M973" s="36" t="str">
        <f t="array" ref="M973">IF($A973="","",IF($L973="Atendido",IFERROR($I973*INDEX(Config!$B:$B,MATCH($C973,Config!$A:$A,0)),0),0))</f>
        <v/>
      </c>
      <c r="N973" s="36" t="str">
        <f t="shared" si="2"/>
        <v/>
      </c>
      <c r="O973" s="36" t="str">
        <f t="shared" si="3"/>
        <v/>
      </c>
      <c r="P973" s="15"/>
      <c r="Q973" s="37" t="str">
        <f t="shared" si="4"/>
        <v/>
      </c>
      <c r="R973" s="37" t="str">
        <f t="shared" si="5"/>
        <v/>
      </c>
      <c r="S973" s="32" t="str">
        <f t="shared" si="6"/>
        <v/>
      </c>
      <c r="T973" s="37" t="str">
        <f t="shared" si="7"/>
        <v/>
      </c>
      <c r="U973" s="37" t="str">
        <f t="array" ref="U973">IF($F973="","",IFERROR(INDEX(Config!$F:$F,MATCH($F973,Config!$D:$D,0)),0))</f>
        <v/>
      </c>
    </row>
    <row r="974" ht="15.0" customHeight="1">
      <c r="A974" s="34"/>
      <c r="B974" s="35"/>
      <c r="C974" s="15"/>
      <c r="D974" s="15"/>
      <c r="E974" s="15"/>
      <c r="F974" s="15"/>
      <c r="G974" s="36" t="str">
        <f t="array" ref="G974">IF($F974="","",IFERROR(INDEX(Config!$E:$E,MATCH($F974,Config!$D:$D,0)),0))</f>
        <v/>
      </c>
      <c r="H974" s="16"/>
      <c r="I974" s="36" t="str">
        <f t="shared" si="1"/>
        <v/>
      </c>
      <c r="J974" s="16"/>
      <c r="K974" s="15"/>
      <c r="L974" s="15"/>
      <c r="M974" s="36" t="str">
        <f t="array" ref="M974">IF($A974="","",IF($L974="Atendido",IFERROR($I974*INDEX(Config!$B:$B,MATCH($C974,Config!$A:$A,0)),0),0))</f>
        <v/>
      </c>
      <c r="N974" s="36" t="str">
        <f t="shared" si="2"/>
        <v/>
      </c>
      <c r="O974" s="36" t="str">
        <f t="shared" si="3"/>
        <v/>
      </c>
      <c r="P974" s="15"/>
      <c r="Q974" s="37" t="str">
        <f t="shared" si="4"/>
        <v/>
      </c>
      <c r="R974" s="37" t="str">
        <f t="shared" si="5"/>
        <v/>
      </c>
      <c r="S974" s="32" t="str">
        <f t="shared" si="6"/>
        <v/>
      </c>
      <c r="T974" s="37" t="str">
        <f t="shared" si="7"/>
        <v/>
      </c>
      <c r="U974" s="37" t="str">
        <f t="array" ref="U974">IF($F974="","",IFERROR(INDEX(Config!$F:$F,MATCH($F974,Config!$D:$D,0)),0))</f>
        <v/>
      </c>
    </row>
    <row r="975" ht="15.0" customHeight="1">
      <c r="A975" s="34"/>
      <c r="B975" s="35"/>
      <c r="C975" s="15"/>
      <c r="D975" s="15"/>
      <c r="E975" s="15"/>
      <c r="F975" s="15"/>
      <c r="G975" s="36" t="str">
        <f t="array" ref="G975">IF($F975="","",IFERROR(INDEX(Config!$E:$E,MATCH($F975,Config!$D:$D,0)),0))</f>
        <v/>
      </c>
      <c r="H975" s="16"/>
      <c r="I975" s="36" t="str">
        <f t="shared" si="1"/>
        <v/>
      </c>
      <c r="J975" s="16"/>
      <c r="K975" s="15"/>
      <c r="L975" s="15"/>
      <c r="M975" s="36" t="str">
        <f t="array" ref="M975">IF($A975="","",IF($L975="Atendido",IFERROR($I975*INDEX(Config!$B:$B,MATCH($C975,Config!$A:$A,0)),0),0))</f>
        <v/>
      </c>
      <c r="N975" s="36" t="str">
        <f t="shared" si="2"/>
        <v/>
      </c>
      <c r="O975" s="36" t="str">
        <f t="shared" si="3"/>
        <v/>
      </c>
      <c r="P975" s="15"/>
      <c r="Q975" s="37" t="str">
        <f t="shared" si="4"/>
        <v/>
      </c>
      <c r="R975" s="37" t="str">
        <f t="shared" si="5"/>
        <v/>
      </c>
      <c r="S975" s="32" t="str">
        <f t="shared" si="6"/>
        <v/>
      </c>
      <c r="T975" s="37" t="str">
        <f t="shared" si="7"/>
        <v/>
      </c>
      <c r="U975" s="37" t="str">
        <f t="array" ref="U975">IF($F975="","",IFERROR(INDEX(Config!$F:$F,MATCH($F975,Config!$D:$D,0)),0))</f>
        <v/>
      </c>
    </row>
    <row r="976" ht="15.0" customHeight="1">
      <c r="A976" s="34"/>
      <c r="B976" s="35"/>
      <c r="C976" s="15"/>
      <c r="D976" s="15"/>
      <c r="E976" s="15"/>
      <c r="F976" s="15"/>
      <c r="G976" s="36" t="str">
        <f t="array" ref="G976">IF($F976="","",IFERROR(INDEX(Config!$E:$E,MATCH($F976,Config!$D:$D,0)),0))</f>
        <v/>
      </c>
      <c r="H976" s="16"/>
      <c r="I976" s="36" t="str">
        <f t="shared" si="1"/>
        <v/>
      </c>
      <c r="J976" s="16"/>
      <c r="K976" s="15"/>
      <c r="L976" s="15"/>
      <c r="M976" s="36" t="str">
        <f t="array" ref="M976">IF($A976="","",IF($L976="Atendido",IFERROR($I976*INDEX(Config!$B:$B,MATCH($C976,Config!$A:$A,0)),0),0))</f>
        <v/>
      </c>
      <c r="N976" s="36" t="str">
        <f t="shared" si="2"/>
        <v/>
      </c>
      <c r="O976" s="36" t="str">
        <f t="shared" si="3"/>
        <v/>
      </c>
      <c r="P976" s="15"/>
      <c r="Q976" s="37" t="str">
        <f t="shared" si="4"/>
        <v/>
      </c>
      <c r="R976" s="37" t="str">
        <f t="shared" si="5"/>
        <v/>
      </c>
      <c r="S976" s="32" t="str">
        <f t="shared" si="6"/>
        <v/>
      </c>
      <c r="T976" s="37" t="str">
        <f t="shared" si="7"/>
        <v/>
      </c>
      <c r="U976" s="37" t="str">
        <f t="array" ref="U976">IF($F976="","",IFERROR(INDEX(Config!$F:$F,MATCH($F976,Config!$D:$D,0)),0))</f>
        <v/>
      </c>
    </row>
    <row r="977" ht="15.0" customHeight="1">
      <c r="A977" s="34"/>
      <c r="B977" s="35"/>
      <c r="C977" s="15"/>
      <c r="D977" s="15"/>
      <c r="E977" s="15"/>
      <c r="F977" s="15"/>
      <c r="G977" s="36" t="str">
        <f t="array" ref="G977">IF($F977="","",IFERROR(INDEX(Config!$E:$E,MATCH($F977,Config!$D:$D,0)),0))</f>
        <v/>
      </c>
      <c r="H977" s="16"/>
      <c r="I977" s="36" t="str">
        <f t="shared" si="1"/>
        <v/>
      </c>
      <c r="J977" s="16"/>
      <c r="K977" s="15"/>
      <c r="L977" s="15"/>
      <c r="M977" s="36" t="str">
        <f t="array" ref="M977">IF($A977="","",IF($L977="Atendido",IFERROR($I977*INDEX(Config!$B:$B,MATCH($C977,Config!$A:$A,0)),0),0))</f>
        <v/>
      </c>
      <c r="N977" s="36" t="str">
        <f t="shared" si="2"/>
        <v/>
      </c>
      <c r="O977" s="36" t="str">
        <f t="shared" si="3"/>
        <v/>
      </c>
      <c r="P977" s="15"/>
      <c r="Q977" s="37" t="str">
        <f t="shared" si="4"/>
        <v/>
      </c>
      <c r="R977" s="37" t="str">
        <f t="shared" si="5"/>
        <v/>
      </c>
      <c r="S977" s="32" t="str">
        <f t="shared" si="6"/>
        <v/>
      </c>
      <c r="T977" s="37" t="str">
        <f t="shared" si="7"/>
        <v/>
      </c>
      <c r="U977" s="37" t="str">
        <f t="array" ref="U977">IF($F977="","",IFERROR(INDEX(Config!$F:$F,MATCH($F977,Config!$D:$D,0)),0))</f>
        <v/>
      </c>
    </row>
    <row r="978" ht="15.0" customHeight="1">
      <c r="A978" s="34"/>
      <c r="B978" s="35"/>
      <c r="C978" s="15"/>
      <c r="D978" s="15"/>
      <c r="E978" s="15"/>
      <c r="F978" s="15"/>
      <c r="G978" s="36" t="str">
        <f t="array" ref="G978">IF($F978="","",IFERROR(INDEX(Config!$E:$E,MATCH($F978,Config!$D:$D,0)),0))</f>
        <v/>
      </c>
      <c r="H978" s="16"/>
      <c r="I978" s="36" t="str">
        <f t="shared" si="1"/>
        <v/>
      </c>
      <c r="J978" s="16"/>
      <c r="K978" s="15"/>
      <c r="L978" s="15"/>
      <c r="M978" s="36" t="str">
        <f t="array" ref="M978">IF($A978="","",IF($L978="Atendido",IFERROR($I978*INDEX(Config!$B:$B,MATCH($C978,Config!$A:$A,0)),0),0))</f>
        <v/>
      </c>
      <c r="N978" s="36" t="str">
        <f t="shared" si="2"/>
        <v/>
      </c>
      <c r="O978" s="36" t="str">
        <f t="shared" si="3"/>
        <v/>
      </c>
      <c r="P978" s="15"/>
      <c r="Q978" s="37" t="str">
        <f t="shared" si="4"/>
        <v/>
      </c>
      <c r="R978" s="37" t="str">
        <f t="shared" si="5"/>
        <v/>
      </c>
      <c r="S978" s="32" t="str">
        <f t="shared" si="6"/>
        <v/>
      </c>
      <c r="T978" s="37" t="str">
        <f t="shared" si="7"/>
        <v/>
      </c>
      <c r="U978" s="37" t="str">
        <f t="array" ref="U978">IF($F978="","",IFERROR(INDEX(Config!$F:$F,MATCH($F978,Config!$D:$D,0)),0))</f>
        <v/>
      </c>
    </row>
    <row r="979" ht="15.0" customHeight="1">
      <c r="A979" s="34"/>
      <c r="B979" s="35"/>
      <c r="C979" s="15"/>
      <c r="D979" s="15"/>
      <c r="E979" s="15"/>
      <c r="F979" s="15"/>
      <c r="G979" s="36" t="str">
        <f t="array" ref="G979">IF($F979="","",IFERROR(INDEX(Config!$E:$E,MATCH($F979,Config!$D:$D,0)),0))</f>
        <v/>
      </c>
      <c r="H979" s="16"/>
      <c r="I979" s="36" t="str">
        <f t="shared" si="1"/>
        <v/>
      </c>
      <c r="J979" s="16"/>
      <c r="K979" s="15"/>
      <c r="L979" s="15"/>
      <c r="M979" s="36" t="str">
        <f t="array" ref="M979">IF($A979="","",IF($L979="Atendido",IFERROR($I979*INDEX(Config!$B:$B,MATCH($C979,Config!$A:$A,0)),0),0))</f>
        <v/>
      </c>
      <c r="N979" s="36" t="str">
        <f t="shared" si="2"/>
        <v/>
      </c>
      <c r="O979" s="36" t="str">
        <f t="shared" si="3"/>
        <v/>
      </c>
      <c r="P979" s="15"/>
      <c r="Q979" s="37" t="str">
        <f t="shared" si="4"/>
        <v/>
      </c>
      <c r="R979" s="37" t="str">
        <f t="shared" si="5"/>
        <v/>
      </c>
      <c r="S979" s="32" t="str">
        <f t="shared" si="6"/>
        <v/>
      </c>
      <c r="T979" s="37" t="str">
        <f t="shared" si="7"/>
        <v/>
      </c>
      <c r="U979" s="37" t="str">
        <f t="array" ref="U979">IF($F979="","",IFERROR(INDEX(Config!$F:$F,MATCH($F979,Config!$D:$D,0)),0))</f>
        <v/>
      </c>
    </row>
    <row r="980" ht="15.0" customHeight="1">
      <c r="A980" s="34"/>
      <c r="B980" s="35"/>
      <c r="C980" s="15"/>
      <c r="D980" s="15"/>
      <c r="E980" s="15"/>
      <c r="F980" s="15"/>
      <c r="G980" s="36" t="str">
        <f t="array" ref="G980">IF($F980="","",IFERROR(INDEX(Config!$E:$E,MATCH($F980,Config!$D:$D,0)),0))</f>
        <v/>
      </c>
      <c r="H980" s="16"/>
      <c r="I980" s="36" t="str">
        <f t="shared" si="1"/>
        <v/>
      </c>
      <c r="J980" s="16"/>
      <c r="K980" s="15"/>
      <c r="L980" s="15"/>
      <c r="M980" s="36" t="str">
        <f t="array" ref="M980">IF($A980="","",IF($L980="Atendido",IFERROR($I980*INDEX(Config!$B:$B,MATCH($C980,Config!$A:$A,0)),0),0))</f>
        <v/>
      </c>
      <c r="N980" s="36" t="str">
        <f t="shared" si="2"/>
        <v/>
      </c>
      <c r="O980" s="36" t="str">
        <f t="shared" si="3"/>
        <v/>
      </c>
      <c r="P980" s="15"/>
      <c r="Q980" s="37" t="str">
        <f t="shared" si="4"/>
        <v/>
      </c>
      <c r="R980" s="37" t="str">
        <f t="shared" si="5"/>
        <v/>
      </c>
      <c r="S980" s="32" t="str">
        <f t="shared" si="6"/>
        <v/>
      </c>
      <c r="T980" s="37" t="str">
        <f t="shared" si="7"/>
        <v/>
      </c>
      <c r="U980" s="37" t="str">
        <f t="array" ref="U980">IF($F980="","",IFERROR(INDEX(Config!$F:$F,MATCH($F980,Config!$D:$D,0)),0))</f>
        <v/>
      </c>
    </row>
    <row r="981" ht="15.0" customHeight="1">
      <c r="A981" s="34"/>
      <c r="B981" s="35"/>
      <c r="C981" s="15"/>
      <c r="D981" s="15"/>
      <c r="E981" s="15"/>
      <c r="F981" s="15"/>
      <c r="G981" s="36" t="str">
        <f t="array" ref="G981">IF($F981="","",IFERROR(INDEX(Config!$E:$E,MATCH($F981,Config!$D:$D,0)),0))</f>
        <v/>
      </c>
      <c r="H981" s="16"/>
      <c r="I981" s="36" t="str">
        <f t="shared" si="1"/>
        <v/>
      </c>
      <c r="J981" s="16"/>
      <c r="K981" s="15"/>
      <c r="L981" s="15"/>
      <c r="M981" s="36" t="str">
        <f t="array" ref="M981">IF($A981="","",IF($L981="Atendido",IFERROR($I981*INDEX(Config!$B:$B,MATCH($C981,Config!$A:$A,0)),0),0))</f>
        <v/>
      </c>
      <c r="N981" s="36" t="str">
        <f t="shared" si="2"/>
        <v/>
      </c>
      <c r="O981" s="36" t="str">
        <f t="shared" si="3"/>
        <v/>
      </c>
      <c r="P981" s="15"/>
      <c r="Q981" s="37" t="str">
        <f t="shared" si="4"/>
        <v/>
      </c>
      <c r="R981" s="37" t="str">
        <f t="shared" si="5"/>
        <v/>
      </c>
      <c r="S981" s="32" t="str">
        <f t="shared" si="6"/>
        <v/>
      </c>
      <c r="T981" s="37" t="str">
        <f t="shared" si="7"/>
        <v/>
      </c>
      <c r="U981" s="37" t="str">
        <f t="array" ref="U981">IF($F981="","",IFERROR(INDEX(Config!$F:$F,MATCH($F981,Config!$D:$D,0)),0))</f>
        <v/>
      </c>
    </row>
    <row r="982" ht="15.0" customHeight="1">
      <c r="A982" s="34"/>
      <c r="B982" s="35"/>
      <c r="C982" s="15"/>
      <c r="D982" s="15"/>
      <c r="E982" s="15"/>
      <c r="F982" s="15"/>
      <c r="G982" s="36" t="str">
        <f t="array" ref="G982">IF($F982="","",IFERROR(INDEX(Config!$E:$E,MATCH($F982,Config!$D:$D,0)),0))</f>
        <v/>
      </c>
      <c r="H982" s="16"/>
      <c r="I982" s="36" t="str">
        <f t="shared" si="1"/>
        <v/>
      </c>
      <c r="J982" s="16"/>
      <c r="K982" s="15"/>
      <c r="L982" s="15"/>
      <c r="M982" s="36" t="str">
        <f t="array" ref="M982">IF($A982="","",IF($L982="Atendido",IFERROR($I982*INDEX(Config!$B:$B,MATCH($C982,Config!$A:$A,0)),0),0))</f>
        <v/>
      </c>
      <c r="N982" s="36" t="str">
        <f t="shared" si="2"/>
        <v/>
      </c>
      <c r="O982" s="36" t="str">
        <f t="shared" si="3"/>
        <v/>
      </c>
      <c r="P982" s="15"/>
      <c r="Q982" s="37" t="str">
        <f t="shared" si="4"/>
        <v/>
      </c>
      <c r="R982" s="37" t="str">
        <f t="shared" si="5"/>
        <v/>
      </c>
      <c r="S982" s="32" t="str">
        <f t="shared" si="6"/>
        <v/>
      </c>
      <c r="T982" s="37" t="str">
        <f t="shared" si="7"/>
        <v/>
      </c>
      <c r="U982" s="37" t="str">
        <f t="array" ref="U982">IF($F982="","",IFERROR(INDEX(Config!$F:$F,MATCH($F982,Config!$D:$D,0)),0))</f>
        <v/>
      </c>
    </row>
    <row r="983" ht="15.0" customHeight="1">
      <c r="A983" s="34"/>
      <c r="B983" s="35"/>
      <c r="C983" s="15"/>
      <c r="D983" s="15"/>
      <c r="E983" s="15"/>
      <c r="F983" s="15"/>
      <c r="G983" s="36" t="str">
        <f t="array" ref="G983">IF($F983="","",IFERROR(INDEX(Config!$E:$E,MATCH($F983,Config!$D:$D,0)),0))</f>
        <v/>
      </c>
      <c r="H983" s="16"/>
      <c r="I983" s="36" t="str">
        <f t="shared" si="1"/>
        <v/>
      </c>
      <c r="J983" s="16"/>
      <c r="K983" s="15"/>
      <c r="L983" s="15"/>
      <c r="M983" s="36" t="str">
        <f t="array" ref="M983">IF($A983="","",IF($L983="Atendido",IFERROR($I983*INDEX(Config!$B:$B,MATCH($C983,Config!$A:$A,0)),0),0))</f>
        <v/>
      </c>
      <c r="N983" s="36" t="str">
        <f t="shared" si="2"/>
        <v/>
      </c>
      <c r="O983" s="36" t="str">
        <f t="shared" si="3"/>
        <v/>
      </c>
      <c r="P983" s="15"/>
      <c r="Q983" s="37" t="str">
        <f t="shared" si="4"/>
        <v/>
      </c>
      <c r="R983" s="37" t="str">
        <f t="shared" si="5"/>
        <v/>
      </c>
      <c r="S983" s="32" t="str">
        <f t="shared" si="6"/>
        <v/>
      </c>
      <c r="T983" s="37" t="str">
        <f t="shared" si="7"/>
        <v/>
      </c>
      <c r="U983" s="37" t="str">
        <f t="array" ref="U983">IF($F983="","",IFERROR(INDEX(Config!$F:$F,MATCH($F983,Config!$D:$D,0)),0))</f>
        <v/>
      </c>
    </row>
    <row r="984" ht="15.0" customHeight="1">
      <c r="A984" s="34"/>
      <c r="B984" s="35"/>
      <c r="C984" s="15"/>
      <c r="D984" s="15"/>
      <c r="E984" s="15"/>
      <c r="F984" s="15"/>
      <c r="G984" s="36" t="str">
        <f t="array" ref="G984">IF($F984="","",IFERROR(INDEX(Config!$E:$E,MATCH($F984,Config!$D:$D,0)),0))</f>
        <v/>
      </c>
      <c r="H984" s="16"/>
      <c r="I984" s="36" t="str">
        <f t="shared" si="1"/>
        <v/>
      </c>
      <c r="J984" s="16"/>
      <c r="K984" s="15"/>
      <c r="L984" s="15"/>
      <c r="M984" s="36" t="str">
        <f t="array" ref="M984">IF($A984="","",IF($L984="Atendido",IFERROR($I984*INDEX(Config!$B:$B,MATCH($C984,Config!$A:$A,0)),0),0))</f>
        <v/>
      </c>
      <c r="N984" s="36" t="str">
        <f t="shared" si="2"/>
        <v/>
      </c>
      <c r="O984" s="36" t="str">
        <f t="shared" si="3"/>
        <v/>
      </c>
      <c r="P984" s="15"/>
      <c r="Q984" s="37" t="str">
        <f t="shared" si="4"/>
        <v/>
      </c>
      <c r="R984" s="37" t="str">
        <f t="shared" si="5"/>
        <v/>
      </c>
      <c r="S984" s="32" t="str">
        <f t="shared" si="6"/>
        <v/>
      </c>
      <c r="T984" s="37" t="str">
        <f t="shared" si="7"/>
        <v/>
      </c>
      <c r="U984" s="37" t="str">
        <f t="array" ref="U984">IF($F984="","",IFERROR(INDEX(Config!$F:$F,MATCH($F984,Config!$D:$D,0)),0))</f>
        <v/>
      </c>
    </row>
    <row r="985" ht="15.0" customHeight="1">
      <c r="A985" s="34"/>
      <c r="B985" s="35"/>
      <c r="C985" s="15"/>
      <c r="D985" s="15"/>
      <c r="E985" s="15"/>
      <c r="F985" s="15"/>
      <c r="G985" s="36" t="str">
        <f t="array" ref="G985">IF($F985="","",IFERROR(INDEX(Config!$E:$E,MATCH($F985,Config!$D:$D,0)),0))</f>
        <v/>
      </c>
      <c r="H985" s="16"/>
      <c r="I985" s="36" t="str">
        <f t="shared" si="1"/>
        <v/>
      </c>
      <c r="J985" s="16"/>
      <c r="K985" s="15"/>
      <c r="L985" s="15"/>
      <c r="M985" s="36" t="str">
        <f t="array" ref="M985">IF($A985="","",IF($L985="Atendido",IFERROR($I985*INDEX(Config!$B:$B,MATCH($C985,Config!$A:$A,0)),0),0))</f>
        <v/>
      </c>
      <c r="N985" s="36" t="str">
        <f t="shared" si="2"/>
        <v/>
      </c>
      <c r="O985" s="36" t="str">
        <f t="shared" si="3"/>
        <v/>
      </c>
      <c r="P985" s="15"/>
      <c r="Q985" s="37" t="str">
        <f t="shared" si="4"/>
        <v/>
      </c>
      <c r="R985" s="37" t="str">
        <f t="shared" si="5"/>
        <v/>
      </c>
      <c r="S985" s="32" t="str">
        <f t="shared" si="6"/>
        <v/>
      </c>
      <c r="T985" s="37" t="str">
        <f t="shared" si="7"/>
        <v/>
      </c>
      <c r="U985" s="37" t="str">
        <f t="array" ref="U985">IF($F985="","",IFERROR(INDEX(Config!$F:$F,MATCH($F985,Config!$D:$D,0)),0))</f>
        <v/>
      </c>
    </row>
    <row r="986" ht="15.0" customHeight="1">
      <c r="A986" s="34"/>
      <c r="B986" s="35"/>
      <c r="C986" s="15"/>
      <c r="D986" s="15"/>
      <c r="E986" s="15"/>
      <c r="F986" s="15"/>
      <c r="G986" s="36" t="str">
        <f t="array" ref="G986">IF($F986="","",IFERROR(INDEX(Config!$E:$E,MATCH($F986,Config!$D:$D,0)),0))</f>
        <v/>
      </c>
      <c r="H986" s="16"/>
      <c r="I986" s="36" t="str">
        <f t="shared" si="1"/>
        <v/>
      </c>
      <c r="J986" s="16"/>
      <c r="K986" s="15"/>
      <c r="L986" s="15"/>
      <c r="M986" s="36" t="str">
        <f t="array" ref="M986">IF($A986="","",IF($L986="Atendido",IFERROR($I986*INDEX(Config!$B:$B,MATCH($C986,Config!$A:$A,0)),0),0))</f>
        <v/>
      </c>
      <c r="N986" s="36" t="str">
        <f t="shared" si="2"/>
        <v/>
      </c>
      <c r="O986" s="36" t="str">
        <f t="shared" si="3"/>
        <v/>
      </c>
      <c r="P986" s="15"/>
      <c r="Q986" s="37" t="str">
        <f t="shared" si="4"/>
        <v/>
      </c>
      <c r="R986" s="37" t="str">
        <f t="shared" si="5"/>
        <v/>
      </c>
      <c r="S986" s="32" t="str">
        <f t="shared" si="6"/>
        <v/>
      </c>
      <c r="T986" s="37" t="str">
        <f t="shared" si="7"/>
        <v/>
      </c>
      <c r="U986" s="37" t="str">
        <f t="array" ref="U986">IF($F986="","",IFERROR(INDEX(Config!$F:$F,MATCH($F986,Config!$D:$D,0)),0))</f>
        <v/>
      </c>
    </row>
    <row r="987" ht="15.0" customHeight="1">
      <c r="A987" s="34"/>
      <c r="B987" s="35"/>
      <c r="C987" s="15"/>
      <c r="D987" s="15"/>
      <c r="E987" s="15"/>
      <c r="F987" s="15"/>
      <c r="G987" s="36" t="str">
        <f t="array" ref="G987">IF($F987="","",IFERROR(INDEX(Config!$E:$E,MATCH($F987,Config!$D:$D,0)),0))</f>
        <v/>
      </c>
      <c r="H987" s="16"/>
      <c r="I987" s="36" t="str">
        <f t="shared" si="1"/>
        <v/>
      </c>
      <c r="J987" s="16"/>
      <c r="K987" s="15"/>
      <c r="L987" s="15"/>
      <c r="M987" s="36" t="str">
        <f t="array" ref="M987">IF($A987="","",IF($L987="Atendido",IFERROR($I987*INDEX(Config!$B:$B,MATCH($C987,Config!$A:$A,0)),0),0))</f>
        <v/>
      </c>
      <c r="N987" s="36" t="str">
        <f t="shared" si="2"/>
        <v/>
      </c>
      <c r="O987" s="36" t="str">
        <f t="shared" si="3"/>
        <v/>
      </c>
      <c r="P987" s="15"/>
      <c r="Q987" s="37" t="str">
        <f t="shared" si="4"/>
        <v/>
      </c>
      <c r="R987" s="37" t="str">
        <f t="shared" si="5"/>
        <v/>
      </c>
      <c r="S987" s="32" t="str">
        <f t="shared" si="6"/>
        <v/>
      </c>
      <c r="T987" s="37" t="str">
        <f t="shared" si="7"/>
        <v/>
      </c>
      <c r="U987" s="37" t="str">
        <f t="array" ref="U987">IF($F987="","",IFERROR(INDEX(Config!$F:$F,MATCH($F987,Config!$D:$D,0)),0))</f>
        <v/>
      </c>
    </row>
    <row r="988" ht="15.0" customHeight="1">
      <c r="A988" s="34"/>
      <c r="B988" s="35"/>
      <c r="C988" s="15"/>
      <c r="D988" s="15"/>
      <c r="E988" s="15"/>
      <c r="F988" s="15"/>
      <c r="G988" s="36" t="str">
        <f t="array" ref="G988">IF($F988="","",IFERROR(INDEX(Config!$E:$E,MATCH($F988,Config!$D:$D,0)),0))</f>
        <v/>
      </c>
      <c r="H988" s="16"/>
      <c r="I988" s="36" t="str">
        <f t="shared" si="1"/>
        <v/>
      </c>
      <c r="J988" s="16"/>
      <c r="K988" s="15"/>
      <c r="L988" s="15"/>
      <c r="M988" s="36" t="str">
        <f t="array" ref="M988">IF($A988="","",IF($L988="Atendido",IFERROR($I988*INDEX(Config!$B:$B,MATCH($C988,Config!$A:$A,0)),0),0))</f>
        <v/>
      </c>
      <c r="N988" s="36" t="str">
        <f t="shared" si="2"/>
        <v/>
      </c>
      <c r="O988" s="36" t="str">
        <f t="shared" si="3"/>
        <v/>
      </c>
      <c r="P988" s="15"/>
      <c r="Q988" s="37" t="str">
        <f t="shared" si="4"/>
        <v/>
      </c>
      <c r="R988" s="37" t="str">
        <f t="shared" si="5"/>
        <v/>
      </c>
      <c r="S988" s="32" t="str">
        <f t="shared" si="6"/>
        <v/>
      </c>
      <c r="T988" s="37" t="str">
        <f t="shared" si="7"/>
        <v/>
      </c>
      <c r="U988" s="37" t="str">
        <f t="array" ref="U988">IF($F988="","",IFERROR(INDEX(Config!$F:$F,MATCH($F988,Config!$D:$D,0)),0))</f>
        <v/>
      </c>
    </row>
    <row r="989" ht="15.0" customHeight="1">
      <c r="A989" s="34"/>
      <c r="B989" s="35"/>
      <c r="C989" s="15"/>
      <c r="D989" s="15"/>
      <c r="E989" s="15"/>
      <c r="F989" s="15"/>
      <c r="G989" s="36" t="str">
        <f t="array" ref="G989">IF($F989="","",IFERROR(INDEX(Config!$E:$E,MATCH($F989,Config!$D:$D,0)),0))</f>
        <v/>
      </c>
      <c r="H989" s="16"/>
      <c r="I989" s="36" t="str">
        <f t="shared" si="1"/>
        <v/>
      </c>
      <c r="J989" s="16"/>
      <c r="K989" s="15"/>
      <c r="L989" s="15"/>
      <c r="M989" s="36" t="str">
        <f t="array" ref="M989">IF($A989="","",IF($L989="Atendido",IFERROR($I989*INDEX(Config!$B:$B,MATCH($C989,Config!$A:$A,0)),0),0))</f>
        <v/>
      </c>
      <c r="N989" s="36" t="str">
        <f t="shared" si="2"/>
        <v/>
      </c>
      <c r="O989" s="36" t="str">
        <f t="shared" si="3"/>
        <v/>
      </c>
      <c r="P989" s="15"/>
      <c r="Q989" s="37" t="str">
        <f t="shared" si="4"/>
        <v/>
      </c>
      <c r="R989" s="37" t="str">
        <f t="shared" si="5"/>
        <v/>
      </c>
      <c r="S989" s="32" t="str">
        <f t="shared" si="6"/>
        <v/>
      </c>
      <c r="T989" s="37" t="str">
        <f t="shared" si="7"/>
        <v/>
      </c>
      <c r="U989" s="37" t="str">
        <f t="array" ref="U989">IF($F989="","",IFERROR(INDEX(Config!$F:$F,MATCH($F989,Config!$D:$D,0)),0))</f>
        <v/>
      </c>
    </row>
    <row r="990" ht="15.0" customHeight="1">
      <c r="A990" s="34"/>
      <c r="B990" s="35"/>
      <c r="C990" s="15"/>
      <c r="D990" s="15"/>
      <c r="E990" s="15"/>
      <c r="F990" s="15"/>
      <c r="G990" s="36" t="str">
        <f t="array" ref="G990">IF($F990="","",IFERROR(INDEX(Config!$E:$E,MATCH($F990,Config!$D:$D,0)),0))</f>
        <v/>
      </c>
      <c r="H990" s="16"/>
      <c r="I990" s="36" t="str">
        <f t="shared" si="1"/>
        <v/>
      </c>
      <c r="J990" s="16"/>
      <c r="K990" s="15"/>
      <c r="L990" s="15"/>
      <c r="M990" s="36" t="str">
        <f t="array" ref="M990">IF($A990="","",IF($L990="Atendido",IFERROR($I990*INDEX(Config!$B:$B,MATCH($C990,Config!$A:$A,0)),0),0))</f>
        <v/>
      </c>
      <c r="N990" s="36" t="str">
        <f t="shared" si="2"/>
        <v/>
      </c>
      <c r="O990" s="36" t="str">
        <f t="shared" si="3"/>
        <v/>
      </c>
      <c r="P990" s="15"/>
      <c r="Q990" s="37" t="str">
        <f t="shared" si="4"/>
        <v/>
      </c>
      <c r="R990" s="37" t="str">
        <f t="shared" si="5"/>
        <v/>
      </c>
      <c r="S990" s="32" t="str">
        <f t="shared" si="6"/>
        <v/>
      </c>
      <c r="T990" s="37" t="str">
        <f t="shared" si="7"/>
        <v/>
      </c>
      <c r="U990" s="37" t="str">
        <f t="array" ref="U990">IF($F990="","",IFERROR(INDEX(Config!$F:$F,MATCH($F990,Config!$D:$D,0)),0))</f>
        <v/>
      </c>
    </row>
    <row r="991" ht="15.0" customHeight="1">
      <c r="A991" s="34"/>
      <c r="B991" s="35"/>
      <c r="C991" s="15"/>
      <c r="D991" s="15"/>
      <c r="E991" s="15"/>
      <c r="F991" s="15"/>
      <c r="G991" s="36" t="str">
        <f t="array" ref="G991">IF($F991="","",IFERROR(INDEX(Config!$E:$E,MATCH($F991,Config!$D:$D,0)),0))</f>
        <v/>
      </c>
      <c r="H991" s="16"/>
      <c r="I991" s="36" t="str">
        <f t="shared" si="1"/>
        <v/>
      </c>
      <c r="J991" s="16"/>
      <c r="K991" s="15"/>
      <c r="L991" s="15"/>
      <c r="M991" s="36" t="str">
        <f t="array" ref="M991">IF($A991="","",IF($L991="Atendido",IFERROR($I991*INDEX(Config!$B:$B,MATCH($C991,Config!$A:$A,0)),0),0))</f>
        <v/>
      </c>
      <c r="N991" s="36" t="str">
        <f t="shared" si="2"/>
        <v/>
      </c>
      <c r="O991" s="36" t="str">
        <f t="shared" si="3"/>
        <v/>
      </c>
      <c r="P991" s="15"/>
      <c r="Q991" s="37" t="str">
        <f t="shared" si="4"/>
        <v/>
      </c>
      <c r="R991" s="37" t="str">
        <f t="shared" si="5"/>
        <v/>
      </c>
      <c r="S991" s="32" t="str">
        <f t="shared" si="6"/>
        <v/>
      </c>
      <c r="T991" s="37" t="str">
        <f t="shared" si="7"/>
        <v/>
      </c>
      <c r="U991" s="37" t="str">
        <f t="array" ref="U991">IF($F991="","",IFERROR(INDEX(Config!$F:$F,MATCH($F991,Config!$D:$D,0)),0))</f>
        <v/>
      </c>
    </row>
    <row r="992" ht="15.0" customHeight="1">
      <c r="A992" s="34"/>
      <c r="B992" s="35"/>
      <c r="C992" s="15"/>
      <c r="D992" s="15"/>
      <c r="E992" s="15"/>
      <c r="F992" s="15"/>
      <c r="G992" s="36" t="str">
        <f t="array" ref="G992">IF($F992="","",IFERROR(INDEX(Config!$E:$E,MATCH($F992,Config!$D:$D,0)),0))</f>
        <v/>
      </c>
      <c r="H992" s="16"/>
      <c r="I992" s="36" t="str">
        <f t="shared" si="1"/>
        <v/>
      </c>
      <c r="J992" s="16"/>
      <c r="K992" s="15"/>
      <c r="L992" s="15"/>
      <c r="M992" s="36" t="str">
        <f t="array" ref="M992">IF($A992="","",IF($L992="Atendido",IFERROR($I992*INDEX(Config!$B:$B,MATCH($C992,Config!$A:$A,0)),0),0))</f>
        <v/>
      </c>
      <c r="N992" s="36" t="str">
        <f t="shared" si="2"/>
        <v/>
      </c>
      <c r="O992" s="36" t="str">
        <f t="shared" si="3"/>
        <v/>
      </c>
      <c r="P992" s="15"/>
      <c r="Q992" s="37" t="str">
        <f t="shared" si="4"/>
        <v/>
      </c>
      <c r="R992" s="37" t="str">
        <f t="shared" si="5"/>
        <v/>
      </c>
      <c r="S992" s="32" t="str">
        <f t="shared" si="6"/>
        <v/>
      </c>
      <c r="T992" s="37" t="str">
        <f t="shared" si="7"/>
        <v/>
      </c>
      <c r="U992" s="37" t="str">
        <f t="array" ref="U992">IF($F992="","",IFERROR(INDEX(Config!$F:$F,MATCH($F992,Config!$D:$D,0)),0))</f>
        <v/>
      </c>
    </row>
    <row r="993" ht="15.0" customHeight="1">
      <c r="A993" s="34"/>
      <c r="B993" s="35"/>
      <c r="C993" s="15"/>
      <c r="D993" s="15"/>
      <c r="E993" s="15"/>
      <c r="F993" s="15"/>
      <c r="G993" s="36" t="str">
        <f t="array" ref="G993">IF($F993="","",IFERROR(INDEX(Config!$E:$E,MATCH($F993,Config!$D:$D,0)),0))</f>
        <v/>
      </c>
      <c r="H993" s="16"/>
      <c r="I993" s="36" t="str">
        <f t="shared" si="1"/>
        <v/>
      </c>
      <c r="J993" s="16"/>
      <c r="K993" s="15"/>
      <c r="L993" s="15"/>
      <c r="M993" s="36" t="str">
        <f t="array" ref="M993">IF($A993="","",IF($L993="Atendido",IFERROR($I993*INDEX(Config!$B:$B,MATCH($C993,Config!$A:$A,0)),0),0))</f>
        <v/>
      </c>
      <c r="N993" s="36" t="str">
        <f t="shared" si="2"/>
        <v/>
      </c>
      <c r="O993" s="36" t="str">
        <f t="shared" si="3"/>
        <v/>
      </c>
      <c r="P993" s="15"/>
      <c r="Q993" s="37" t="str">
        <f t="shared" si="4"/>
        <v/>
      </c>
      <c r="R993" s="37" t="str">
        <f t="shared" si="5"/>
        <v/>
      </c>
      <c r="S993" s="32" t="str">
        <f t="shared" si="6"/>
        <v/>
      </c>
      <c r="T993" s="37" t="str">
        <f t="shared" si="7"/>
        <v/>
      </c>
      <c r="U993" s="37" t="str">
        <f t="array" ref="U993">IF($F993="","",IFERROR(INDEX(Config!$F:$F,MATCH($F993,Config!$D:$D,0)),0))</f>
        <v/>
      </c>
    </row>
    <row r="994" ht="15.0" customHeight="1">
      <c r="A994" s="34"/>
      <c r="B994" s="35"/>
      <c r="C994" s="15"/>
      <c r="D994" s="15"/>
      <c r="E994" s="15"/>
      <c r="F994" s="15"/>
      <c r="G994" s="36" t="str">
        <f t="array" ref="G994">IF($F994="","",IFERROR(INDEX(Config!$E:$E,MATCH($F994,Config!$D:$D,0)),0))</f>
        <v/>
      </c>
      <c r="H994" s="16"/>
      <c r="I994" s="36" t="str">
        <f t="shared" si="1"/>
        <v/>
      </c>
      <c r="J994" s="16"/>
      <c r="K994" s="15"/>
      <c r="L994" s="15"/>
      <c r="M994" s="36" t="str">
        <f t="array" ref="M994">IF($A994="","",IF($L994="Atendido",IFERROR($I994*INDEX(Config!$B:$B,MATCH($C994,Config!$A:$A,0)),0),0))</f>
        <v/>
      </c>
      <c r="N994" s="36" t="str">
        <f t="shared" si="2"/>
        <v/>
      </c>
      <c r="O994" s="36" t="str">
        <f t="shared" si="3"/>
        <v/>
      </c>
      <c r="P994" s="15"/>
      <c r="Q994" s="37" t="str">
        <f t="shared" si="4"/>
        <v/>
      </c>
      <c r="R994" s="37" t="str">
        <f t="shared" si="5"/>
        <v/>
      </c>
      <c r="S994" s="32" t="str">
        <f t="shared" si="6"/>
        <v/>
      </c>
      <c r="T994" s="37" t="str">
        <f t="shared" si="7"/>
        <v/>
      </c>
      <c r="U994" s="37" t="str">
        <f t="array" ref="U994">IF($F994="","",IFERROR(INDEX(Config!$F:$F,MATCH($F994,Config!$D:$D,0)),0))</f>
        <v/>
      </c>
    </row>
    <row r="995" ht="15.0" customHeight="1">
      <c r="A995" s="34"/>
      <c r="B995" s="35"/>
      <c r="C995" s="15"/>
      <c r="D995" s="15"/>
      <c r="E995" s="15"/>
      <c r="F995" s="15"/>
      <c r="G995" s="36" t="str">
        <f t="array" ref="G995">IF($F995="","",IFERROR(INDEX(Config!$E:$E,MATCH($F995,Config!$D:$D,0)),0))</f>
        <v/>
      </c>
      <c r="H995" s="16"/>
      <c r="I995" s="36" t="str">
        <f t="shared" si="1"/>
        <v/>
      </c>
      <c r="J995" s="16"/>
      <c r="K995" s="15"/>
      <c r="L995" s="15"/>
      <c r="M995" s="36" t="str">
        <f t="array" ref="M995">IF($A995="","",IF($L995="Atendido",IFERROR($I995*INDEX(Config!$B:$B,MATCH($C995,Config!$A:$A,0)),0),0))</f>
        <v/>
      </c>
      <c r="N995" s="36" t="str">
        <f t="shared" si="2"/>
        <v/>
      </c>
      <c r="O995" s="36" t="str">
        <f t="shared" si="3"/>
        <v/>
      </c>
      <c r="P995" s="15"/>
      <c r="Q995" s="37" t="str">
        <f t="shared" si="4"/>
        <v/>
      </c>
      <c r="R995" s="37" t="str">
        <f t="shared" si="5"/>
        <v/>
      </c>
      <c r="S995" s="32" t="str">
        <f t="shared" si="6"/>
        <v/>
      </c>
      <c r="T995" s="37" t="str">
        <f t="shared" si="7"/>
        <v/>
      </c>
      <c r="U995" s="37" t="str">
        <f t="array" ref="U995">IF($F995="","",IFERROR(INDEX(Config!$F:$F,MATCH($F995,Config!$D:$D,0)),0))</f>
        <v/>
      </c>
    </row>
    <row r="996" ht="15.0" customHeight="1">
      <c r="A996" s="34"/>
      <c r="B996" s="35"/>
      <c r="C996" s="15"/>
      <c r="D996" s="15"/>
      <c r="E996" s="15"/>
      <c r="F996" s="15"/>
      <c r="G996" s="36" t="str">
        <f t="array" ref="G996">IF($F996="","",IFERROR(INDEX(Config!$E:$E,MATCH($F996,Config!$D:$D,0)),0))</f>
        <v/>
      </c>
      <c r="H996" s="16"/>
      <c r="I996" s="36" t="str">
        <f t="shared" si="1"/>
        <v/>
      </c>
      <c r="J996" s="16"/>
      <c r="K996" s="15"/>
      <c r="L996" s="15"/>
      <c r="M996" s="36" t="str">
        <f t="array" ref="M996">IF($A996="","",IF($L996="Atendido",IFERROR($I996*INDEX(Config!$B:$B,MATCH($C996,Config!$A:$A,0)),0),0))</f>
        <v/>
      </c>
      <c r="N996" s="36" t="str">
        <f t="shared" si="2"/>
        <v/>
      </c>
      <c r="O996" s="36" t="str">
        <f t="shared" si="3"/>
        <v/>
      </c>
      <c r="P996" s="15"/>
      <c r="Q996" s="37" t="str">
        <f t="shared" si="4"/>
        <v/>
      </c>
      <c r="R996" s="37" t="str">
        <f t="shared" si="5"/>
        <v/>
      </c>
      <c r="S996" s="32" t="str">
        <f t="shared" si="6"/>
        <v/>
      </c>
      <c r="T996" s="37" t="str">
        <f t="shared" si="7"/>
        <v/>
      </c>
      <c r="U996" s="37" t="str">
        <f t="array" ref="U996">IF($F996="","",IFERROR(INDEX(Config!$F:$F,MATCH($F996,Config!$D:$D,0)),0))</f>
        <v/>
      </c>
    </row>
    <row r="997" ht="15.0" customHeight="1">
      <c r="A997" s="34"/>
      <c r="B997" s="35"/>
      <c r="C997" s="15"/>
      <c r="D997" s="15"/>
      <c r="E997" s="15"/>
      <c r="F997" s="15"/>
      <c r="G997" s="36" t="str">
        <f t="array" ref="G997">IF($F997="","",IFERROR(INDEX(Config!$E:$E,MATCH($F997,Config!$D:$D,0)),0))</f>
        <v/>
      </c>
      <c r="H997" s="16"/>
      <c r="I997" s="36" t="str">
        <f t="shared" si="1"/>
        <v/>
      </c>
      <c r="J997" s="16"/>
      <c r="K997" s="15"/>
      <c r="L997" s="15"/>
      <c r="M997" s="36" t="str">
        <f t="array" ref="M997">IF($A997="","",IF($L997="Atendido",IFERROR($I997*INDEX(Config!$B:$B,MATCH($C997,Config!$A:$A,0)),0),0))</f>
        <v/>
      </c>
      <c r="N997" s="36" t="str">
        <f t="shared" si="2"/>
        <v/>
      </c>
      <c r="O997" s="36" t="str">
        <f t="shared" si="3"/>
        <v/>
      </c>
      <c r="P997" s="15"/>
      <c r="Q997" s="37" t="str">
        <f t="shared" si="4"/>
        <v/>
      </c>
      <c r="R997" s="37" t="str">
        <f t="shared" si="5"/>
        <v/>
      </c>
      <c r="S997" s="32" t="str">
        <f t="shared" si="6"/>
        <v/>
      </c>
      <c r="T997" s="37" t="str">
        <f t="shared" si="7"/>
        <v/>
      </c>
      <c r="U997" s="37" t="str">
        <f t="array" ref="U997">IF($F997="","",IFERROR(INDEX(Config!$F:$F,MATCH($F997,Config!$D:$D,0)),0))</f>
        <v/>
      </c>
    </row>
    <row r="998" ht="15.0" customHeight="1">
      <c r="A998" s="34"/>
      <c r="B998" s="35"/>
      <c r="C998" s="15"/>
      <c r="D998" s="15"/>
      <c r="E998" s="15"/>
      <c r="F998" s="15"/>
      <c r="G998" s="36" t="str">
        <f t="array" ref="G998">IF($F998="","",IFERROR(INDEX(Config!$E:$E,MATCH($F998,Config!$D:$D,0)),0))</f>
        <v/>
      </c>
      <c r="H998" s="16"/>
      <c r="I998" s="36" t="str">
        <f t="shared" si="1"/>
        <v/>
      </c>
      <c r="J998" s="16"/>
      <c r="K998" s="15"/>
      <c r="L998" s="15"/>
      <c r="M998" s="36" t="str">
        <f t="array" ref="M998">IF($A998="","",IF($L998="Atendido",IFERROR($I998*INDEX(Config!$B:$B,MATCH($C998,Config!$A:$A,0)),0),0))</f>
        <v/>
      </c>
      <c r="N998" s="36" t="str">
        <f t="shared" si="2"/>
        <v/>
      </c>
      <c r="O998" s="36" t="str">
        <f t="shared" si="3"/>
        <v/>
      </c>
      <c r="P998" s="15"/>
      <c r="Q998" s="37" t="str">
        <f t="shared" si="4"/>
        <v/>
      </c>
      <c r="R998" s="37" t="str">
        <f t="shared" si="5"/>
        <v/>
      </c>
      <c r="S998" s="32" t="str">
        <f t="shared" si="6"/>
        <v/>
      </c>
      <c r="T998" s="37" t="str">
        <f t="shared" si="7"/>
        <v/>
      </c>
      <c r="U998" s="37" t="str">
        <f t="array" ref="U998">IF($F998="","",IFERROR(INDEX(Config!$F:$F,MATCH($F998,Config!$D:$D,0)),0))</f>
        <v/>
      </c>
    </row>
    <row r="999" ht="15.0" customHeight="1">
      <c r="A999" s="34"/>
      <c r="B999" s="35"/>
      <c r="C999" s="15"/>
      <c r="D999" s="15"/>
      <c r="E999" s="15"/>
      <c r="F999" s="15"/>
      <c r="G999" s="36" t="str">
        <f t="array" ref="G999">IF($F999="","",IFERROR(INDEX(Config!$E:$E,MATCH($F999,Config!$D:$D,0)),0))</f>
        <v/>
      </c>
      <c r="H999" s="16"/>
      <c r="I999" s="36" t="str">
        <f t="shared" si="1"/>
        <v/>
      </c>
      <c r="J999" s="16"/>
      <c r="K999" s="15"/>
      <c r="L999" s="15"/>
      <c r="M999" s="36" t="str">
        <f t="array" ref="M999">IF($A999="","",IF($L999="Atendido",IFERROR($I999*INDEX(Config!$B:$B,MATCH($C999,Config!$A:$A,0)),0),0))</f>
        <v/>
      </c>
      <c r="N999" s="36" t="str">
        <f t="shared" si="2"/>
        <v/>
      </c>
      <c r="O999" s="36" t="str">
        <f t="shared" si="3"/>
        <v/>
      </c>
      <c r="P999" s="15"/>
      <c r="Q999" s="37" t="str">
        <f t="shared" si="4"/>
        <v/>
      </c>
      <c r="R999" s="37" t="str">
        <f t="shared" si="5"/>
        <v/>
      </c>
      <c r="S999" s="32" t="str">
        <f t="shared" si="6"/>
        <v/>
      </c>
      <c r="T999" s="37" t="str">
        <f t="shared" si="7"/>
        <v/>
      </c>
      <c r="U999" s="37" t="str">
        <f t="array" ref="U999">IF($F999="","",IFERROR(INDEX(Config!$F:$F,MATCH($F999,Config!$D:$D,0)),0))</f>
        <v/>
      </c>
    </row>
    <row r="1000" ht="15.0" customHeight="1">
      <c r="A1000" s="34"/>
      <c r="B1000" s="35"/>
      <c r="C1000" s="15"/>
      <c r="D1000" s="15"/>
      <c r="E1000" s="15"/>
      <c r="F1000" s="15"/>
      <c r="G1000" s="36" t="str">
        <f t="array" ref="G1000">IF($F1000="","",IFERROR(INDEX(Config!$E:$E,MATCH($F1000,Config!$D:$D,0)),0))</f>
        <v/>
      </c>
      <c r="H1000" s="16"/>
      <c r="I1000" s="36" t="str">
        <f t="shared" si="1"/>
        <v/>
      </c>
      <c r="J1000" s="16"/>
      <c r="K1000" s="15"/>
      <c r="L1000" s="15"/>
      <c r="M1000" s="36" t="str">
        <f t="array" ref="M1000">IF($A1000="","",IF($L1000="Atendido",IFERROR($I1000*INDEX(Config!$B:$B,MATCH($C1000,Config!$A:$A,0)),0),0))</f>
        <v/>
      </c>
      <c r="N1000" s="36" t="str">
        <f t="shared" si="2"/>
        <v/>
      </c>
      <c r="O1000" s="36" t="str">
        <f t="shared" si="3"/>
        <v/>
      </c>
      <c r="P1000" s="15"/>
      <c r="Q1000" s="37" t="str">
        <f t="shared" si="4"/>
        <v/>
      </c>
      <c r="R1000" s="37" t="str">
        <f t="shared" si="5"/>
        <v/>
      </c>
      <c r="S1000" s="32" t="str">
        <f t="shared" si="6"/>
        <v/>
      </c>
      <c r="T1000" s="37" t="str">
        <f t="shared" si="7"/>
        <v/>
      </c>
      <c r="U1000" s="37" t="str">
        <f t="array" ref="U1000">IF($F1000="","",IFERROR(INDEX(Config!$F:$F,MATCH($F1000,Config!$D:$D,0)),0))</f>
        <v/>
      </c>
    </row>
    <row r="1001" ht="15.0" customHeight="1">
      <c r="A1001" s="34"/>
      <c r="B1001" s="35"/>
      <c r="C1001" s="15"/>
      <c r="D1001" s="15"/>
      <c r="E1001" s="15"/>
      <c r="F1001" s="15"/>
      <c r="G1001" s="36" t="str">
        <f t="array" ref="G1001">IF($F1001="","",IFERROR(INDEX(Config!$E:$E,MATCH($F1001,Config!$D:$D,0)),0))</f>
        <v/>
      </c>
      <c r="H1001" s="16"/>
      <c r="I1001" s="36" t="str">
        <f t="shared" si="1"/>
        <v/>
      </c>
      <c r="J1001" s="16"/>
      <c r="K1001" s="15"/>
      <c r="L1001" s="15"/>
      <c r="M1001" s="36" t="str">
        <f t="array" ref="M1001">IF($A1001="","",IF($L1001="Atendido",IFERROR($I1001*INDEX(Config!$B:$B,MATCH($C1001,Config!$A:$A,0)),0),0))</f>
        <v/>
      </c>
      <c r="N1001" s="36" t="str">
        <f t="shared" si="2"/>
        <v/>
      </c>
      <c r="O1001" s="36" t="str">
        <f t="shared" si="3"/>
        <v/>
      </c>
      <c r="P1001" s="15"/>
      <c r="Q1001" s="37" t="str">
        <f t="shared" si="4"/>
        <v/>
      </c>
      <c r="R1001" s="37" t="str">
        <f t="shared" si="5"/>
        <v/>
      </c>
      <c r="S1001" s="32" t="str">
        <f t="shared" si="6"/>
        <v/>
      </c>
      <c r="T1001" s="37" t="str">
        <f t="shared" si="7"/>
        <v/>
      </c>
      <c r="U1001" s="37" t="str">
        <f t="array" ref="U1001">IF($F1001="","",IFERROR(INDEX(Config!$F:$F,MATCH($F1001,Config!$D:$D,0)),0))</f>
        <v/>
      </c>
    </row>
    <row r="1002" ht="15.0" customHeight="1">
      <c r="A1002" s="34"/>
      <c r="B1002" s="35"/>
      <c r="C1002" s="15"/>
      <c r="D1002" s="15"/>
      <c r="E1002" s="15"/>
      <c r="F1002" s="15"/>
      <c r="G1002" s="36" t="str">
        <f t="array" ref="G1002">IF($F1002="","",IFERROR(INDEX(Config!$E:$E,MATCH($F1002,Config!$D:$D,0)),0))</f>
        <v/>
      </c>
      <c r="H1002" s="16"/>
      <c r="I1002" s="36" t="str">
        <f t="shared" si="1"/>
        <v/>
      </c>
      <c r="J1002" s="16"/>
      <c r="K1002" s="15"/>
      <c r="L1002" s="15"/>
      <c r="M1002" s="36" t="str">
        <f t="array" ref="M1002">IF($A1002="","",IF($L1002="Atendido",IFERROR($I1002*INDEX(Config!$B:$B,MATCH($C1002,Config!$A:$A,0)),0),0))</f>
        <v/>
      </c>
      <c r="N1002" s="36" t="str">
        <f t="shared" si="2"/>
        <v/>
      </c>
      <c r="O1002" s="36" t="str">
        <f t="shared" si="3"/>
        <v/>
      </c>
      <c r="P1002" s="15"/>
      <c r="Q1002" s="37" t="str">
        <f t="shared" si="4"/>
        <v/>
      </c>
      <c r="R1002" s="37" t="str">
        <f t="shared" si="5"/>
        <v/>
      </c>
      <c r="S1002" s="32" t="str">
        <f t="shared" si="6"/>
        <v/>
      </c>
      <c r="T1002" s="37" t="str">
        <f t="shared" si="7"/>
        <v/>
      </c>
      <c r="U1002" s="37" t="str">
        <f t="array" ref="U1002">IF($F1002="","",IFERROR(INDEX(Config!$F:$F,MATCH($F1002,Config!$D:$D,0)),0))</f>
        <v/>
      </c>
    </row>
    <row r="1003" ht="15.0" customHeight="1">
      <c r="A1003" s="34"/>
      <c r="B1003" s="35"/>
      <c r="C1003" s="15"/>
      <c r="D1003" s="15"/>
      <c r="E1003" s="15"/>
      <c r="F1003" s="15"/>
      <c r="G1003" s="36" t="str">
        <f t="array" ref="G1003">IF($F1003="","",IFERROR(INDEX(Config!$E:$E,MATCH($F1003,Config!$D:$D,0)),0))</f>
        <v/>
      </c>
      <c r="H1003" s="16"/>
      <c r="I1003" s="36" t="str">
        <f t="shared" si="1"/>
        <v/>
      </c>
      <c r="J1003" s="16"/>
      <c r="K1003" s="15"/>
      <c r="L1003" s="15"/>
      <c r="M1003" s="36" t="str">
        <f t="array" ref="M1003">IF($A1003="","",IF($L1003="Atendido",IFERROR($I1003*INDEX(Config!$B:$B,MATCH($C1003,Config!$A:$A,0)),0),0))</f>
        <v/>
      </c>
      <c r="N1003" s="36" t="str">
        <f t="shared" si="2"/>
        <v/>
      </c>
      <c r="O1003" s="36" t="str">
        <f t="shared" si="3"/>
        <v/>
      </c>
      <c r="P1003" s="15"/>
      <c r="Q1003" s="37" t="str">
        <f t="shared" si="4"/>
        <v/>
      </c>
      <c r="R1003" s="37" t="str">
        <f t="shared" si="5"/>
        <v/>
      </c>
      <c r="S1003" s="32" t="str">
        <f t="shared" si="6"/>
        <v/>
      </c>
      <c r="T1003" s="37" t="str">
        <f t="shared" si="7"/>
        <v/>
      </c>
      <c r="U1003" s="37" t="str">
        <f t="array" ref="U1003">IF($F1003="","",IFERROR(INDEX(Config!$F:$F,MATCH($F1003,Config!$D:$D,0)),0))</f>
        <v/>
      </c>
    </row>
    <row r="1004" ht="15.0" customHeight="1">
      <c r="A1004" s="34"/>
      <c r="B1004" s="35"/>
      <c r="C1004" s="15"/>
      <c r="D1004" s="15"/>
      <c r="E1004" s="15"/>
      <c r="F1004" s="15"/>
      <c r="G1004" s="36" t="str">
        <f t="array" ref="G1004">IF($F1004="","",IFERROR(INDEX(Config!$E:$E,MATCH($F1004,Config!$D:$D,0)),0))</f>
        <v/>
      </c>
      <c r="H1004" s="16"/>
      <c r="I1004" s="36" t="str">
        <f t="shared" si="1"/>
        <v/>
      </c>
      <c r="J1004" s="16"/>
      <c r="K1004" s="15"/>
      <c r="L1004" s="15"/>
      <c r="M1004" s="36" t="str">
        <f t="array" ref="M1004">IF($A1004="","",IF($L1004="Atendido",IFERROR($I1004*INDEX(Config!$B:$B,MATCH($C1004,Config!$A:$A,0)),0),0))</f>
        <v/>
      </c>
      <c r="N1004" s="36" t="str">
        <f t="shared" si="2"/>
        <v/>
      </c>
      <c r="O1004" s="36" t="str">
        <f t="shared" si="3"/>
        <v/>
      </c>
      <c r="P1004" s="15"/>
      <c r="Q1004" s="37" t="str">
        <f t="shared" si="4"/>
        <v/>
      </c>
      <c r="R1004" s="37" t="str">
        <f t="shared" si="5"/>
        <v/>
      </c>
      <c r="S1004" s="32" t="str">
        <f t="shared" si="6"/>
        <v/>
      </c>
      <c r="T1004" s="37" t="str">
        <f t="shared" si="7"/>
        <v/>
      </c>
      <c r="U1004" s="37" t="str">
        <f t="array" ref="U1004">IF($F1004="","",IFERROR(INDEX(Config!$F:$F,MATCH($F1004,Config!$D:$D,0)),0))</f>
        <v/>
      </c>
    </row>
    <row r="1005" ht="15.0" customHeight="1">
      <c r="A1005" s="34"/>
      <c r="B1005" s="35"/>
      <c r="C1005" s="15"/>
      <c r="D1005" s="15"/>
      <c r="E1005" s="15"/>
      <c r="F1005" s="15"/>
      <c r="G1005" s="36" t="str">
        <f t="array" ref="G1005">IF($F1005="","",IFERROR(INDEX(Config!$E:$E,MATCH($F1005,Config!$D:$D,0)),0))</f>
        <v/>
      </c>
      <c r="H1005" s="16"/>
      <c r="I1005" s="36" t="str">
        <f t="shared" si="1"/>
        <v/>
      </c>
      <c r="J1005" s="16"/>
      <c r="K1005" s="15"/>
      <c r="L1005" s="15"/>
      <c r="M1005" s="36" t="str">
        <f t="array" ref="M1005">IF($A1005="","",IF($L1005="Atendido",IFERROR($I1005*INDEX(Config!$B:$B,MATCH($C1005,Config!$A:$A,0)),0),0))</f>
        <v/>
      </c>
      <c r="N1005" s="36" t="str">
        <f t="shared" si="2"/>
        <v/>
      </c>
      <c r="O1005" s="36" t="str">
        <f t="shared" si="3"/>
        <v/>
      </c>
      <c r="P1005" s="15"/>
      <c r="Q1005" s="37" t="str">
        <f t="shared" si="4"/>
        <v/>
      </c>
      <c r="R1005" s="37" t="str">
        <f t="shared" si="5"/>
        <v/>
      </c>
      <c r="S1005" s="32" t="str">
        <f t="shared" si="6"/>
        <v/>
      </c>
      <c r="T1005" s="37" t="str">
        <f t="shared" si="7"/>
        <v/>
      </c>
      <c r="U1005" s="37" t="str">
        <f t="array" ref="U1005">IF($F1005="","",IFERROR(INDEX(Config!$F:$F,MATCH($F1005,Config!$D:$D,0)),0))</f>
        <v/>
      </c>
    </row>
    <row r="1006" ht="15.0" customHeight="1">
      <c r="A1006" s="34"/>
      <c r="B1006" s="35"/>
      <c r="C1006" s="15"/>
      <c r="D1006" s="15"/>
      <c r="E1006" s="15"/>
      <c r="F1006" s="15"/>
      <c r="G1006" s="36" t="str">
        <f t="array" ref="G1006">IF($F1006="","",IFERROR(INDEX(Config!$E:$E,MATCH($F1006,Config!$D:$D,0)),0))</f>
        <v/>
      </c>
      <c r="H1006" s="16"/>
      <c r="I1006" s="36" t="str">
        <f t="shared" si="1"/>
        <v/>
      </c>
      <c r="J1006" s="16"/>
      <c r="K1006" s="15"/>
      <c r="L1006" s="15"/>
      <c r="M1006" s="36" t="str">
        <f t="array" ref="M1006">IF($A1006="","",IF($L1006="Atendido",IFERROR($I1006*INDEX(Config!$B:$B,MATCH($C1006,Config!$A:$A,0)),0),0))</f>
        <v/>
      </c>
      <c r="N1006" s="36" t="str">
        <f t="shared" si="2"/>
        <v/>
      </c>
      <c r="O1006" s="36" t="str">
        <f t="shared" si="3"/>
        <v/>
      </c>
      <c r="P1006" s="15"/>
      <c r="Q1006" s="37" t="str">
        <f t="shared" si="4"/>
        <v/>
      </c>
      <c r="R1006" s="37" t="str">
        <f t="shared" si="5"/>
        <v/>
      </c>
      <c r="S1006" s="32" t="str">
        <f t="shared" si="6"/>
        <v/>
      </c>
      <c r="T1006" s="37" t="str">
        <f t="shared" si="7"/>
        <v/>
      </c>
      <c r="U1006" s="37" t="str">
        <f t="array" ref="U1006">IF($F1006="","",IFERROR(INDEX(Config!$F:$F,MATCH($F1006,Config!$D:$D,0)),0))</f>
        <v/>
      </c>
    </row>
    <row r="1007" ht="15.0" customHeight="1">
      <c r="A1007" s="34"/>
      <c r="B1007" s="35"/>
      <c r="C1007" s="15"/>
      <c r="D1007" s="15"/>
      <c r="E1007" s="15"/>
      <c r="F1007" s="15"/>
      <c r="G1007" s="36" t="str">
        <f t="array" ref="G1007">IF($F1007="","",IFERROR(INDEX(Config!$E:$E,MATCH($F1007,Config!$D:$D,0)),0))</f>
        <v/>
      </c>
      <c r="H1007" s="16"/>
      <c r="I1007" s="36" t="str">
        <f t="shared" si="1"/>
        <v/>
      </c>
      <c r="J1007" s="16"/>
      <c r="K1007" s="15"/>
      <c r="L1007" s="15"/>
      <c r="M1007" s="36" t="str">
        <f t="array" ref="M1007">IF($A1007="","",IF($L1007="Atendido",IFERROR($I1007*INDEX(Config!$B:$B,MATCH($C1007,Config!$A:$A,0)),0),0))</f>
        <v/>
      </c>
      <c r="N1007" s="36" t="str">
        <f t="shared" si="2"/>
        <v/>
      </c>
      <c r="O1007" s="36" t="str">
        <f t="shared" si="3"/>
        <v/>
      </c>
      <c r="P1007" s="15"/>
      <c r="Q1007" s="37" t="str">
        <f t="shared" si="4"/>
        <v/>
      </c>
      <c r="R1007" s="37" t="str">
        <f t="shared" si="5"/>
        <v/>
      </c>
      <c r="S1007" s="32" t="str">
        <f t="shared" si="6"/>
        <v/>
      </c>
      <c r="T1007" s="37" t="str">
        <f t="shared" si="7"/>
        <v/>
      </c>
      <c r="U1007" s="37" t="str">
        <f t="array" ref="U1007">IF($F1007="","",IFERROR(INDEX(Config!$F:$F,MATCH($F1007,Config!$D:$D,0)),0))</f>
        <v/>
      </c>
    </row>
    <row r="1008" ht="15.0" customHeight="1">
      <c r="A1008" s="34"/>
      <c r="B1008" s="35"/>
      <c r="C1008" s="15"/>
      <c r="D1008" s="15"/>
      <c r="E1008" s="15"/>
      <c r="F1008" s="15"/>
      <c r="G1008" s="36" t="str">
        <f t="array" ref="G1008">IF($F1008="","",IFERROR(INDEX(Config!$E:$E,MATCH($F1008,Config!$D:$D,0)),0))</f>
        <v/>
      </c>
      <c r="H1008" s="16"/>
      <c r="I1008" s="36" t="str">
        <f t="shared" si="1"/>
        <v/>
      </c>
      <c r="J1008" s="16"/>
      <c r="K1008" s="15"/>
      <c r="L1008" s="15"/>
      <c r="M1008" s="36" t="str">
        <f t="array" ref="M1008">IF($A1008="","",IF($L1008="Atendido",IFERROR($I1008*INDEX(Config!$B:$B,MATCH($C1008,Config!$A:$A,0)),0),0))</f>
        <v/>
      </c>
      <c r="N1008" s="36" t="str">
        <f t="shared" si="2"/>
        <v/>
      </c>
      <c r="O1008" s="36" t="str">
        <f t="shared" si="3"/>
        <v/>
      </c>
      <c r="P1008" s="15"/>
      <c r="Q1008" s="37" t="str">
        <f t="shared" si="4"/>
        <v/>
      </c>
      <c r="R1008" s="37" t="str">
        <f t="shared" si="5"/>
        <v/>
      </c>
      <c r="S1008" s="32" t="str">
        <f t="shared" si="6"/>
        <v/>
      </c>
      <c r="T1008" s="37" t="str">
        <f t="shared" si="7"/>
        <v/>
      </c>
      <c r="U1008" s="37" t="str">
        <f t="array" ref="U1008">IF($F1008="","",IFERROR(INDEX(Config!$F:$F,MATCH($F1008,Config!$D:$D,0)),0))</f>
        <v/>
      </c>
    </row>
    <row r="1009" ht="15.0" customHeight="1">
      <c r="A1009" s="34"/>
      <c r="B1009" s="35"/>
      <c r="C1009" s="15"/>
      <c r="D1009" s="15"/>
      <c r="E1009" s="15"/>
      <c r="F1009" s="15"/>
      <c r="G1009" s="36" t="str">
        <f t="array" ref="G1009">IF($F1009="","",IFERROR(INDEX(Config!$E:$E,MATCH($F1009,Config!$D:$D,0)),0))</f>
        <v/>
      </c>
      <c r="H1009" s="16"/>
      <c r="I1009" s="36" t="str">
        <f t="shared" si="1"/>
        <v/>
      </c>
      <c r="J1009" s="16"/>
      <c r="K1009" s="15"/>
      <c r="L1009" s="15"/>
      <c r="M1009" s="36" t="str">
        <f t="array" ref="M1009">IF($A1009="","",IF($L1009="Atendido",IFERROR($I1009*INDEX(Config!$B:$B,MATCH($C1009,Config!$A:$A,0)),0),0))</f>
        <v/>
      </c>
      <c r="N1009" s="36" t="str">
        <f t="shared" si="2"/>
        <v/>
      </c>
      <c r="O1009" s="36" t="str">
        <f t="shared" si="3"/>
        <v/>
      </c>
      <c r="P1009" s="15"/>
      <c r="Q1009" s="37" t="str">
        <f t="shared" si="4"/>
        <v/>
      </c>
      <c r="R1009" s="37" t="str">
        <f t="shared" si="5"/>
        <v/>
      </c>
      <c r="S1009" s="32" t="str">
        <f t="shared" si="6"/>
        <v/>
      </c>
      <c r="T1009" s="37" t="str">
        <f t="shared" si="7"/>
        <v/>
      </c>
      <c r="U1009" s="37" t="str">
        <f t="array" ref="U1009">IF($F1009="","",IFERROR(INDEX(Config!$F:$F,MATCH($F1009,Config!$D:$D,0)),0))</f>
        <v/>
      </c>
    </row>
    <row r="1010" ht="15.0" customHeight="1">
      <c r="A1010" s="34"/>
      <c r="B1010" s="35"/>
      <c r="C1010" s="15"/>
      <c r="D1010" s="15"/>
      <c r="E1010" s="15"/>
      <c r="F1010" s="15"/>
      <c r="G1010" s="36" t="str">
        <f t="array" ref="G1010">IF($F1010="","",IFERROR(INDEX(Config!$E:$E,MATCH($F1010,Config!$D:$D,0)),0))</f>
        <v/>
      </c>
      <c r="H1010" s="16"/>
      <c r="I1010" s="36" t="str">
        <f t="shared" si="1"/>
        <v/>
      </c>
      <c r="J1010" s="16"/>
      <c r="K1010" s="15"/>
      <c r="L1010" s="15"/>
      <c r="M1010" s="36" t="str">
        <f t="array" ref="M1010">IF($A1010="","",IF($L1010="Atendido",IFERROR($I1010*INDEX(Config!$B:$B,MATCH($C1010,Config!$A:$A,0)),0),0))</f>
        <v/>
      </c>
      <c r="N1010" s="36" t="str">
        <f t="shared" si="2"/>
        <v/>
      </c>
      <c r="O1010" s="36" t="str">
        <f t="shared" si="3"/>
        <v/>
      </c>
      <c r="P1010" s="15"/>
      <c r="Q1010" s="37" t="str">
        <f t="shared" si="4"/>
        <v/>
      </c>
      <c r="R1010" s="37" t="str">
        <f t="shared" si="5"/>
        <v/>
      </c>
      <c r="S1010" s="32" t="str">
        <f t="shared" si="6"/>
        <v/>
      </c>
      <c r="T1010" s="37" t="str">
        <f t="shared" si="7"/>
        <v/>
      </c>
      <c r="U1010" s="37" t="str">
        <f t="array" ref="U1010">IF($F1010="","",IFERROR(INDEX(Config!$F:$F,MATCH($F1010,Config!$D:$D,0)),0))</f>
        <v/>
      </c>
    </row>
    <row r="1011" ht="15.0" customHeight="1">
      <c r="A1011" s="34"/>
      <c r="B1011" s="35"/>
      <c r="C1011" s="15"/>
      <c r="D1011" s="15"/>
      <c r="E1011" s="15"/>
      <c r="F1011" s="15"/>
      <c r="G1011" s="36" t="str">
        <f t="array" ref="G1011">IF($F1011="","",IFERROR(INDEX(Config!$E:$E,MATCH($F1011,Config!$D:$D,0)),0))</f>
        <v/>
      </c>
      <c r="H1011" s="16"/>
      <c r="I1011" s="36" t="str">
        <f t="shared" si="1"/>
        <v/>
      </c>
      <c r="J1011" s="16"/>
      <c r="K1011" s="15"/>
      <c r="L1011" s="15"/>
      <c r="M1011" s="36" t="str">
        <f t="array" ref="M1011">IF($A1011="","",IF($L1011="Atendido",IFERROR($I1011*INDEX(Config!$B:$B,MATCH($C1011,Config!$A:$A,0)),0),0))</f>
        <v/>
      </c>
      <c r="N1011" s="36" t="str">
        <f t="shared" si="2"/>
        <v/>
      </c>
      <c r="O1011" s="36" t="str">
        <f t="shared" si="3"/>
        <v/>
      </c>
      <c r="P1011" s="15"/>
      <c r="Q1011" s="37" t="str">
        <f t="shared" si="4"/>
        <v/>
      </c>
      <c r="R1011" s="37" t="str">
        <f t="shared" si="5"/>
        <v/>
      </c>
      <c r="S1011" s="32" t="str">
        <f t="shared" si="6"/>
        <v/>
      </c>
      <c r="T1011" s="37" t="str">
        <f t="shared" si="7"/>
        <v/>
      </c>
      <c r="U1011" s="37" t="str">
        <f t="array" ref="U1011">IF($F1011="","",IFERROR(INDEX(Config!$F:$F,MATCH($F1011,Config!$D:$D,0)),0))</f>
        <v/>
      </c>
    </row>
    <row r="1012" ht="15.0" customHeight="1">
      <c r="A1012" s="34"/>
      <c r="B1012" s="35"/>
      <c r="C1012" s="15"/>
      <c r="D1012" s="15"/>
      <c r="E1012" s="15"/>
      <c r="F1012" s="15"/>
      <c r="G1012" s="36" t="str">
        <f t="array" ref="G1012">IF($F1012="","",IFERROR(INDEX(Config!$E:$E,MATCH($F1012,Config!$D:$D,0)),0))</f>
        <v/>
      </c>
      <c r="H1012" s="16"/>
      <c r="I1012" s="36" t="str">
        <f t="shared" si="1"/>
        <v/>
      </c>
      <c r="J1012" s="16"/>
      <c r="K1012" s="15"/>
      <c r="L1012" s="15"/>
      <c r="M1012" s="36" t="str">
        <f t="array" ref="M1012">IF($A1012="","",IF($L1012="Atendido",IFERROR($I1012*INDEX(Config!$B:$B,MATCH($C1012,Config!$A:$A,0)),0),0))</f>
        <v/>
      </c>
      <c r="N1012" s="36" t="str">
        <f t="shared" si="2"/>
        <v/>
      </c>
      <c r="O1012" s="36" t="str">
        <f t="shared" si="3"/>
        <v/>
      </c>
      <c r="P1012" s="15"/>
      <c r="Q1012" s="37" t="str">
        <f t="shared" si="4"/>
        <v/>
      </c>
      <c r="R1012" s="37" t="str">
        <f t="shared" si="5"/>
        <v/>
      </c>
      <c r="S1012" s="32" t="str">
        <f t="shared" si="6"/>
        <v/>
      </c>
      <c r="T1012" s="37" t="str">
        <f t="shared" si="7"/>
        <v/>
      </c>
      <c r="U1012" s="37" t="str">
        <f t="array" ref="U1012">IF($F1012="","",IFERROR(INDEX(Config!$F:$F,MATCH($F1012,Config!$D:$D,0)),0))</f>
        <v/>
      </c>
    </row>
    <row r="1013" ht="15.0" customHeight="1">
      <c r="A1013" s="34"/>
      <c r="B1013" s="35"/>
      <c r="C1013" s="15"/>
      <c r="D1013" s="15"/>
      <c r="E1013" s="15"/>
      <c r="F1013" s="15"/>
      <c r="G1013" s="36" t="str">
        <f t="array" ref="G1013">IF($F1013="","",IFERROR(INDEX(Config!$E:$E,MATCH($F1013,Config!$D:$D,0)),0))</f>
        <v/>
      </c>
      <c r="H1013" s="16"/>
      <c r="I1013" s="36" t="str">
        <f t="shared" si="1"/>
        <v/>
      </c>
      <c r="J1013" s="16"/>
      <c r="K1013" s="15"/>
      <c r="L1013" s="15"/>
      <c r="M1013" s="36" t="str">
        <f t="array" ref="M1013">IF($A1013="","",IF($L1013="Atendido",IFERROR($I1013*INDEX(Config!$B:$B,MATCH($C1013,Config!$A:$A,0)),0),0))</f>
        <v/>
      </c>
      <c r="N1013" s="36" t="str">
        <f t="shared" si="2"/>
        <v/>
      </c>
      <c r="O1013" s="36" t="str">
        <f t="shared" si="3"/>
        <v/>
      </c>
      <c r="P1013" s="15"/>
      <c r="Q1013" s="37" t="str">
        <f t="shared" si="4"/>
        <v/>
      </c>
      <c r="R1013" s="37" t="str">
        <f t="shared" si="5"/>
        <v/>
      </c>
      <c r="S1013" s="32" t="str">
        <f t="shared" si="6"/>
        <v/>
      </c>
      <c r="T1013" s="37" t="str">
        <f t="shared" si="7"/>
        <v/>
      </c>
      <c r="U1013" s="37" t="str">
        <f t="array" ref="U1013">IF($F1013="","",IFERROR(INDEX(Config!$F:$F,MATCH($F1013,Config!$D:$D,0)),0))</f>
        <v/>
      </c>
    </row>
    <row r="1014" ht="15.0" customHeight="1">
      <c r="A1014" s="34"/>
      <c r="B1014" s="35"/>
      <c r="C1014" s="15"/>
      <c r="D1014" s="15"/>
      <c r="E1014" s="15"/>
      <c r="F1014" s="15"/>
      <c r="G1014" s="36" t="str">
        <f t="array" ref="G1014">IF($F1014="","",IFERROR(INDEX(Config!$E:$E,MATCH($F1014,Config!$D:$D,0)),0))</f>
        <v/>
      </c>
      <c r="H1014" s="16"/>
      <c r="I1014" s="36" t="str">
        <f t="shared" si="1"/>
        <v/>
      </c>
      <c r="J1014" s="16"/>
      <c r="K1014" s="15"/>
      <c r="L1014" s="15"/>
      <c r="M1014" s="36" t="str">
        <f t="array" ref="M1014">IF($A1014="","",IF($L1014="Atendido",IFERROR($I1014*INDEX(Config!$B:$B,MATCH($C1014,Config!$A:$A,0)),0),0))</f>
        <v/>
      </c>
      <c r="N1014" s="36" t="str">
        <f t="shared" si="2"/>
        <v/>
      </c>
      <c r="O1014" s="36" t="str">
        <f t="shared" si="3"/>
        <v/>
      </c>
      <c r="P1014" s="15"/>
      <c r="Q1014" s="37" t="str">
        <f t="shared" si="4"/>
        <v/>
      </c>
      <c r="R1014" s="37" t="str">
        <f t="shared" si="5"/>
        <v/>
      </c>
      <c r="S1014" s="32" t="str">
        <f t="shared" si="6"/>
        <v/>
      </c>
      <c r="T1014" s="37" t="str">
        <f t="shared" si="7"/>
        <v/>
      </c>
      <c r="U1014" s="37" t="str">
        <f t="array" ref="U1014">IF($F1014="","",IFERROR(INDEX(Config!$F:$F,MATCH($F1014,Config!$D:$D,0)),0))</f>
        <v/>
      </c>
    </row>
    <row r="1015" ht="15.0" customHeight="1">
      <c r="A1015" s="34"/>
      <c r="B1015" s="35"/>
      <c r="C1015" s="15"/>
      <c r="D1015" s="15"/>
      <c r="E1015" s="15"/>
      <c r="F1015" s="15"/>
      <c r="G1015" s="36" t="str">
        <f t="array" ref="G1015">IF($F1015="","",IFERROR(INDEX(Config!$E:$E,MATCH($F1015,Config!$D:$D,0)),0))</f>
        <v/>
      </c>
      <c r="H1015" s="16"/>
      <c r="I1015" s="36" t="str">
        <f t="shared" si="1"/>
        <v/>
      </c>
      <c r="J1015" s="16"/>
      <c r="K1015" s="15"/>
      <c r="L1015" s="15"/>
      <c r="M1015" s="36" t="str">
        <f t="array" ref="M1015">IF($A1015="","",IF($L1015="Atendido",IFERROR($I1015*INDEX(Config!$B:$B,MATCH($C1015,Config!$A:$A,0)),0),0))</f>
        <v/>
      </c>
      <c r="N1015" s="36" t="str">
        <f t="shared" si="2"/>
        <v/>
      </c>
      <c r="O1015" s="36" t="str">
        <f t="shared" si="3"/>
        <v/>
      </c>
      <c r="P1015" s="15"/>
      <c r="Q1015" s="37" t="str">
        <f t="shared" si="4"/>
        <v/>
      </c>
      <c r="R1015" s="37" t="str">
        <f t="shared" si="5"/>
        <v/>
      </c>
      <c r="S1015" s="32" t="str">
        <f t="shared" si="6"/>
        <v/>
      </c>
      <c r="T1015" s="37" t="str">
        <f t="shared" si="7"/>
        <v/>
      </c>
      <c r="U1015" s="37" t="str">
        <f t="array" ref="U1015">IF($F1015="","",IFERROR(INDEX(Config!$F:$F,MATCH($F1015,Config!$D:$D,0)),0))</f>
        <v/>
      </c>
    </row>
    <row r="1016" ht="15.0" customHeight="1">
      <c r="A1016" s="34"/>
      <c r="B1016" s="35"/>
      <c r="C1016" s="15"/>
      <c r="D1016" s="15"/>
      <c r="E1016" s="15"/>
      <c r="F1016" s="15"/>
      <c r="G1016" s="36" t="str">
        <f t="array" ref="G1016">IF($F1016="","",IFERROR(INDEX(Config!$E:$E,MATCH($F1016,Config!$D:$D,0)),0))</f>
        <v/>
      </c>
      <c r="H1016" s="16"/>
      <c r="I1016" s="36" t="str">
        <f t="shared" si="1"/>
        <v/>
      </c>
      <c r="J1016" s="16"/>
      <c r="K1016" s="15"/>
      <c r="L1016" s="15"/>
      <c r="M1016" s="36" t="str">
        <f t="array" ref="M1016">IF($A1016="","",IF($L1016="Atendido",IFERROR($I1016*INDEX(Config!$B:$B,MATCH($C1016,Config!$A:$A,0)),0),0))</f>
        <v/>
      </c>
      <c r="N1016" s="36" t="str">
        <f t="shared" si="2"/>
        <v/>
      </c>
      <c r="O1016" s="36" t="str">
        <f t="shared" si="3"/>
        <v/>
      </c>
      <c r="P1016" s="15"/>
      <c r="Q1016" s="37" t="str">
        <f t="shared" si="4"/>
        <v/>
      </c>
      <c r="R1016" s="37" t="str">
        <f t="shared" si="5"/>
        <v/>
      </c>
      <c r="S1016" s="32" t="str">
        <f t="shared" si="6"/>
        <v/>
      </c>
      <c r="T1016" s="37" t="str">
        <f t="shared" si="7"/>
        <v/>
      </c>
      <c r="U1016" s="37" t="str">
        <f t="array" ref="U1016">IF($F1016="","",IFERROR(INDEX(Config!$F:$F,MATCH($F1016,Config!$D:$D,0)),0))</f>
        <v/>
      </c>
    </row>
    <row r="1017" ht="15.0" customHeight="1">
      <c r="A1017" s="34"/>
      <c r="B1017" s="35"/>
      <c r="C1017" s="15"/>
      <c r="D1017" s="15"/>
      <c r="E1017" s="15"/>
      <c r="F1017" s="15"/>
      <c r="G1017" s="36" t="str">
        <f t="array" ref="G1017">IF($F1017="","",IFERROR(INDEX(Config!$E:$E,MATCH($F1017,Config!$D:$D,0)),0))</f>
        <v/>
      </c>
      <c r="H1017" s="16"/>
      <c r="I1017" s="36" t="str">
        <f t="shared" si="1"/>
        <v/>
      </c>
      <c r="J1017" s="16"/>
      <c r="K1017" s="15"/>
      <c r="L1017" s="15"/>
      <c r="M1017" s="36" t="str">
        <f t="array" ref="M1017">IF($A1017="","",IF($L1017="Atendido",IFERROR($I1017*INDEX(Config!$B:$B,MATCH($C1017,Config!$A:$A,0)),0),0))</f>
        <v/>
      </c>
      <c r="N1017" s="36" t="str">
        <f t="shared" si="2"/>
        <v/>
      </c>
      <c r="O1017" s="36" t="str">
        <f t="shared" si="3"/>
        <v/>
      </c>
      <c r="P1017" s="15"/>
      <c r="Q1017" s="37" t="str">
        <f t="shared" si="4"/>
        <v/>
      </c>
      <c r="R1017" s="37" t="str">
        <f t="shared" si="5"/>
        <v/>
      </c>
      <c r="S1017" s="32" t="str">
        <f t="shared" si="6"/>
        <v/>
      </c>
      <c r="T1017" s="37" t="str">
        <f t="shared" si="7"/>
        <v/>
      </c>
      <c r="U1017" s="37" t="str">
        <f t="array" ref="U1017">IF($F1017="","",IFERROR(INDEX(Config!$F:$F,MATCH($F1017,Config!$D:$D,0)),0))</f>
        <v/>
      </c>
    </row>
    <row r="1018" ht="15.0" customHeight="1">
      <c r="A1018" s="34"/>
      <c r="B1018" s="35"/>
      <c r="C1018" s="15"/>
      <c r="D1018" s="15"/>
      <c r="E1018" s="15"/>
      <c r="F1018" s="15"/>
      <c r="G1018" s="36" t="str">
        <f t="array" ref="G1018">IF($F1018="","",IFERROR(INDEX(Config!$E:$E,MATCH($F1018,Config!$D:$D,0)),0))</f>
        <v/>
      </c>
      <c r="H1018" s="16"/>
      <c r="I1018" s="36" t="str">
        <f t="shared" si="1"/>
        <v/>
      </c>
      <c r="J1018" s="16"/>
      <c r="K1018" s="15"/>
      <c r="L1018" s="15"/>
      <c r="M1018" s="36" t="str">
        <f t="array" ref="M1018">IF($A1018="","",IF($L1018="Atendido",IFERROR($I1018*INDEX(Config!$B:$B,MATCH($C1018,Config!$A:$A,0)),0),0))</f>
        <v/>
      </c>
      <c r="N1018" s="36" t="str">
        <f t="shared" si="2"/>
        <v/>
      </c>
      <c r="O1018" s="36" t="str">
        <f t="shared" si="3"/>
        <v/>
      </c>
      <c r="P1018" s="15"/>
      <c r="Q1018" s="37" t="str">
        <f t="shared" si="4"/>
        <v/>
      </c>
      <c r="R1018" s="37" t="str">
        <f t="shared" si="5"/>
        <v/>
      </c>
      <c r="S1018" s="32" t="str">
        <f t="shared" si="6"/>
        <v/>
      </c>
      <c r="T1018" s="37" t="str">
        <f t="shared" si="7"/>
        <v/>
      </c>
      <c r="U1018" s="37" t="str">
        <f t="array" ref="U1018">IF($F1018="","",IFERROR(INDEX(Config!$F:$F,MATCH($F1018,Config!$D:$D,0)),0))</f>
        <v/>
      </c>
    </row>
    <row r="1019" ht="15.0" customHeight="1">
      <c r="A1019" s="34"/>
      <c r="B1019" s="35"/>
      <c r="C1019" s="15"/>
      <c r="D1019" s="15"/>
      <c r="E1019" s="15"/>
      <c r="F1019" s="15"/>
      <c r="G1019" s="36" t="str">
        <f t="array" ref="G1019">IF($F1019="","",IFERROR(INDEX(Config!$E:$E,MATCH($F1019,Config!$D:$D,0)),0))</f>
        <v/>
      </c>
      <c r="H1019" s="16"/>
      <c r="I1019" s="36" t="str">
        <f t="shared" si="1"/>
        <v/>
      </c>
      <c r="J1019" s="16"/>
      <c r="K1019" s="15"/>
      <c r="L1019" s="15"/>
      <c r="M1019" s="36" t="str">
        <f t="array" ref="M1019">IF($A1019="","",IF($L1019="Atendido",IFERROR($I1019*INDEX(Config!$B:$B,MATCH($C1019,Config!$A:$A,0)),0),0))</f>
        <v/>
      </c>
      <c r="N1019" s="36" t="str">
        <f t="shared" si="2"/>
        <v/>
      </c>
      <c r="O1019" s="36" t="str">
        <f t="shared" si="3"/>
        <v/>
      </c>
      <c r="P1019" s="15"/>
      <c r="Q1019" s="37" t="str">
        <f t="shared" si="4"/>
        <v/>
      </c>
      <c r="R1019" s="37" t="str">
        <f t="shared" si="5"/>
        <v/>
      </c>
      <c r="S1019" s="32" t="str">
        <f t="shared" si="6"/>
        <v/>
      </c>
      <c r="T1019" s="37" t="str">
        <f t="shared" si="7"/>
        <v/>
      </c>
      <c r="U1019" s="37" t="str">
        <f t="array" ref="U1019">IF($F1019="","",IFERROR(INDEX(Config!$F:$F,MATCH($F1019,Config!$D:$D,0)),0))</f>
        <v/>
      </c>
    </row>
    <row r="1020" ht="15.0" customHeight="1">
      <c r="A1020" s="34"/>
      <c r="B1020" s="35"/>
      <c r="C1020" s="15"/>
      <c r="D1020" s="15"/>
      <c r="E1020" s="15"/>
      <c r="F1020" s="15"/>
      <c r="G1020" s="36" t="str">
        <f t="array" ref="G1020">IF($F1020="","",IFERROR(INDEX(Config!$E:$E,MATCH($F1020,Config!$D:$D,0)),0))</f>
        <v/>
      </c>
      <c r="H1020" s="16"/>
      <c r="I1020" s="36" t="str">
        <f t="shared" si="1"/>
        <v/>
      </c>
      <c r="J1020" s="16"/>
      <c r="K1020" s="15"/>
      <c r="L1020" s="15"/>
      <c r="M1020" s="36" t="str">
        <f t="array" ref="M1020">IF($A1020="","",IF($L1020="Atendido",IFERROR($I1020*INDEX(Config!$B:$B,MATCH($C1020,Config!$A:$A,0)),0),0))</f>
        <v/>
      </c>
      <c r="N1020" s="36" t="str">
        <f t="shared" si="2"/>
        <v/>
      </c>
      <c r="O1020" s="36" t="str">
        <f t="shared" si="3"/>
        <v/>
      </c>
      <c r="P1020" s="15"/>
      <c r="Q1020" s="37" t="str">
        <f t="shared" si="4"/>
        <v/>
      </c>
      <c r="R1020" s="37" t="str">
        <f t="shared" si="5"/>
        <v/>
      </c>
      <c r="S1020" s="32" t="str">
        <f t="shared" si="6"/>
        <v/>
      </c>
      <c r="T1020" s="37" t="str">
        <f t="shared" si="7"/>
        <v/>
      </c>
      <c r="U1020" s="37" t="str">
        <f t="array" ref="U1020">IF($F1020="","",IFERROR(INDEX(Config!$F:$F,MATCH($F1020,Config!$D:$D,0)),0))</f>
        <v/>
      </c>
    </row>
    <row r="1021" ht="15.0" customHeight="1">
      <c r="A1021" s="34"/>
      <c r="B1021" s="35"/>
      <c r="C1021" s="15"/>
      <c r="D1021" s="15"/>
      <c r="E1021" s="15"/>
      <c r="F1021" s="15"/>
      <c r="G1021" s="36" t="str">
        <f t="array" ref="G1021">IF($F1021="","",IFERROR(INDEX(Config!$E:$E,MATCH($F1021,Config!$D:$D,0)),0))</f>
        <v/>
      </c>
      <c r="H1021" s="16"/>
      <c r="I1021" s="36" t="str">
        <f t="shared" si="1"/>
        <v/>
      </c>
      <c r="J1021" s="16"/>
      <c r="K1021" s="15"/>
      <c r="L1021" s="15"/>
      <c r="M1021" s="36" t="str">
        <f t="array" ref="M1021">IF($A1021="","",IF($L1021="Atendido",IFERROR($I1021*INDEX(Config!$B:$B,MATCH($C1021,Config!$A:$A,0)),0),0))</f>
        <v/>
      </c>
      <c r="N1021" s="36" t="str">
        <f t="shared" si="2"/>
        <v/>
      </c>
      <c r="O1021" s="36" t="str">
        <f t="shared" si="3"/>
        <v/>
      </c>
      <c r="P1021" s="15"/>
      <c r="Q1021" s="37" t="str">
        <f t="shared" si="4"/>
        <v/>
      </c>
      <c r="R1021" s="37" t="str">
        <f t="shared" si="5"/>
        <v/>
      </c>
      <c r="S1021" s="32" t="str">
        <f t="shared" si="6"/>
        <v/>
      </c>
      <c r="T1021" s="37" t="str">
        <f t="shared" si="7"/>
        <v/>
      </c>
      <c r="U1021" s="37" t="str">
        <f t="array" ref="U1021">IF($F1021="","",IFERROR(INDEX(Config!$F:$F,MATCH($F1021,Config!$D:$D,0)),0))</f>
        <v/>
      </c>
    </row>
    <row r="1022" ht="15.0" customHeight="1">
      <c r="A1022" s="34"/>
      <c r="B1022" s="35"/>
      <c r="C1022" s="15"/>
      <c r="D1022" s="15"/>
      <c r="E1022" s="15"/>
      <c r="F1022" s="15"/>
      <c r="G1022" s="36" t="str">
        <f t="array" ref="G1022">IF($F1022="","",IFERROR(INDEX(Config!$E:$E,MATCH($F1022,Config!$D:$D,0)),0))</f>
        <v/>
      </c>
      <c r="H1022" s="16"/>
      <c r="I1022" s="36" t="str">
        <f t="shared" si="1"/>
        <v/>
      </c>
      <c r="J1022" s="16"/>
      <c r="K1022" s="15"/>
      <c r="L1022" s="15"/>
      <c r="M1022" s="36" t="str">
        <f t="array" ref="M1022">IF($A1022="","",IF($L1022="Atendido",IFERROR($I1022*INDEX(Config!$B:$B,MATCH($C1022,Config!$A:$A,0)),0),0))</f>
        <v/>
      </c>
      <c r="N1022" s="36" t="str">
        <f t="shared" si="2"/>
        <v/>
      </c>
      <c r="O1022" s="36" t="str">
        <f t="shared" si="3"/>
        <v/>
      </c>
      <c r="P1022" s="15"/>
      <c r="Q1022" s="37" t="str">
        <f t="shared" si="4"/>
        <v/>
      </c>
      <c r="R1022" s="37" t="str">
        <f t="shared" si="5"/>
        <v/>
      </c>
      <c r="S1022" s="32" t="str">
        <f t="shared" si="6"/>
        <v/>
      </c>
      <c r="T1022" s="37" t="str">
        <f t="shared" si="7"/>
        <v/>
      </c>
      <c r="U1022" s="37" t="str">
        <f t="array" ref="U1022">IF($F1022="","",IFERROR(INDEX(Config!$F:$F,MATCH($F1022,Config!$D:$D,0)),0))</f>
        <v/>
      </c>
    </row>
    <row r="1023" ht="15.0" customHeight="1">
      <c r="A1023" s="34"/>
      <c r="B1023" s="35"/>
      <c r="C1023" s="15"/>
      <c r="D1023" s="15"/>
      <c r="E1023" s="15"/>
      <c r="F1023" s="15"/>
      <c r="G1023" s="36" t="str">
        <f t="array" ref="G1023">IF($F1023="","",IFERROR(INDEX(Config!$E:$E,MATCH($F1023,Config!$D:$D,0)),0))</f>
        <v/>
      </c>
      <c r="H1023" s="16"/>
      <c r="I1023" s="36" t="str">
        <f t="shared" si="1"/>
        <v/>
      </c>
      <c r="J1023" s="16"/>
      <c r="K1023" s="15"/>
      <c r="L1023" s="15"/>
      <c r="M1023" s="36" t="str">
        <f t="array" ref="M1023">IF($A1023="","",IF($L1023="Atendido",IFERROR($I1023*INDEX(Config!$B:$B,MATCH($C1023,Config!$A:$A,0)),0),0))</f>
        <v/>
      </c>
      <c r="N1023" s="36" t="str">
        <f t="shared" si="2"/>
        <v/>
      </c>
      <c r="O1023" s="36" t="str">
        <f t="shared" si="3"/>
        <v/>
      </c>
      <c r="P1023" s="15"/>
      <c r="Q1023" s="37" t="str">
        <f t="shared" si="4"/>
        <v/>
      </c>
      <c r="R1023" s="37" t="str">
        <f t="shared" si="5"/>
        <v/>
      </c>
      <c r="S1023" s="32" t="str">
        <f t="shared" si="6"/>
        <v/>
      </c>
      <c r="T1023" s="37" t="str">
        <f t="shared" si="7"/>
        <v/>
      </c>
      <c r="U1023" s="37" t="str">
        <f t="array" ref="U1023">IF($F1023="","",IFERROR(INDEX(Config!$F:$F,MATCH($F1023,Config!$D:$D,0)),0))</f>
        <v/>
      </c>
    </row>
    <row r="1024" ht="15.0" customHeight="1">
      <c r="A1024" s="34"/>
      <c r="B1024" s="35"/>
      <c r="C1024" s="15"/>
      <c r="D1024" s="15"/>
      <c r="E1024" s="15"/>
      <c r="F1024" s="15"/>
      <c r="G1024" s="36" t="str">
        <f t="array" ref="G1024">IF($F1024="","",IFERROR(INDEX(Config!$E:$E,MATCH($F1024,Config!$D:$D,0)),0))</f>
        <v/>
      </c>
      <c r="H1024" s="16"/>
      <c r="I1024" s="36" t="str">
        <f t="shared" si="1"/>
        <v/>
      </c>
      <c r="J1024" s="16"/>
      <c r="K1024" s="15"/>
      <c r="L1024" s="15"/>
      <c r="M1024" s="36" t="str">
        <f t="array" ref="M1024">IF($A1024="","",IF($L1024="Atendido",IFERROR($I1024*INDEX(Config!$B:$B,MATCH($C1024,Config!$A:$A,0)),0),0))</f>
        <v/>
      </c>
      <c r="N1024" s="36" t="str">
        <f t="shared" si="2"/>
        <v/>
      </c>
      <c r="O1024" s="36" t="str">
        <f t="shared" si="3"/>
        <v/>
      </c>
      <c r="P1024" s="15"/>
      <c r="Q1024" s="37" t="str">
        <f t="shared" si="4"/>
        <v/>
      </c>
      <c r="R1024" s="37" t="str">
        <f t="shared" si="5"/>
        <v/>
      </c>
      <c r="S1024" s="32" t="str">
        <f t="shared" si="6"/>
        <v/>
      </c>
      <c r="T1024" s="37" t="str">
        <f t="shared" si="7"/>
        <v/>
      </c>
      <c r="U1024" s="37" t="str">
        <f t="array" ref="U1024">IF($F1024="","",IFERROR(INDEX(Config!$F:$F,MATCH($F1024,Config!$D:$D,0)),0))</f>
        <v/>
      </c>
    </row>
    <row r="1025" ht="15.0" customHeight="1">
      <c r="A1025" s="34"/>
      <c r="B1025" s="35"/>
      <c r="C1025" s="15"/>
      <c r="D1025" s="15"/>
      <c r="E1025" s="15"/>
      <c r="F1025" s="15"/>
      <c r="G1025" s="36" t="str">
        <f t="array" ref="G1025">IF($F1025="","",IFERROR(INDEX(Config!$E:$E,MATCH($F1025,Config!$D:$D,0)),0))</f>
        <v/>
      </c>
      <c r="H1025" s="16"/>
      <c r="I1025" s="36" t="str">
        <f t="shared" si="1"/>
        <v/>
      </c>
      <c r="J1025" s="16"/>
      <c r="K1025" s="15"/>
      <c r="L1025" s="15"/>
      <c r="M1025" s="36" t="str">
        <f t="array" ref="M1025">IF($A1025="","",IF($L1025="Atendido",IFERROR($I1025*INDEX(Config!$B:$B,MATCH($C1025,Config!$A:$A,0)),0),0))</f>
        <v/>
      </c>
      <c r="N1025" s="36" t="str">
        <f t="shared" si="2"/>
        <v/>
      </c>
      <c r="O1025" s="36" t="str">
        <f t="shared" si="3"/>
        <v/>
      </c>
      <c r="P1025" s="15"/>
      <c r="Q1025" s="37" t="str">
        <f t="shared" si="4"/>
        <v/>
      </c>
      <c r="R1025" s="37" t="str">
        <f t="shared" si="5"/>
        <v/>
      </c>
      <c r="S1025" s="32" t="str">
        <f t="shared" si="6"/>
        <v/>
      </c>
      <c r="T1025" s="37" t="str">
        <f t="shared" si="7"/>
        <v/>
      </c>
      <c r="U1025" s="37" t="str">
        <f t="array" ref="U1025">IF($F1025="","",IFERROR(INDEX(Config!$F:$F,MATCH($F1025,Config!$D:$D,0)),0))</f>
        <v/>
      </c>
    </row>
    <row r="1026" ht="15.0" customHeight="1">
      <c r="A1026" s="34"/>
      <c r="B1026" s="35"/>
      <c r="C1026" s="15"/>
      <c r="D1026" s="15"/>
      <c r="E1026" s="15"/>
      <c r="F1026" s="15"/>
      <c r="G1026" s="36" t="str">
        <f t="array" ref="G1026">IF($F1026="","",IFERROR(INDEX(Config!$E:$E,MATCH($F1026,Config!$D:$D,0)),0))</f>
        <v/>
      </c>
      <c r="H1026" s="16"/>
      <c r="I1026" s="36" t="str">
        <f t="shared" si="1"/>
        <v/>
      </c>
      <c r="J1026" s="16"/>
      <c r="K1026" s="15"/>
      <c r="L1026" s="15"/>
      <c r="M1026" s="36" t="str">
        <f t="array" ref="M1026">IF($A1026="","",IF($L1026="Atendido",IFERROR($I1026*INDEX(Config!$B:$B,MATCH($C1026,Config!$A:$A,0)),0),0))</f>
        <v/>
      </c>
      <c r="N1026" s="36" t="str">
        <f t="shared" si="2"/>
        <v/>
      </c>
      <c r="O1026" s="36" t="str">
        <f t="shared" si="3"/>
        <v/>
      </c>
      <c r="P1026" s="15"/>
      <c r="Q1026" s="37" t="str">
        <f t="shared" si="4"/>
        <v/>
      </c>
      <c r="R1026" s="37" t="str">
        <f t="shared" si="5"/>
        <v/>
      </c>
      <c r="S1026" s="32" t="str">
        <f t="shared" si="6"/>
        <v/>
      </c>
      <c r="T1026" s="37" t="str">
        <f t="shared" si="7"/>
        <v/>
      </c>
      <c r="U1026" s="37" t="str">
        <f t="array" ref="U1026">IF($F1026="","",IFERROR(INDEX(Config!$F:$F,MATCH($F1026,Config!$D:$D,0)),0))</f>
        <v/>
      </c>
    </row>
    <row r="1027" ht="15.0" customHeight="1">
      <c r="A1027" s="34"/>
      <c r="B1027" s="35"/>
      <c r="C1027" s="15"/>
      <c r="D1027" s="15"/>
      <c r="E1027" s="15"/>
      <c r="F1027" s="15"/>
      <c r="G1027" s="36" t="str">
        <f t="array" ref="G1027">IF($F1027="","",IFERROR(INDEX(Config!$E:$E,MATCH($F1027,Config!$D:$D,0)),0))</f>
        <v/>
      </c>
      <c r="H1027" s="16"/>
      <c r="I1027" s="36" t="str">
        <f t="shared" si="1"/>
        <v/>
      </c>
      <c r="J1027" s="16"/>
      <c r="K1027" s="15"/>
      <c r="L1027" s="15"/>
      <c r="M1027" s="36" t="str">
        <f t="array" ref="M1027">IF($A1027="","",IF($L1027="Atendido",IFERROR($I1027*INDEX(Config!$B:$B,MATCH($C1027,Config!$A:$A,0)),0),0))</f>
        <v/>
      </c>
      <c r="N1027" s="36" t="str">
        <f t="shared" si="2"/>
        <v/>
      </c>
      <c r="O1027" s="36" t="str">
        <f t="shared" si="3"/>
        <v/>
      </c>
      <c r="P1027" s="15"/>
      <c r="Q1027" s="37" t="str">
        <f t="shared" si="4"/>
        <v/>
      </c>
      <c r="R1027" s="37" t="str">
        <f t="shared" si="5"/>
        <v/>
      </c>
      <c r="S1027" s="32" t="str">
        <f t="shared" si="6"/>
        <v/>
      </c>
      <c r="T1027" s="37" t="str">
        <f t="shared" si="7"/>
        <v/>
      </c>
      <c r="U1027" s="37" t="str">
        <f t="array" ref="U1027">IF($F1027="","",IFERROR(INDEX(Config!$F:$F,MATCH($F1027,Config!$D:$D,0)),0))</f>
        <v/>
      </c>
    </row>
    <row r="1028" ht="15.0" customHeight="1">
      <c r="A1028" s="34"/>
      <c r="B1028" s="35"/>
      <c r="C1028" s="15"/>
      <c r="D1028" s="15"/>
      <c r="E1028" s="15"/>
      <c r="F1028" s="15"/>
      <c r="G1028" s="36" t="str">
        <f t="array" ref="G1028">IF($F1028="","",IFERROR(INDEX(Config!$E:$E,MATCH($F1028,Config!$D:$D,0)),0))</f>
        <v/>
      </c>
      <c r="H1028" s="16"/>
      <c r="I1028" s="36" t="str">
        <f t="shared" si="1"/>
        <v/>
      </c>
      <c r="J1028" s="16"/>
      <c r="K1028" s="15"/>
      <c r="L1028" s="15"/>
      <c r="M1028" s="36" t="str">
        <f t="array" ref="M1028">IF($A1028="","",IF($L1028="Atendido",IFERROR($I1028*INDEX(Config!$B:$B,MATCH($C1028,Config!$A:$A,0)),0),0))</f>
        <v/>
      </c>
      <c r="N1028" s="36" t="str">
        <f t="shared" si="2"/>
        <v/>
      </c>
      <c r="O1028" s="36" t="str">
        <f t="shared" si="3"/>
        <v/>
      </c>
      <c r="P1028" s="15"/>
      <c r="Q1028" s="37" t="str">
        <f t="shared" si="4"/>
        <v/>
      </c>
      <c r="R1028" s="37" t="str">
        <f t="shared" si="5"/>
        <v/>
      </c>
      <c r="S1028" s="32" t="str">
        <f t="shared" si="6"/>
        <v/>
      </c>
      <c r="T1028" s="37" t="str">
        <f t="shared" si="7"/>
        <v/>
      </c>
      <c r="U1028" s="37" t="str">
        <f t="array" ref="U1028">IF($F1028="","",IFERROR(INDEX(Config!$F:$F,MATCH($F1028,Config!$D:$D,0)),0))</f>
        <v/>
      </c>
    </row>
    <row r="1029" ht="15.0" customHeight="1">
      <c r="A1029" s="34"/>
      <c r="B1029" s="35"/>
      <c r="C1029" s="15"/>
      <c r="D1029" s="15"/>
      <c r="E1029" s="15"/>
      <c r="F1029" s="15"/>
      <c r="G1029" s="36" t="str">
        <f t="array" ref="G1029">IF($F1029="","",IFERROR(INDEX(Config!$E:$E,MATCH($F1029,Config!$D:$D,0)),0))</f>
        <v/>
      </c>
      <c r="H1029" s="16"/>
      <c r="I1029" s="36" t="str">
        <f t="shared" si="1"/>
        <v/>
      </c>
      <c r="J1029" s="16"/>
      <c r="K1029" s="15"/>
      <c r="L1029" s="15"/>
      <c r="M1029" s="36" t="str">
        <f t="array" ref="M1029">IF($A1029="","",IF($L1029="Atendido",IFERROR($I1029*INDEX(Config!$B:$B,MATCH($C1029,Config!$A:$A,0)),0),0))</f>
        <v/>
      </c>
      <c r="N1029" s="36" t="str">
        <f t="shared" si="2"/>
        <v/>
      </c>
      <c r="O1029" s="36" t="str">
        <f t="shared" si="3"/>
        <v/>
      </c>
      <c r="P1029" s="15"/>
      <c r="Q1029" s="37" t="str">
        <f t="shared" si="4"/>
        <v/>
      </c>
      <c r="R1029" s="37" t="str">
        <f t="shared" si="5"/>
        <v/>
      </c>
      <c r="S1029" s="32" t="str">
        <f t="shared" si="6"/>
        <v/>
      </c>
      <c r="T1029" s="37" t="str">
        <f t="shared" si="7"/>
        <v/>
      </c>
      <c r="U1029" s="37" t="str">
        <f t="array" ref="U1029">IF($F1029="","",IFERROR(INDEX(Config!$F:$F,MATCH($F1029,Config!$D:$D,0)),0))</f>
        <v/>
      </c>
    </row>
    <row r="1030" ht="15.0" customHeight="1">
      <c r="A1030" s="34"/>
      <c r="B1030" s="35"/>
      <c r="C1030" s="15"/>
      <c r="D1030" s="15"/>
      <c r="E1030" s="15"/>
      <c r="F1030" s="15"/>
      <c r="G1030" s="36" t="str">
        <f t="array" ref="G1030">IF($F1030="","",IFERROR(INDEX(Config!$E:$E,MATCH($F1030,Config!$D:$D,0)),0))</f>
        <v/>
      </c>
      <c r="H1030" s="16"/>
      <c r="I1030" s="36" t="str">
        <f t="shared" si="1"/>
        <v/>
      </c>
      <c r="J1030" s="16"/>
      <c r="K1030" s="15"/>
      <c r="L1030" s="15"/>
      <c r="M1030" s="36" t="str">
        <f t="array" ref="M1030">IF($A1030="","",IF($L1030="Atendido",IFERROR($I1030*INDEX(Config!$B:$B,MATCH($C1030,Config!$A:$A,0)),0),0))</f>
        <v/>
      </c>
      <c r="N1030" s="36" t="str">
        <f t="shared" si="2"/>
        <v/>
      </c>
      <c r="O1030" s="36" t="str">
        <f t="shared" si="3"/>
        <v/>
      </c>
      <c r="P1030" s="15"/>
      <c r="Q1030" s="37" t="str">
        <f t="shared" si="4"/>
        <v/>
      </c>
      <c r="R1030" s="37" t="str">
        <f t="shared" si="5"/>
        <v/>
      </c>
      <c r="S1030" s="32" t="str">
        <f t="shared" si="6"/>
        <v/>
      </c>
      <c r="T1030" s="37" t="str">
        <f t="shared" si="7"/>
        <v/>
      </c>
      <c r="U1030" s="37" t="str">
        <f t="array" ref="U1030">IF($F1030="","",IFERROR(INDEX(Config!$F:$F,MATCH($F1030,Config!$D:$D,0)),0))</f>
        <v/>
      </c>
    </row>
    <row r="1031" ht="15.0" customHeight="1">
      <c r="A1031" s="34"/>
      <c r="B1031" s="35"/>
      <c r="C1031" s="15"/>
      <c r="D1031" s="15"/>
      <c r="E1031" s="15"/>
      <c r="F1031" s="15"/>
      <c r="G1031" s="36" t="str">
        <f t="array" ref="G1031">IF($F1031="","",IFERROR(INDEX(Config!$E:$E,MATCH($F1031,Config!$D:$D,0)),0))</f>
        <v/>
      </c>
      <c r="H1031" s="16"/>
      <c r="I1031" s="36" t="str">
        <f t="shared" si="1"/>
        <v/>
      </c>
      <c r="J1031" s="16"/>
      <c r="K1031" s="15"/>
      <c r="L1031" s="15"/>
      <c r="M1031" s="36" t="str">
        <f t="array" ref="M1031">IF($A1031="","",IF($L1031="Atendido",IFERROR($I1031*INDEX(Config!$B:$B,MATCH($C1031,Config!$A:$A,0)),0),0))</f>
        <v/>
      </c>
      <c r="N1031" s="36" t="str">
        <f t="shared" si="2"/>
        <v/>
      </c>
      <c r="O1031" s="36" t="str">
        <f t="shared" si="3"/>
        <v/>
      </c>
      <c r="P1031" s="15"/>
      <c r="Q1031" s="37" t="str">
        <f t="shared" si="4"/>
        <v/>
      </c>
      <c r="R1031" s="37" t="str">
        <f t="shared" si="5"/>
        <v/>
      </c>
      <c r="S1031" s="32" t="str">
        <f t="shared" si="6"/>
        <v/>
      </c>
      <c r="T1031" s="37" t="str">
        <f t="shared" si="7"/>
        <v/>
      </c>
      <c r="U1031" s="37" t="str">
        <f t="array" ref="U1031">IF($F1031="","",IFERROR(INDEX(Config!$F:$F,MATCH($F1031,Config!$D:$D,0)),0))</f>
        <v/>
      </c>
    </row>
    <row r="1032" ht="15.0" customHeight="1">
      <c r="A1032" s="34"/>
      <c r="B1032" s="35"/>
      <c r="C1032" s="15"/>
      <c r="D1032" s="15"/>
      <c r="E1032" s="15"/>
      <c r="F1032" s="15"/>
      <c r="G1032" s="36" t="str">
        <f t="array" ref="G1032">IF($F1032="","",IFERROR(INDEX(Config!$E:$E,MATCH($F1032,Config!$D:$D,0)),0))</f>
        <v/>
      </c>
      <c r="H1032" s="16"/>
      <c r="I1032" s="36" t="str">
        <f t="shared" si="1"/>
        <v/>
      </c>
      <c r="J1032" s="16"/>
      <c r="K1032" s="15"/>
      <c r="L1032" s="15"/>
      <c r="M1032" s="36" t="str">
        <f t="array" ref="M1032">IF($A1032="","",IF($L1032="Atendido",IFERROR($I1032*INDEX(Config!$B:$B,MATCH($C1032,Config!$A:$A,0)),0),0))</f>
        <v/>
      </c>
      <c r="N1032" s="36" t="str">
        <f t="shared" si="2"/>
        <v/>
      </c>
      <c r="O1032" s="36" t="str">
        <f t="shared" si="3"/>
        <v/>
      </c>
      <c r="P1032" s="15"/>
      <c r="Q1032" s="37" t="str">
        <f t="shared" si="4"/>
        <v/>
      </c>
      <c r="R1032" s="37" t="str">
        <f t="shared" si="5"/>
        <v/>
      </c>
      <c r="S1032" s="32" t="str">
        <f t="shared" si="6"/>
        <v/>
      </c>
      <c r="T1032" s="37" t="str">
        <f t="shared" si="7"/>
        <v/>
      </c>
      <c r="U1032" s="37" t="str">
        <f t="array" ref="U1032">IF($F1032="","",IFERROR(INDEX(Config!$F:$F,MATCH($F1032,Config!$D:$D,0)),0))</f>
        <v/>
      </c>
    </row>
    <row r="1033" ht="15.0" customHeight="1">
      <c r="A1033" s="34"/>
      <c r="B1033" s="35"/>
      <c r="C1033" s="15"/>
      <c r="D1033" s="15"/>
      <c r="E1033" s="15"/>
      <c r="F1033" s="15"/>
      <c r="G1033" s="36" t="str">
        <f t="array" ref="G1033">IF($F1033="","",IFERROR(INDEX(Config!$E:$E,MATCH($F1033,Config!$D:$D,0)),0))</f>
        <v/>
      </c>
      <c r="H1033" s="16"/>
      <c r="I1033" s="36" t="str">
        <f t="shared" si="1"/>
        <v/>
      </c>
      <c r="J1033" s="16"/>
      <c r="K1033" s="15"/>
      <c r="L1033" s="15"/>
      <c r="M1033" s="36" t="str">
        <f t="array" ref="M1033">IF($A1033="","",IF($L1033="Atendido",IFERROR($I1033*INDEX(Config!$B:$B,MATCH($C1033,Config!$A:$A,0)),0),0))</f>
        <v/>
      </c>
      <c r="N1033" s="36" t="str">
        <f t="shared" si="2"/>
        <v/>
      </c>
      <c r="O1033" s="36" t="str">
        <f t="shared" si="3"/>
        <v/>
      </c>
      <c r="P1033" s="15"/>
      <c r="Q1033" s="37" t="str">
        <f t="shared" si="4"/>
        <v/>
      </c>
      <c r="R1033" s="37" t="str">
        <f t="shared" si="5"/>
        <v/>
      </c>
      <c r="S1033" s="32" t="str">
        <f t="shared" si="6"/>
        <v/>
      </c>
      <c r="T1033" s="37" t="str">
        <f t="shared" si="7"/>
        <v/>
      </c>
      <c r="U1033" s="37" t="str">
        <f t="array" ref="U1033">IF($F1033="","",IFERROR(INDEX(Config!$F:$F,MATCH($F1033,Config!$D:$D,0)),0))</f>
        <v/>
      </c>
    </row>
    <row r="1034" ht="15.0" customHeight="1">
      <c r="A1034" s="34"/>
      <c r="B1034" s="35"/>
      <c r="C1034" s="15"/>
      <c r="D1034" s="15"/>
      <c r="E1034" s="15"/>
      <c r="F1034" s="15"/>
      <c r="G1034" s="36" t="str">
        <f t="array" ref="G1034">IF($F1034="","",IFERROR(INDEX(Config!$E:$E,MATCH($F1034,Config!$D:$D,0)),0))</f>
        <v/>
      </c>
      <c r="H1034" s="16"/>
      <c r="I1034" s="36" t="str">
        <f t="shared" si="1"/>
        <v/>
      </c>
      <c r="J1034" s="16"/>
      <c r="K1034" s="15"/>
      <c r="L1034" s="15"/>
      <c r="M1034" s="36" t="str">
        <f t="array" ref="M1034">IF($A1034="","",IF($L1034="Atendido",IFERROR($I1034*INDEX(Config!$B:$B,MATCH($C1034,Config!$A:$A,0)),0),0))</f>
        <v/>
      </c>
      <c r="N1034" s="36" t="str">
        <f t="shared" si="2"/>
        <v/>
      </c>
      <c r="O1034" s="36" t="str">
        <f t="shared" si="3"/>
        <v/>
      </c>
      <c r="P1034" s="15"/>
      <c r="Q1034" s="37" t="str">
        <f t="shared" si="4"/>
        <v/>
      </c>
      <c r="R1034" s="37" t="str">
        <f t="shared" si="5"/>
        <v/>
      </c>
      <c r="S1034" s="32" t="str">
        <f t="shared" si="6"/>
        <v/>
      </c>
      <c r="T1034" s="37" t="str">
        <f t="shared" si="7"/>
        <v/>
      </c>
      <c r="U1034" s="37" t="str">
        <f t="array" ref="U1034">IF($F1034="","",IFERROR(INDEX(Config!$F:$F,MATCH($F1034,Config!$D:$D,0)),0))</f>
        <v/>
      </c>
    </row>
    <row r="1035" ht="15.0" customHeight="1">
      <c r="A1035" s="34"/>
      <c r="B1035" s="35"/>
      <c r="C1035" s="15"/>
      <c r="D1035" s="15"/>
      <c r="E1035" s="15"/>
      <c r="F1035" s="15"/>
      <c r="G1035" s="36" t="str">
        <f t="array" ref="G1035">IF($F1035="","",IFERROR(INDEX(Config!$E:$E,MATCH($F1035,Config!$D:$D,0)),0))</f>
        <v/>
      </c>
      <c r="H1035" s="16"/>
      <c r="I1035" s="36" t="str">
        <f t="shared" si="1"/>
        <v/>
      </c>
      <c r="J1035" s="16"/>
      <c r="K1035" s="15"/>
      <c r="L1035" s="15"/>
      <c r="M1035" s="36" t="str">
        <f t="array" ref="M1035">IF($A1035="","",IF($L1035="Atendido",IFERROR($I1035*INDEX(Config!$B:$B,MATCH($C1035,Config!$A:$A,0)),0),0))</f>
        <v/>
      </c>
      <c r="N1035" s="36" t="str">
        <f t="shared" si="2"/>
        <v/>
      </c>
      <c r="O1035" s="36" t="str">
        <f t="shared" si="3"/>
        <v/>
      </c>
      <c r="P1035" s="15"/>
      <c r="Q1035" s="37" t="str">
        <f t="shared" si="4"/>
        <v/>
      </c>
      <c r="R1035" s="37" t="str">
        <f t="shared" si="5"/>
        <v/>
      </c>
      <c r="S1035" s="32" t="str">
        <f t="shared" si="6"/>
        <v/>
      </c>
      <c r="T1035" s="37" t="str">
        <f t="shared" si="7"/>
        <v/>
      </c>
      <c r="U1035" s="37" t="str">
        <f t="array" ref="U1035">IF($F1035="","",IFERROR(INDEX(Config!$F:$F,MATCH($F1035,Config!$D:$D,0)),0))</f>
        <v/>
      </c>
    </row>
    <row r="1036" ht="15.0" customHeight="1">
      <c r="A1036" s="34"/>
      <c r="B1036" s="35"/>
      <c r="C1036" s="15"/>
      <c r="D1036" s="15"/>
      <c r="E1036" s="15"/>
      <c r="F1036" s="15"/>
      <c r="G1036" s="36" t="str">
        <f t="array" ref="G1036">IF($F1036="","",IFERROR(INDEX(Config!$E:$E,MATCH($F1036,Config!$D:$D,0)),0))</f>
        <v/>
      </c>
      <c r="H1036" s="16"/>
      <c r="I1036" s="36" t="str">
        <f t="shared" si="1"/>
        <v/>
      </c>
      <c r="J1036" s="16"/>
      <c r="K1036" s="15"/>
      <c r="L1036" s="15"/>
      <c r="M1036" s="36" t="str">
        <f t="array" ref="M1036">IF($A1036="","",IF($L1036="Atendido",IFERROR($I1036*INDEX(Config!$B:$B,MATCH($C1036,Config!$A:$A,0)),0),0))</f>
        <v/>
      </c>
      <c r="N1036" s="36" t="str">
        <f t="shared" si="2"/>
        <v/>
      </c>
      <c r="O1036" s="36" t="str">
        <f t="shared" si="3"/>
        <v/>
      </c>
      <c r="P1036" s="15"/>
      <c r="Q1036" s="37" t="str">
        <f t="shared" si="4"/>
        <v/>
      </c>
      <c r="R1036" s="37" t="str">
        <f t="shared" si="5"/>
        <v/>
      </c>
      <c r="S1036" s="32" t="str">
        <f t="shared" si="6"/>
        <v/>
      </c>
      <c r="T1036" s="37" t="str">
        <f t="shared" si="7"/>
        <v/>
      </c>
      <c r="U1036" s="37" t="str">
        <f t="array" ref="U1036">IF($F1036="","",IFERROR(INDEX(Config!$F:$F,MATCH($F1036,Config!$D:$D,0)),0))</f>
        <v/>
      </c>
    </row>
    <row r="1037" ht="15.0" customHeight="1">
      <c r="A1037" s="34"/>
      <c r="B1037" s="35"/>
      <c r="C1037" s="15"/>
      <c r="D1037" s="15"/>
      <c r="E1037" s="15"/>
      <c r="F1037" s="15"/>
      <c r="G1037" s="36" t="str">
        <f t="array" ref="G1037">IF($F1037="","",IFERROR(INDEX(Config!$E:$E,MATCH($F1037,Config!$D:$D,0)),0))</f>
        <v/>
      </c>
      <c r="H1037" s="16"/>
      <c r="I1037" s="36" t="str">
        <f t="shared" si="1"/>
        <v/>
      </c>
      <c r="J1037" s="16"/>
      <c r="K1037" s="15"/>
      <c r="L1037" s="15"/>
      <c r="M1037" s="36" t="str">
        <f t="array" ref="M1037">IF($A1037="","",IF($L1037="Atendido",IFERROR($I1037*INDEX(Config!$B:$B,MATCH($C1037,Config!$A:$A,0)),0),0))</f>
        <v/>
      </c>
      <c r="N1037" s="36" t="str">
        <f t="shared" si="2"/>
        <v/>
      </c>
      <c r="O1037" s="36" t="str">
        <f t="shared" si="3"/>
        <v/>
      </c>
      <c r="P1037" s="15"/>
      <c r="Q1037" s="37" t="str">
        <f t="shared" si="4"/>
        <v/>
      </c>
      <c r="R1037" s="37" t="str">
        <f t="shared" si="5"/>
        <v/>
      </c>
      <c r="S1037" s="32" t="str">
        <f t="shared" si="6"/>
        <v/>
      </c>
      <c r="T1037" s="37" t="str">
        <f t="shared" si="7"/>
        <v/>
      </c>
      <c r="U1037" s="37" t="str">
        <f t="array" ref="U1037">IF($F1037="","",IFERROR(INDEX(Config!$F:$F,MATCH($F1037,Config!$D:$D,0)),0))</f>
        <v/>
      </c>
    </row>
    <row r="1038" ht="15.0" customHeight="1">
      <c r="A1038" s="34"/>
      <c r="B1038" s="35"/>
      <c r="C1038" s="15"/>
      <c r="D1038" s="15"/>
      <c r="E1038" s="15"/>
      <c r="F1038" s="15"/>
      <c r="G1038" s="36" t="str">
        <f t="array" ref="G1038">IF($F1038="","",IFERROR(INDEX(Config!$E:$E,MATCH($F1038,Config!$D:$D,0)),0))</f>
        <v/>
      </c>
      <c r="H1038" s="16"/>
      <c r="I1038" s="36" t="str">
        <f t="shared" si="1"/>
        <v/>
      </c>
      <c r="J1038" s="16"/>
      <c r="K1038" s="15"/>
      <c r="L1038" s="15"/>
      <c r="M1038" s="36" t="str">
        <f t="array" ref="M1038">IF($A1038="","",IF($L1038="Atendido",IFERROR($I1038*INDEX(Config!$B:$B,MATCH($C1038,Config!$A:$A,0)),0),0))</f>
        <v/>
      </c>
      <c r="N1038" s="36" t="str">
        <f t="shared" si="2"/>
        <v/>
      </c>
      <c r="O1038" s="36" t="str">
        <f t="shared" si="3"/>
        <v/>
      </c>
      <c r="P1038" s="15"/>
      <c r="Q1038" s="37" t="str">
        <f t="shared" si="4"/>
        <v/>
      </c>
      <c r="R1038" s="37" t="str">
        <f t="shared" si="5"/>
        <v/>
      </c>
      <c r="S1038" s="32" t="str">
        <f t="shared" si="6"/>
        <v/>
      </c>
      <c r="T1038" s="37" t="str">
        <f t="shared" si="7"/>
        <v/>
      </c>
      <c r="U1038" s="37" t="str">
        <f t="array" ref="U1038">IF($F1038="","",IFERROR(INDEX(Config!$F:$F,MATCH($F1038,Config!$D:$D,0)),0))</f>
        <v/>
      </c>
    </row>
    <row r="1039" ht="15.0" customHeight="1">
      <c r="A1039" s="34"/>
      <c r="B1039" s="35"/>
      <c r="C1039" s="15"/>
      <c r="D1039" s="15"/>
      <c r="E1039" s="15"/>
      <c r="F1039" s="15"/>
      <c r="G1039" s="36" t="str">
        <f t="array" ref="G1039">IF($F1039="","",IFERROR(INDEX(Config!$E:$E,MATCH($F1039,Config!$D:$D,0)),0))</f>
        <v/>
      </c>
      <c r="H1039" s="16"/>
      <c r="I1039" s="36" t="str">
        <f t="shared" si="1"/>
        <v/>
      </c>
      <c r="J1039" s="16"/>
      <c r="K1039" s="15"/>
      <c r="L1039" s="15"/>
      <c r="M1039" s="36" t="str">
        <f t="array" ref="M1039">IF($A1039="","",IF($L1039="Atendido",IFERROR($I1039*INDEX(Config!$B:$B,MATCH($C1039,Config!$A:$A,0)),0),0))</f>
        <v/>
      </c>
      <c r="N1039" s="36" t="str">
        <f t="shared" si="2"/>
        <v/>
      </c>
      <c r="O1039" s="36" t="str">
        <f t="shared" si="3"/>
        <v/>
      </c>
      <c r="P1039" s="15"/>
      <c r="Q1039" s="37" t="str">
        <f t="shared" si="4"/>
        <v/>
      </c>
      <c r="R1039" s="37" t="str">
        <f t="shared" si="5"/>
        <v/>
      </c>
      <c r="S1039" s="32" t="str">
        <f t="shared" si="6"/>
        <v/>
      </c>
      <c r="T1039" s="37" t="str">
        <f t="shared" si="7"/>
        <v/>
      </c>
      <c r="U1039" s="37" t="str">
        <f t="array" ref="U1039">IF($F1039="","",IFERROR(INDEX(Config!$F:$F,MATCH($F1039,Config!$D:$D,0)),0))</f>
        <v/>
      </c>
    </row>
    <row r="1040" ht="15.0" customHeight="1">
      <c r="A1040" s="34"/>
      <c r="B1040" s="35"/>
      <c r="C1040" s="15"/>
      <c r="D1040" s="15"/>
      <c r="E1040" s="15"/>
      <c r="F1040" s="15"/>
      <c r="G1040" s="36" t="str">
        <f t="array" ref="G1040">IF($F1040="","",IFERROR(INDEX(Config!$E:$E,MATCH($F1040,Config!$D:$D,0)),0))</f>
        <v/>
      </c>
      <c r="H1040" s="16"/>
      <c r="I1040" s="36" t="str">
        <f t="shared" si="1"/>
        <v/>
      </c>
      <c r="J1040" s="16"/>
      <c r="K1040" s="15"/>
      <c r="L1040" s="15"/>
      <c r="M1040" s="36" t="str">
        <f t="array" ref="M1040">IF($A1040="","",IF($L1040="Atendido",IFERROR($I1040*INDEX(Config!$B:$B,MATCH($C1040,Config!$A:$A,0)),0),0))</f>
        <v/>
      </c>
      <c r="N1040" s="36" t="str">
        <f t="shared" si="2"/>
        <v/>
      </c>
      <c r="O1040" s="36" t="str">
        <f t="shared" si="3"/>
        <v/>
      </c>
      <c r="P1040" s="15"/>
      <c r="Q1040" s="37" t="str">
        <f t="shared" si="4"/>
        <v/>
      </c>
      <c r="R1040" s="37" t="str">
        <f t="shared" si="5"/>
        <v/>
      </c>
      <c r="S1040" s="32" t="str">
        <f t="shared" si="6"/>
        <v/>
      </c>
      <c r="T1040" s="37" t="str">
        <f t="shared" si="7"/>
        <v/>
      </c>
      <c r="U1040" s="37" t="str">
        <f t="array" ref="U1040">IF($F1040="","",IFERROR(INDEX(Config!$F:$F,MATCH($F1040,Config!$D:$D,0)),0))</f>
        <v/>
      </c>
    </row>
    <row r="1041" ht="15.0" customHeight="1">
      <c r="A1041" s="34"/>
      <c r="B1041" s="35"/>
      <c r="C1041" s="15"/>
      <c r="D1041" s="15"/>
      <c r="E1041" s="15"/>
      <c r="F1041" s="15"/>
      <c r="G1041" s="36" t="str">
        <f t="array" ref="G1041">IF($F1041="","",IFERROR(INDEX(Config!$E:$E,MATCH($F1041,Config!$D:$D,0)),0))</f>
        <v/>
      </c>
      <c r="H1041" s="16"/>
      <c r="I1041" s="36" t="str">
        <f t="shared" si="1"/>
        <v/>
      </c>
      <c r="J1041" s="16"/>
      <c r="K1041" s="15"/>
      <c r="L1041" s="15"/>
      <c r="M1041" s="36" t="str">
        <f t="array" ref="M1041">IF($A1041="","",IF($L1041="Atendido",IFERROR($I1041*INDEX(Config!$B:$B,MATCH($C1041,Config!$A:$A,0)),0),0))</f>
        <v/>
      </c>
      <c r="N1041" s="36" t="str">
        <f t="shared" si="2"/>
        <v/>
      </c>
      <c r="O1041" s="36" t="str">
        <f t="shared" si="3"/>
        <v/>
      </c>
      <c r="P1041" s="15"/>
      <c r="Q1041" s="37" t="str">
        <f t="shared" si="4"/>
        <v/>
      </c>
      <c r="R1041" s="37" t="str">
        <f t="shared" si="5"/>
        <v/>
      </c>
      <c r="S1041" s="32" t="str">
        <f t="shared" si="6"/>
        <v/>
      </c>
      <c r="T1041" s="37" t="str">
        <f t="shared" si="7"/>
        <v/>
      </c>
      <c r="U1041" s="37" t="str">
        <f t="array" ref="U1041">IF($F1041="","",IFERROR(INDEX(Config!$F:$F,MATCH($F1041,Config!$D:$D,0)),0))</f>
        <v/>
      </c>
    </row>
    <row r="1042" ht="15.0" customHeight="1">
      <c r="A1042" s="34"/>
      <c r="B1042" s="35"/>
      <c r="C1042" s="15"/>
      <c r="D1042" s="15"/>
      <c r="E1042" s="15"/>
      <c r="F1042" s="15"/>
      <c r="G1042" s="36" t="str">
        <f t="array" ref="G1042">IF($F1042="","",IFERROR(INDEX(Config!$E:$E,MATCH($F1042,Config!$D:$D,0)),0))</f>
        <v/>
      </c>
      <c r="H1042" s="16"/>
      <c r="I1042" s="36" t="str">
        <f t="shared" si="1"/>
        <v/>
      </c>
      <c r="J1042" s="16"/>
      <c r="K1042" s="15"/>
      <c r="L1042" s="15"/>
      <c r="M1042" s="36" t="str">
        <f t="array" ref="M1042">IF($A1042="","",IF($L1042="Atendido",IFERROR($I1042*INDEX(Config!$B:$B,MATCH($C1042,Config!$A:$A,0)),0),0))</f>
        <v/>
      </c>
      <c r="N1042" s="36" t="str">
        <f t="shared" si="2"/>
        <v/>
      </c>
      <c r="O1042" s="36" t="str">
        <f t="shared" si="3"/>
        <v/>
      </c>
      <c r="P1042" s="15"/>
      <c r="Q1042" s="37" t="str">
        <f t="shared" si="4"/>
        <v/>
      </c>
      <c r="R1042" s="37" t="str">
        <f t="shared" si="5"/>
        <v/>
      </c>
      <c r="S1042" s="32" t="str">
        <f t="shared" si="6"/>
        <v/>
      </c>
      <c r="T1042" s="37" t="str">
        <f t="shared" si="7"/>
        <v/>
      </c>
      <c r="U1042" s="37" t="str">
        <f t="array" ref="U1042">IF($F1042="","",IFERROR(INDEX(Config!$F:$F,MATCH($F1042,Config!$D:$D,0)),0))</f>
        <v/>
      </c>
    </row>
    <row r="1043" ht="15.0" customHeight="1">
      <c r="A1043" s="34"/>
      <c r="B1043" s="35"/>
      <c r="C1043" s="15"/>
      <c r="D1043" s="15"/>
      <c r="E1043" s="15"/>
      <c r="F1043" s="15"/>
      <c r="G1043" s="36" t="str">
        <f t="array" ref="G1043">IF($F1043="","",IFERROR(INDEX(Config!$E:$E,MATCH($F1043,Config!$D:$D,0)),0))</f>
        <v/>
      </c>
      <c r="H1043" s="16"/>
      <c r="I1043" s="36" t="str">
        <f t="shared" si="1"/>
        <v/>
      </c>
      <c r="J1043" s="16"/>
      <c r="K1043" s="15"/>
      <c r="L1043" s="15"/>
      <c r="M1043" s="36" t="str">
        <f t="array" ref="M1043">IF($A1043="","",IF($L1043="Atendido",IFERROR($I1043*INDEX(Config!$B:$B,MATCH($C1043,Config!$A:$A,0)),0),0))</f>
        <v/>
      </c>
      <c r="N1043" s="36" t="str">
        <f t="shared" si="2"/>
        <v/>
      </c>
      <c r="O1043" s="36" t="str">
        <f t="shared" si="3"/>
        <v/>
      </c>
      <c r="P1043" s="15"/>
      <c r="Q1043" s="37" t="str">
        <f t="shared" si="4"/>
        <v/>
      </c>
      <c r="R1043" s="37" t="str">
        <f t="shared" si="5"/>
        <v/>
      </c>
      <c r="S1043" s="32" t="str">
        <f t="shared" si="6"/>
        <v/>
      </c>
      <c r="T1043" s="37" t="str">
        <f t="shared" si="7"/>
        <v/>
      </c>
      <c r="U1043" s="37" t="str">
        <f t="array" ref="U1043">IF($F1043="","",IFERROR(INDEX(Config!$F:$F,MATCH($F1043,Config!$D:$D,0)),0))</f>
        <v/>
      </c>
    </row>
    <row r="1044" ht="15.0" customHeight="1">
      <c r="A1044" s="34"/>
      <c r="B1044" s="35"/>
      <c r="C1044" s="15"/>
      <c r="D1044" s="15"/>
      <c r="E1044" s="15"/>
      <c r="F1044" s="15"/>
      <c r="G1044" s="36" t="str">
        <f t="array" ref="G1044">IF($F1044="","",IFERROR(INDEX(Config!$E:$E,MATCH($F1044,Config!$D:$D,0)),0))</f>
        <v/>
      </c>
      <c r="H1044" s="16"/>
      <c r="I1044" s="36" t="str">
        <f t="shared" si="1"/>
        <v/>
      </c>
      <c r="J1044" s="16"/>
      <c r="K1044" s="15"/>
      <c r="L1044" s="15"/>
      <c r="M1044" s="36" t="str">
        <f t="array" ref="M1044">IF($A1044="","",IF($L1044="Atendido",IFERROR($I1044*INDEX(Config!$B:$B,MATCH($C1044,Config!$A:$A,0)),0),0))</f>
        <v/>
      </c>
      <c r="N1044" s="36" t="str">
        <f t="shared" si="2"/>
        <v/>
      </c>
      <c r="O1044" s="36" t="str">
        <f t="shared" si="3"/>
        <v/>
      </c>
      <c r="P1044" s="15"/>
      <c r="Q1044" s="37" t="str">
        <f t="shared" si="4"/>
        <v/>
      </c>
      <c r="R1044" s="37" t="str">
        <f t="shared" si="5"/>
        <v/>
      </c>
      <c r="S1044" s="32" t="str">
        <f t="shared" si="6"/>
        <v/>
      </c>
      <c r="T1044" s="37" t="str">
        <f t="shared" si="7"/>
        <v/>
      </c>
      <c r="U1044" s="37" t="str">
        <f t="array" ref="U1044">IF($F1044="","",IFERROR(INDEX(Config!$F:$F,MATCH($F1044,Config!$D:$D,0)),0))</f>
        <v/>
      </c>
    </row>
    <row r="1045" ht="15.0" customHeight="1">
      <c r="A1045" s="34"/>
      <c r="B1045" s="35"/>
      <c r="C1045" s="15"/>
      <c r="D1045" s="15"/>
      <c r="E1045" s="15"/>
      <c r="F1045" s="15"/>
      <c r="G1045" s="36" t="str">
        <f t="array" ref="G1045">IF($F1045="","",IFERROR(INDEX(Config!$E:$E,MATCH($F1045,Config!$D:$D,0)),0))</f>
        <v/>
      </c>
      <c r="H1045" s="16"/>
      <c r="I1045" s="36" t="str">
        <f t="shared" si="1"/>
        <v/>
      </c>
      <c r="J1045" s="16"/>
      <c r="K1045" s="15"/>
      <c r="L1045" s="15"/>
      <c r="M1045" s="36" t="str">
        <f t="array" ref="M1045">IF($A1045="","",IF($L1045="Atendido",IFERROR($I1045*INDEX(Config!$B:$B,MATCH($C1045,Config!$A:$A,0)),0),0))</f>
        <v/>
      </c>
      <c r="N1045" s="36" t="str">
        <f t="shared" si="2"/>
        <v/>
      </c>
      <c r="O1045" s="36" t="str">
        <f t="shared" si="3"/>
        <v/>
      </c>
      <c r="P1045" s="15"/>
      <c r="Q1045" s="37" t="str">
        <f t="shared" si="4"/>
        <v/>
      </c>
      <c r="R1045" s="37" t="str">
        <f t="shared" si="5"/>
        <v/>
      </c>
      <c r="S1045" s="32" t="str">
        <f t="shared" si="6"/>
        <v/>
      </c>
      <c r="T1045" s="37" t="str">
        <f t="shared" si="7"/>
        <v/>
      </c>
      <c r="U1045" s="37" t="str">
        <f t="array" ref="U1045">IF($F1045="","",IFERROR(INDEX(Config!$F:$F,MATCH($F1045,Config!$D:$D,0)),0))</f>
        <v/>
      </c>
    </row>
    <row r="1046" ht="15.0" customHeight="1">
      <c r="A1046" s="34"/>
      <c r="B1046" s="35"/>
      <c r="C1046" s="15"/>
      <c r="D1046" s="15"/>
      <c r="E1046" s="15"/>
      <c r="F1046" s="15"/>
      <c r="G1046" s="36" t="str">
        <f t="array" ref="G1046">IF($F1046="","",IFERROR(INDEX(Config!$E:$E,MATCH($F1046,Config!$D:$D,0)),0))</f>
        <v/>
      </c>
      <c r="H1046" s="16"/>
      <c r="I1046" s="36" t="str">
        <f t="shared" si="1"/>
        <v/>
      </c>
      <c r="J1046" s="16"/>
      <c r="K1046" s="15"/>
      <c r="L1046" s="15"/>
      <c r="M1046" s="36" t="str">
        <f t="array" ref="M1046">IF($A1046="","",IF($L1046="Atendido",IFERROR($I1046*INDEX(Config!$B:$B,MATCH($C1046,Config!$A:$A,0)),0),0))</f>
        <v/>
      </c>
      <c r="N1046" s="36" t="str">
        <f t="shared" si="2"/>
        <v/>
      </c>
      <c r="O1046" s="36" t="str">
        <f t="shared" si="3"/>
        <v/>
      </c>
      <c r="P1046" s="15"/>
      <c r="Q1046" s="37" t="str">
        <f t="shared" si="4"/>
        <v/>
      </c>
      <c r="R1046" s="37" t="str">
        <f t="shared" si="5"/>
        <v/>
      </c>
      <c r="S1046" s="32" t="str">
        <f t="shared" si="6"/>
        <v/>
      </c>
      <c r="T1046" s="37" t="str">
        <f t="shared" si="7"/>
        <v/>
      </c>
      <c r="U1046" s="37" t="str">
        <f t="array" ref="U1046">IF($F1046="","",IFERROR(INDEX(Config!$F:$F,MATCH($F1046,Config!$D:$D,0)),0))</f>
        <v/>
      </c>
    </row>
    <row r="1047" ht="15.0" customHeight="1">
      <c r="A1047" s="34"/>
      <c r="B1047" s="35"/>
      <c r="C1047" s="15"/>
      <c r="D1047" s="15"/>
      <c r="E1047" s="15"/>
      <c r="F1047" s="15"/>
      <c r="G1047" s="36" t="str">
        <f t="array" ref="G1047">IF($F1047="","",IFERROR(INDEX(Config!$E:$E,MATCH($F1047,Config!$D:$D,0)),0))</f>
        <v/>
      </c>
      <c r="H1047" s="16"/>
      <c r="I1047" s="36" t="str">
        <f t="shared" si="1"/>
        <v/>
      </c>
      <c r="J1047" s="16"/>
      <c r="K1047" s="15"/>
      <c r="L1047" s="15"/>
      <c r="M1047" s="36" t="str">
        <f t="array" ref="M1047">IF($A1047="","",IF($L1047="Atendido",IFERROR($I1047*INDEX(Config!$B:$B,MATCH($C1047,Config!$A:$A,0)),0),0))</f>
        <v/>
      </c>
      <c r="N1047" s="36" t="str">
        <f t="shared" si="2"/>
        <v/>
      </c>
      <c r="O1047" s="36" t="str">
        <f t="shared" si="3"/>
        <v/>
      </c>
      <c r="P1047" s="15"/>
      <c r="Q1047" s="37" t="str">
        <f t="shared" si="4"/>
        <v/>
      </c>
      <c r="R1047" s="37" t="str">
        <f t="shared" si="5"/>
        <v/>
      </c>
      <c r="S1047" s="32" t="str">
        <f t="shared" si="6"/>
        <v/>
      </c>
      <c r="T1047" s="37" t="str">
        <f t="shared" si="7"/>
        <v/>
      </c>
      <c r="U1047" s="37" t="str">
        <f t="array" ref="U1047">IF($F1047="","",IFERROR(INDEX(Config!$F:$F,MATCH($F1047,Config!$D:$D,0)),0))</f>
        <v/>
      </c>
    </row>
    <row r="1048" ht="15.0" customHeight="1">
      <c r="A1048" s="34"/>
      <c r="B1048" s="35"/>
      <c r="C1048" s="15"/>
      <c r="D1048" s="15"/>
      <c r="E1048" s="15"/>
      <c r="F1048" s="15"/>
      <c r="G1048" s="36" t="str">
        <f t="array" ref="G1048">IF($F1048="","",IFERROR(INDEX(Config!$E:$E,MATCH($F1048,Config!$D:$D,0)),0))</f>
        <v/>
      </c>
      <c r="H1048" s="16"/>
      <c r="I1048" s="36" t="str">
        <f t="shared" si="1"/>
        <v/>
      </c>
      <c r="J1048" s="16"/>
      <c r="K1048" s="15"/>
      <c r="L1048" s="15"/>
      <c r="M1048" s="36" t="str">
        <f t="array" ref="M1048">IF($A1048="","",IF($L1048="Atendido",IFERROR($I1048*INDEX(Config!$B:$B,MATCH($C1048,Config!$A:$A,0)),0),0))</f>
        <v/>
      </c>
      <c r="N1048" s="36" t="str">
        <f t="shared" si="2"/>
        <v/>
      </c>
      <c r="O1048" s="36" t="str">
        <f t="shared" si="3"/>
        <v/>
      </c>
      <c r="P1048" s="15"/>
      <c r="Q1048" s="37" t="str">
        <f t="shared" si="4"/>
        <v/>
      </c>
      <c r="R1048" s="37" t="str">
        <f t="shared" si="5"/>
        <v/>
      </c>
      <c r="S1048" s="32" t="str">
        <f t="shared" si="6"/>
        <v/>
      </c>
      <c r="T1048" s="37" t="str">
        <f t="shared" si="7"/>
        <v/>
      </c>
      <c r="U1048" s="37" t="str">
        <f t="array" ref="U1048">IF($F1048="","",IFERROR(INDEX(Config!$F:$F,MATCH($F1048,Config!$D:$D,0)),0))</f>
        <v/>
      </c>
    </row>
    <row r="1049" ht="15.0" customHeight="1">
      <c r="A1049" s="34"/>
      <c r="B1049" s="35"/>
      <c r="C1049" s="15"/>
      <c r="D1049" s="15"/>
      <c r="E1049" s="15"/>
      <c r="F1049" s="15"/>
      <c r="G1049" s="36" t="str">
        <f t="array" ref="G1049">IF($F1049="","",IFERROR(INDEX(Config!$E:$E,MATCH($F1049,Config!$D:$D,0)),0))</f>
        <v/>
      </c>
      <c r="H1049" s="16"/>
      <c r="I1049" s="36" t="str">
        <f t="shared" si="1"/>
        <v/>
      </c>
      <c r="J1049" s="16"/>
      <c r="K1049" s="15"/>
      <c r="L1049" s="15"/>
      <c r="M1049" s="36" t="str">
        <f t="array" ref="M1049">IF($A1049="","",IF($L1049="Atendido",IFERROR($I1049*INDEX(Config!$B:$B,MATCH($C1049,Config!$A:$A,0)),0),0))</f>
        <v/>
      </c>
      <c r="N1049" s="36" t="str">
        <f t="shared" si="2"/>
        <v/>
      </c>
      <c r="O1049" s="36" t="str">
        <f t="shared" si="3"/>
        <v/>
      </c>
      <c r="P1049" s="15"/>
      <c r="Q1049" s="37" t="str">
        <f t="shared" si="4"/>
        <v/>
      </c>
      <c r="R1049" s="37" t="str">
        <f t="shared" si="5"/>
        <v/>
      </c>
      <c r="S1049" s="32" t="str">
        <f t="shared" si="6"/>
        <v/>
      </c>
      <c r="T1049" s="37" t="str">
        <f t="shared" si="7"/>
        <v/>
      </c>
      <c r="U1049" s="37" t="str">
        <f t="array" ref="U1049">IF($F1049="","",IFERROR(INDEX(Config!$F:$F,MATCH($F1049,Config!$D:$D,0)),0))</f>
        <v/>
      </c>
    </row>
    <row r="1050" ht="15.0" customHeight="1">
      <c r="A1050" s="34"/>
      <c r="B1050" s="35"/>
      <c r="C1050" s="15"/>
      <c r="D1050" s="15"/>
      <c r="E1050" s="15"/>
      <c r="F1050" s="15"/>
      <c r="G1050" s="36" t="str">
        <f t="array" ref="G1050">IF($F1050="","",IFERROR(INDEX(Config!$E:$E,MATCH($F1050,Config!$D:$D,0)),0))</f>
        <v/>
      </c>
      <c r="H1050" s="16"/>
      <c r="I1050" s="36" t="str">
        <f t="shared" si="1"/>
        <v/>
      </c>
      <c r="J1050" s="16"/>
      <c r="K1050" s="15"/>
      <c r="L1050" s="15"/>
      <c r="M1050" s="36" t="str">
        <f t="array" ref="M1050">IF($A1050="","",IF($L1050="Atendido",IFERROR($I1050*INDEX(Config!$B:$B,MATCH($C1050,Config!$A:$A,0)),0),0))</f>
        <v/>
      </c>
      <c r="N1050" s="36" t="str">
        <f t="shared" si="2"/>
        <v/>
      </c>
      <c r="O1050" s="36" t="str">
        <f t="shared" si="3"/>
        <v/>
      </c>
      <c r="P1050" s="15"/>
      <c r="Q1050" s="37" t="str">
        <f t="shared" si="4"/>
        <v/>
      </c>
      <c r="R1050" s="37" t="str">
        <f t="shared" si="5"/>
        <v/>
      </c>
      <c r="S1050" s="32" t="str">
        <f t="shared" si="6"/>
        <v/>
      </c>
      <c r="T1050" s="37" t="str">
        <f t="shared" si="7"/>
        <v/>
      </c>
      <c r="U1050" s="37" t="str">
        <f t="array" ref="U1050">IF($F1050="","",IFERROR(INDEX(Config!$F:$F,MATCH($F1050,Config!$D:$D,0)),0))</f>
        <v/>
      </c>
    </row>
    <row r="1051" ht="15.0" customHeight="1">
      <c r="A1051" s="34"/>
      <c r="B1051" s="35"/>
      <c r="C1051" s="15"/>
      <c r="D1051" s="15"/>
      <c r="E1051" s="15"/>
      <c r="F1051" s="15"/>
      <c r="G1051" s="36" t="str">
        <f t="array" ref="G1051">IF($F1051="","",IFERROR(INDEX(Config!$E:$E,MATCH($F1051,Config!$D:$D,0)),0))</f>
        <v/>
      </c>
      <c r="H1051" s="16"/>
      <c r="I1051" s="36" t="str">
        <f t="shared" si="1"/>
        <v/>
      </c>
      <c r="J1051" s="16"/>
      <c r="K1051" s="15"/>
      <c r="L1051" s="15"/>
      <c r="M1051" s="36" t="str">
        <f t="array" ref="M1051">IF($A1051="","",IF($L1051="Atendido",IFERROR($I1051*INDEX(Config!$B:$B,MATCH($C1051,Config!$A:$A,0)),0),0))</f>
        <v/>
      </c>
      <c r="N1051" s="36" t="str">
        <f t="shared" si="2"/>
        <v/>
      </c>
      <c r="O1051" s="36" t="str">
        <f t="shared" si="3"/>
        <v/>
      </c>
      <c r="P1051" s="15"/>
      <c r="Q1051" s="37" t="str">
        <f t="shared" si="4"/>
        <v/>
      </c>
      <c r="R1051" s="37" t="str">
        <f t="shared" si="5"/>
        <v/>
      </c>
      <c r="S1051" s="32" t="str">
        <f t="shared" si="6"/>
        <v/>
      </c>
      <c r="T1051" s="37" t="str">
        <f t="shared" si="7"/>
        <v/>
      </c>
      <c r="U1051" s="37" t="str">
        <f t="array" ref="U1051">IF($F1051="","",IFERROR(INDEX(Config!$F:$F,MATCH($F1051,Config!$D:$D,0)),0))</f>
        <v/>
      </c>
    </row>
    <row r="1052" ht="15.0" customHeight="1">
      <c r="A1052" s="34"/>
      <c r="B1052" s="35"/>
      <c r="C1052" s="15"/>
      <c r="D1052" s="15"/>
      <c r="E1052" s="15"/>
      <c r="F1052" s="15"/>
      <c r="G1052" s="36" t="str">
        <f t="array" ref="G1052">IF($F1052="","",IFERROR(INDEX(Config!$E:$E,MATCH($F1052,Config!$D:$D,0)),0))</f>
        <v/>
      </c>
      <c r="H1052" s="16"/>
      <c r="I1052" s="36" t="str">
        <f t="shared" si="1"/>
        <v/>
      </c>
      <c r="J1052" s="16"/>
      <c r="K1052" s="15"/>
      <c r="L1052" s="15"/>
      <c r="M1052" s="36" t="str">
        <f t="array" ref="M1052">IF($A1052="","",IF($L1052="Atendido",IFERROR($I1052*INDEX(Config!$B:$B,MATCH($C1052,Config!$A:$A,0)),0),0))</f>
        <v/>
      </c>
      <c r="N1052" s="36" t="str">
        <f t="shared" si="2"/>
        <v/>
      </c>
      <c r="O1052" s="36" t="str">
        <f t="shared" si="3"/>
        <v/>
      </c>
      <c r="P1052" s="15"/>
      <c r="Q1052" s="37" t="str">
        <f t="shared" si="4"/>
        <v/>
      </c>
      <c r="R1052" s="37" t="str">
        <f t="shared" si="5"/>
        <v/>
      </c>
      <c r="S1052" s="32" t="str">
        <f t="shared" si="6"/>
        <v/>
      </c>
      <c r="T1052" s="37" t="str">
        <f t="shared" si="7"/>
        <v/>
      </c>
      <c r="U1052" s="37" t="str">
        <f t="array" ref="U1052">IF($F1052="","",IFERROR(INDEX(Config!$F:$F,MATCH($F1052,Config!$D:$D,0)),0))</f>
        <v/>
      </c>
    </row>
    <row r="1053" ht="15.0" customHeight="1">
      <c r="A1053" s="34"/>
      <c r="B1053" s="35"/>
      <c r="C1053" s="15"/>
      <c r="D1053" s="15"/>
      <c r="E1053" s="15"/>
      <c r="F1053" s="15"/>
      <c r="G1053" s="36" t="str">
        <f t="array" ref="G1053">IF($F1053="","",IFERROR(INDEX(Config!$E:$E,MATCH($F1053,Config!$D:$D,0)),0))</f>
        <v/>
      </c>
      <c r="H1053" s="16"/>
      <c r="I1053" s="36" t="str">
        <f t="shared" si="1"/>
        <v/>
      </c>
      <c r="J1053" s="16"/>
      <c r="K1053" s="15"/>
      <c r="L1053" s="15"/>
      <c r="M1053" s="36" t="str">
        <f t="array" ref="M1053">IF($A1053="","",IF($L1053="Atendido",IFERROR($I1053*INDEX(Config!$B:$B,MATCH($C1053,Config!$A:$A,0)),0),0))</f>
        <v/>
      </c>
      <c r="N1053" s="36" t="str">
        <f t="shared" si="2"/>
        <v/>
      </c>
      <c r="O1053" s="36" t="str">
        <f t="shared" si="3"/>
        <v/>
      </c>
      <c r="P1053" s="15"/>
      <c r="Q1053" s="37" t="str">
        <f t="shared" si="4"/>
        <v/>
      </c>
      <c r="R1053" s="37" t="str">
        <f t="shared" si="5"/>
        <v/>
      </c>
      <c r="S1053" s="32" t="str">
        <f t="shared" si="6"/>
        <v/>
      </c>
      <c r="T1053" s="37" t="str">
        <f t="shared" si="7"/>
        <v/>
      </c>
      <c r="U1053" s="37" t="str">
        <f t="array" ref="U1053">IF($F1053="","",IFERROR(INDEX(Config!$F:$F,MATCH($F1053,Config!$D:$D,0)),0))</f>
        <v/>
      </c>
    </row>
    <row r="1054" ht="15.0" customHeight="1">
      <c r="A1054" s="34"/>
      <c r="B1054" s="35"/>
      <c r="C1054" s="15"/>
      <c r="D1054" s="15"/>
      <c r="E1054" s="15"/>
      <c r="F1054" s="15"/>
      <c r="G1054" s="36" t="str">
        <f t="array" ref="G1054">IF($F1054="","",IFERROR(INDEX(Config!$E:$E,MATCH($F1054,Config!$D:$D,0)),0))</f>
        <v/>
      </c>
      <c r="H1054" s="16"/>
      <c r="I1054" s="36" t="str">
        <f t="shared" si="1"/>
        <v/>
      </c>
      <c r="J1054" s="16"/>
      <c r="K1054" s="15"/>
      <c r="L1054" s="15"/>
      <c r="M1054" s="36" t="str">
        <f t="array" ref="M1054">IF($A1054="","",IF($L1054="Atendido",IFERROR($I1054*INDEX(Config!$B:$B,MATCH($C1054,Config!$A:$A,0)),0),0))</f>
        <v/>
      </c>
      <c r="N1054" s="36" t="str">
        <f t="shared" si="2"/>
        <v/>
      </c>
      <c r="O1054" s="36" t="str">
        <f t="shared" si="3"/>
        <v/>
      </c>
      <c r="P1054" s="15"/>
      <c r="Q1054" s="37" t="str">
        <f t="shared" si="4"/>
        <v/>
      </c>
      <c r="R1054" s="37" t="str">
        <f t="shared" si="5"/>
        <v/>
      </c>
      <c r="S1054" s="32" t="str">
        <f t="shared" si="6"/>
        <v/>
      </c>
      <c r="T1054" s="37" t="str">
        <f t="shared" si="7"/>
        <v/>
      </c>
      <c r="U1054" s="37" t="str">
        <f t="array" ref="U1054">IF($F1054="","",IFERROR(INDEX(Config!$F:$F,MATCH($F1054,Config!$D:$D,0)),0))</f>
        <v/>
      </c>
    </row>
    <row r="1055" ht="15.0" customHeight="1">
      <c r="A1055" s="34"/>
      <c r="B1055" s="35"/>
      <c r="C1055" s="15"/>
      <c r="D1055" s="15"/>
      <c r="E1055" s="15"/>
      <c r="F1055" s="15"/>
      <c r="G1055" s="36" t="str">
        <f t="array" ref="G1055">IF($F1055="","",IFERROR(INDEX(Config!$E:$E,MATCH($F1055,Config!$D:$D,0)),0))</f>
        <v/>
      </c>
      <c r="H1055" s="16"/>
      <c r="I1055" s="36" t="str">
        <f t="shared" si="1"/>
        <v/>
      </c>
      <c r="J1055" s="16"/>
      <c r="K1055" s="15"/>
      <c r="L1055" s="15"/>
      <c r="M1055" s="36" t="str">
        <f t="array" ref="M1055">IF($A1055="","",IF($L1055="Atendido",IFERROR($I1055*INDEX(Config!$B:$B,MATCH($C1055,Config!$A:$A,0)),0),0))</f>
        <v/>
      </c>
      <c r="N1055" s="36" t="str">
        <f t="shared" si="2"/>
        <v/>
      </c>
      <c r="O1055" s="36" t="str">
        <f t="shared" si="3"/>
        <v/>
      </c>
      <c r="P1055" s="15"/>
      <c r="Q1055" s="37" t="str">
        <f t="shared" si="4"/>
        <v/>
      </c>
      <c r="R1055" s="37" t="str">
        <f t="shared" si="5"/>
        <v/>
      </c>
      <c r="S1055" s="32" t="str">
        <f t="shared" si="6"/>
        <v/>
      </c>
      <c r="T1055" s="37" t="str">
        <f t="shared" si="7"/>
        <v/>
      </c>
      <c r="U1055" s="37" t="str">
        <f t="array" ref="U1055">IF($F1055="","",IFERROR(INDEX(Config!$F:$F,MATCH($F1055,Config!$D:$D,0)),0))</f>
        <v/>
      </c>
    </row>
    <row r="1056" ht="15.0" customHeight="1">
      <c r="A1056" s="34"/>
      <c r="B1056" s="35"/>
      <c r="C1056" s="15"/>
      <c r="D1056" s="15"/>
      <c r="E1056" s="15"/>
      <c r="F1056" s="15"/>
      <c r="G1056" s="36" t="str">
        <f t="array" ref="G1056">IF($F1056="","",IFERROR(INDEX(Config!$E:$E,MATCH($F1056,Config!$D:$D,0)),0))</f>
        <v/>
      </c>
      <c r="H1056" s="16"/>
      <c r="I1056" s="36" t="str">
        <f t="shared" si="1"/>
        <v/>
      </c>
      <c r="J1056" s="16"/>
      <c r="K1056" s="15"/>
      <c r="L1056" s="15"/>
      <c r="M1056" s="36" t="str">
        <f t="array" ref="M1056">IF($A1056="","",IF($L1056="Atendido",IFERROR($I1056*INDEX(Config!$B:$B,MATCH($C1056,Config!$A:$A,0)),0),0))</f>
        <v/>
      </c>
      <c r="N1056" s="36" t="str">
        <f t="shared" si="2"/>
        <v/>
      </c>
      <c r="O1056" s="36" t="str">
        <f t="shared" si="3"/>
        <v/>
      </c>
      <c r="P1056" s="15"/>
      <c r="Q1056" s="37" t="str">
        <f t="shared" si="4"/>
        <v/>
      </c>
      <c r="R1056" s="37" t="str">
        <f t="shared" si="5"/>
        <v/>
      </c>
      <c r="S1056" s="32" t="str">
        <f t="shared" si="6"/>
        <v/>
      </c>
      <c r="T1056" s="37" t="str">
        <f t="shared" si="7"/>
        <v/>
      </c>
      <c r="U1056" s="37" t="str">
        <f t="array" ref="U1056">IF($F1056="","",IFERROR(INDEX(Config!$F:$F,MATCH($F1056,Config!$D:$D,0)),0))</f>
        <v/>
      </c>
    </row>
    <row r="1057" ht="15.0" customHeight="1">
      <c r="A1057" s="34"/>
      <c r="B1057" s="35"/>
      <c r="C1057" s="15"/>
      <c r="D1057" s="15"/>
      <c r="E1057" s="15"/>
      <c r="F1057" s="15"/>
      <c r="G1057" s="36" t="str">
        <f t="array" ref="G1057">IF($F1057="","",IFERROR(INDEX(Config!$E:$E,MATCH($F1057,Config!$D:$D,0)),0))</f>
        <v/>
      </c>
      <c r="H1057" s="16"/>
      <c r="I1057" s="36" t="str">
        <f t="shared" si="1"/>
        <v/>
      </c>
      <c r="J1057" s="16"/>
      <c r="K1057" s="15"/>
      <c r="L1057" s="15"/>
      <c r="M1057" s="36" t="str">
        <f t="array" ref="M1057">IF($A1057="","",IF($L1057="Atendido",IFERROR($I1057*INDEX(Config!$B:$B,MATCH($C1057,Config!$A:$A,0)),0),0))</f>
        <v/>
      </c>
      <c r="N1057" s="36" t="str">
        <f t="shared" si="2"/>
        <v/>
      </c>
      <c r="O1057" s="36" t="str">
        <f t="shared" si="3"/>
        <v/>
      </c>
      <c r="P1057" s="15"/>
      <c r="Q1057" s="37" t="str">
        <f t="shared" si="4"/>
        <v/>
      </c>
      <c r="R1057" s="37" t="str">
        <f t="shared" si="5"/>
        <v/>
      </c>
      <c r="S1057" s="32" t="str">
        <f t="shared" si="6"/>
        <v/>
      </c>
      <c r="T1057" s="37" t="str">
        <f t="shared" si="7"/>
        <v/>
      </c>
      <c r="U1057" s="37" t="str">
        <f t="array" ref="U1057">IF($F1057="","",IFERROR(INDEX(Config!$F:$F,MATCH($F1057,Config!$D:$D,0)),0))</f>
        <v/>
      </c>
    </row>
    <row r="1058" ht="15.0" customHeight="1">
      <c r="A1058" s="34"/>
      <c r="B1058" s="35"/>
      <c r="C1058" s="15"/>
      <c r="D1058" s="15"/>
      <c r="E1058" s="15"/>
      <c r="F1058" s="15"/>
      <c r="G1058" s="36" t="str">
        <f t="array" ref="G1058">IF($F1058="","",IFERROR(INDEX(Config!$E:$E,MATCH($F1058,Config!$D:$D,0)),0))</f>
        <v/>
      </c>
      <c r="H1058" s="16"/>
      <c r="I1058" s="36" t="str">
        <f t="shared" si="1"/>
        <v/>
      </c>
      <c r="J1058" s="16"/>
      <c r="K1058" s="15"/>
      <c r="L1058" s="15"/>
      <c r="M1058" s="36" t="str">
        <f t="array" ref="M1058">IF($A1058="","",IF($L1058="Atendido",IFERROR($I1058*INDEX(Config!$B:$B,MATCH($C1058,Config!$A:$A,0)),0),0))</f>
        <v/>
      </c>
      <c r="N1058" s="36" t="str">
        <f t="shared" si="2"/>
        <v/>
      </c>
      <c r="O1058" s="36" t="str">
        <f t="shared" si="3"/>
        <v/>
      </c>
      <c r="P1058" s="15"/>
      <c r="Q1058" s="37" t="str">
        <f t="shared" si="4"/>
        <v/>
      </c>
      <c r="R1058" s="37" t="str">
        <f t="shared" si="5"/>
        <v/>
      </c>
      <c r="S1058" s="32" t="str">
        <f t="shared" si="6"/>
        <v/>
      </c>
      <c r="T1058" s="37" t="str">
        <f t="shared" si="7"/>
        <v/>
      </c>
      <c r="U1058" s="37" t="str">
        <f t="array" ref="U1058">IF($F1058="","",IFERROR(INDEX(Config!$F:$F,MATCH($F1058,Config!$D:$D,0)),0))</f>
        <v/>
      </c>
    </row>
    <row r="1059" ht="15.0" customHeight="1">
      <c r="A1059" s="34"/>
      <c r="B1059" s="35"/>
      <c r="C1059" s="15"/>
      <c r="D1059" s="15"/>
      <c r="E1059" s="15"/>
      <c r="F1059" s="15"/>
      <c r="G1059" s="36" t="str">
        <f t="array" ref="G1059">IF($F1059="","",IFERROR(INDEX(Config!$E:$E,MATCH($F1059,Config!$D:$D,0)),0))</f>
        <v/>
      </c>
      <c r="H1059" s="16"/>
      <c r="I1059" s="36" t="str">
        <f t="shared" si="1"/>
        <v/>
      </c>
      <c r="J1059" s="16"/>
      <c r="K1059" s="15"/>
      <c r="L1059" s="15"/>
      <c r="M1059" s="36" t="str">
        <f t="array" ref="M1059">IF($A1059="","",IF($L1059="Atendido",IFERROR($I1059*INDEX(Config!$B:$B,MATCH($C1059,Config!$A:$A,0)),0),0))</f>
        <v/>
      </c>
      <c r="N1059" s="36" t="str">
        <f t="shared" si="2"/>
        <v/>
      </c>
      <c r="O1059" s="36" t="str">
        <f t="shared" si="3"/>
        <v/>
      </c>
      <c r="P1059" s="15"/>
      <c r="Q1059" s="37" t="str">
        <f t="shared" si="4"/>
        <v/>
      </c>
      <c r="R1059" s="37" t="str">
        <f t="shared" si="5"/>
        <v/>
      </c>
      <c r="S1059" s="32" t="str">
        <f t="shared" si="6"/>
        <v/>
      </c>
      <c r="T1059" s="37" t="str">
        <f t="shared" si="7"/>
        <v/>
      </c>
      <c r="U1059" s="37" t="str">
        <f t="array" ref="U1059">IF($F1059="","",IFERROR(INDEX(Config!$F:$F,MATCH($F1059,Config!$D:$D,0)),0))</f>
        <v/>
      </c>
    </row>
    <row r="1060" ht="15.0" customHeight="1">
      <c r="A1060" s="34"/>
      <c r="B1060" s="35"/>
      <c r="C1060" s="15"/>
      <c r="D1060" s="15"/>
      <c r="E1060" s="15"/>
      <c r="F1060" s="15"/>
      <c r="G1060" s="36" t="str">
        <f t="array" ref="G1060">IF($F1060="","",IFERROR(INDEX(Config!$E:$E,MATCH($F1060,Config!$D:$D,0)),0))</f>
        <v/>
      </c>
      <c r="H1060" s="16"/>
      <c r="I1060" s="36" t="str">
        <f t="shared" si="1"/>
        <v/>
      </c>
      <c r="J1060" s="16"/>
      <c r="K1060" s="15"/>
      <c r="L1060" s="15"/>
      <c r="M1060" s="36" t="str">
        <f t="array" ref="M1060">IF($A1060="","",IF($L1060="Atendido",IFERROR($I1060*INDEX(Config!$B:$B,MATCH($C1060,Config!$A:$A,0)),0),0))</f>
        <v/>
      </c>
      <c r="N1060" s="36" t="str">
        <f t="shared" si="2"/>
        <v/>
      </c>
      <c r="O1060" s="36" t="str">
        <f t="shared" si="3"/>
        <v/>
      </c>
      <c r="P1060" s="15"/>
      <c r="Q1060" s="37" t="str">
        <f t="shared" si="4"/>
        <v/>
      </c>
      <c r="R1060" s="37" t="str">
        <f t="shared" si="5"/>
        <v/>
      </c>
      <c r="S1060" s="32" t="str">
        <f t="shared" si="6"/>
        <v/>
      </c>
      <c r="T1060" s="37" t="str">
        <f t="shared" si="7"/>
        <v/>
      </c>
      <c r="U1060" s="37" t="str">
        <f t="array" ref="U1060">IF($F1060="","",IFERROR(INDEX(Config!$F:$F,MATCH($F1060,Config!$D:$D,0)),0))</f>
        <v/>
      </c>
    </row>
    <row r="1061" ht="15.0" customHeight="1">
      <c r="A1061" s="34"/>
      <c r="B1061" s="35"/>
      <c r="C1061" s="15"/>
      <c r="D1061" s="15"/>
      <c r="E1061" s="15"/>
      <c r="F1061" s="15"/>
      <c r="G1061" s="36" t="str">
        <f t="array" ref="G1061">IF($F1061="","",IFERROR(INDEX(Config!$E:$E,MATCH($F1061,Config!$D:$D,0)),0))</f>
        <v/>
      </c>
      <c r="H1061" s="16"/>
      <c r="I1061" s="36" t="str">
        <f t="shared" si="1"/>
        <v/>
      </c>
      <c r="J1061" s="16"/>
      <c r="K1061" s="15"/>
      <c r="L1061" s="15"/>
      <c r="M1061" s="36" t="str">
        <f t="array" ref="M1061">IF($A1061="","",IF($L1061="Atendido",IFERROR($I1061*INDEX(Config!$B:$B,MATCH($C1061,Config!$A:$A,0)),0),0))</f>
        <v/>
      </c>
      <c r="N1061" s="36" t="str">
        <f t="shared" si="2"/>
        <v/>
      </c>
      <c r="O1061" s="36" t="str">
        <f t="shared" si="3"/>
        <v/>
      </c>
      <c r="P1061" s="15"/>
      <c r="Q1061" s="37" t="str">
        <f t="shared" si="4"/>
        <v/>
      </c>
      <c r="R1061" s="37" t="str">
        <f t="shared" si="5"/>
        <v/>
      </c>
      <c r="S1061" s="32" t="str">
        <f t="shared" si="6"/>
        <v/>
      </c>
      <c r="T1061" s="37" t="str">
        <f t="shared" si="7"/>
        <v/>
      </c>
      <c r="U1061" s="37" t="str">
        <f t="array" ref="U1061">IF($F1061="","",IFERROR(INDEX(Config!$F:$F,MATCH($F1061,Config!$D:$D,0)),0))</f>
        <v/>
      </c>
    </row>
    <row r="1062" ht="15.0" customHeight="1">
      <c r="A1062" s="34"/>
      <c r="B1062" s="35"/>
      <c r="C1062" s="15"/>
      <c r="D1062" s="15"/>
      <c r="E1062" s="15"/>
      <c r="F1062" s="15"/>
      <c r="G1062" s="36" t="str">
        <f t="array" ref="G1062">IF($F1062="","",IFERROR(INDEX(Config!$E:$E,MATCH($F1062,Config!$D:$D,0)),0))</f>
        <v/>
      </c>
      <c r="H1062" s="16"/>
      <c r="I1062" s="36" t="str">
        <f t="shared" si="1"/>
        <v/>
      </c>
      <c r="J1062" s="16"/>
      <c r="K1062" s="15"/>
      <c r="L1062" s="15"/>
      <c r="M1062" s="36" t="str">
        <f t="array" ref="M1062">IF($A1062="","",IF($L1062="Atendido",IFERROR($I1062*INDEX(Config!$B:$B,MATCH($C1062,Config!$A:$A,0)),0),0))</f>
        <v/>
      </c>
      <c r="N1062" s="36" t="str">
        <f t="shared" si="2"/>
        <v/>
      </c>
      <c r="O1062" s="36" t="str">
        <f t="shared" si="3"/>
        <v/>
      </c>
      <c r="P1062" s="15"/>
      <c r="Q1062" s="37" t="str">
        <f t="shared" si="4"/>
        <v/>
      </c>
      <c r="R1062" s="37" t="str">
        <f t="shared" si="5"/>
        <v/>
      </c>
      <c r="S1062" s="32" t="str">
        <f t="shared" si="6"/>
        <v/>
      </c>
      <c r="T1062" s="37" t="str">
        <f t="shared" si="7"/>
        <v/>
      </c>
      <c r="U1062" s="37" t="str">
        <f t="array" ref="U1062">IF($F1062="","",IFERROR(INDEX(Config!$F:$F,MATCH($F1062,Config!$D:$D,0)),0))</f>
        <v/>
      </c>
    </row>
    <row r="1063" ht="15.0" customHeight="1">
      <c r="A1063" s="34"/>
      <c r="B1063" s="35"/>
      <c r="C1063" s="15"/>
      <c r="D1063" s="15"/>
      <c r="E1063" s="15"/>
      <c r="F1063" s="15"/>
      <c r="G1063" s="36" t="str">
        <f t="array" ref="G1063">IF($F1063="","",IFERROR(INDEX(Config!$E:$E,MATCH($F1063,Config!$D:$D,0)),0))</f>
        <v/>
      </c>
      <c r="H1063" s="16"/>
      <c r="I1063" s="36" t="str">
        <f t="shared" si="1"/>
        <v/>
      </c>
      <c r="J1063" s="16"/>
      <c r="K1063" s="15"/>
      <c r="L1063" s="15"/>
      <c r="M1063" s="36" t="str">
        <f t="array" ref="M1063">IF($A1063="","",IF($L1063="Atendido",IFERROR($I1063*INDEX(Config!$B:$B,MATCH($C1063,Config!$A:$A,0)),0),0))</f>
        <v/>
      </c>
      <c r="N1063" s="36" t="str">
        <f t="shared" si="2"/>
        <v/>
      </c>
      <c r="O1063" s="36" t="str">
        <f t="shared" si="3"/>
        <v/>
      </c>
      <c r="P1063" s="15"/>
      <c r="Q1063" s="37" t="str">
        <f t="shared" si="4"/>
        <v/>
      </c>
      <c r="R1063" s="37" t="str">
        <f t="shared" si="5"/>
        <v/>
      </c>
      <c r="S1063" s="32" t="str">
        <f t="shared" si="6"/>
        <v/>
      </c>
      <c r="T1063" s="37" t="str">
        <f t="shared" si="7"/>
        <v/>
      </c>
      <c r="U1063" s="37" t="str">
        <f t="array" ref="U1063">IF($F1063="","",IFERROR(INDEX(Config!$F:$F,MATCH($F1063,Config!$D:$D,0)),0))</f>
        <v/>
      </c>
    </row>
    <row r="1064" ht="15.0" customHeight="1">
      <c r="A1064" s="34"/>
      <c r="B1064" s="35"/>
      <c r="C1064" s="15"/>
      <c r="D1064" s="15"/>
      <c r="E1064" s="15"/>
      <c r="F1064" s="15"/>
      <c r="G1064" s="36" t="str">
        <f t="array" ref="G1064">IF($F1064="","",IFERROR(INDEX(Config!$E:$E,MATCH($F1064,Config!$D:$D,0)),0))</f>
        <v/>
      </c>
      <c r="H1064" s="16"/>
      <c r="I1064" s="36" t="str">
        <f t="shared" si="1"/>
        <v/>
      </c>
      <c r="J1064" s="16"/>
      <c r="K1064" s="15"/>
      <c r="L1064" s="15"/>
      <c r="M1064" s="36" t="str">
        <f t="array" ref="M1064">IF($A1064="","",IF($L1064="Atendido",IFERROR($I1064*INDEX(Config!$B:$B,MATCH($C1064,Config!$A:$A,0)),0),0))</f>
        <v/>
      </c>
      <c r="N1064" s="36" t="str">
        <f t="shared" si="2"/>
        <v/>
      </c>
      <c r="O1064" s="36" t="str">
        <f t="shared" si="3"/>
        <v/>
      </c>
      <c r="P1064" s="15"/>
      <c r="Q1064" s="37" t="str">
        <f t="shared" si="4"/>
        <v/>
      </c>
      <c r="R1064" s="37" t="str">
        <f t="shared" si="5"/>
        <v/>
      </c>
      <c r="S1064" s="32" t="str">
        <f t="shared" si="6"/>
        <v/>
      </c>
      <c r="T1064" s="37" t="str">
        <f t="shared" si="7"/>
        <v/>
      </c>
      <c r="U1064" s="37" t="str">
        <f t="array" ref="U1064">IF($F1064="","",IFERROR(INDEX(Config!$F:$F,MATCH($F1064,Config!$D:$D,0)),0))</f>
        <v/>
      </c>
    </row>
    <row r="1065" ht="15.0" customHeight="1">
      <c r="A1065" s="34"/>
      <c r="B1065" s="35"/>
      <c r="C1065" s="15"/>
      <c r="D1065" s="15"/>
      <c r="E1065" s="15"/>
      <c r="F1065" s="15"/>
      <c r="G1065" s="36" t="str">
        <f t="array" ref="G1065">IF($F1065="","",IFERROR(INDEX(Config!$E:$E,MATCH($F1065,Config!$D:$D,0)),0))</f>
        <v/>
      </c>
      <c r="H1065" s="16"/>
      <c r="I1065" s="36" t="str">
        <f t="shared" si="1"/>
        <v/>
      </c>
      <c r="J1065" s="16"/>
      <c r="K1065" s="15"/>
      <c r="L1065" s="15"/>
      <c r="M1065" s="36" t="str">
        <f t="array" ref="M1065">IF($A1065="","",IF($L1065="Atendido",IFERROR($I1065*INDEX(Config!$B:$B,MATCH($C1065,Config!$A:$A,0)),0),0))</f>
        <v/>
      </c>
      <c r="N1065" s="36" t="str">
        <f t="shared" si="2"/>
        <v/>
      </c>
      <c r="O1065" s="36" t="str">
        <f t="shared" si="3"/>
        <v/>
      </c>
      <c r="P1065" s="15"/>
      <c r="Q1065" s="37" t="str">
        <f t="shared" si="4"/>
        <v/>
      </c>
      <c r="R1065" s="37" t="str">
        <f t="shared" si="5"/>
        <v/>
      </c>
      <c r="S1065" s="32" t="str">
        <f t="shared" si="6"/>
        <v/>
      </c>
      <c r="T1065" s="37" t="str">
        <f t="shared" si="7"/>
        <v/>
      </c>
      <c r="U1065" s="37" t="str">
        <f t="array" ref="U1065">IF($F1065="","",IFERROR(INDEX(Config!$F:$F,MATCH($F1065,Config!$D:$D,0)),0))</f>
        <v/>
      </c>
    </row>
    <row r="1066" ht="15.0" customHeight="1">
      <c r="A1066" s="34"/>
      <c r="B1066" s="35"/>
      <c r="C1066" s="15"/>
      <c r="D1066" s="15"/>
      <c r="E1066" s="15"/>
      <c r="F1066" s="15"/>
      <c r="G1066" s="36" t="str">
        <f t="array" ref="G1066">IF($F1066="","",IFERROR(INDEX(Config!$E:$E,MATCH($F1066,Config!$D:$D,0)),0))</f>
        <v/>
      </c>
      <c r="H1066" s="16"/>
      <c r="I1066" s="36" t="str">
        <f t="shared" si="1"/>
        <v/>
      </c>
      <c r="J1066" s="16"/>
      <c r="K1066" s="15"/>
      <c r="L1066" s="15"/>
      <c r="M1066" s="36" t="str">
        <f t="array" ref="M1066">IF($A1066="","",IF($L1066="Atendido",IFERROR($I1066*INDEX(Config!$B:$B,MATCH($C1066,Config!$A:$A,0)),0),0))</f>
        <v/>
      </c>
      <c r="N1066" s="36" t="str">
        <f t="shared" si="2"/>
        <v/>
      </c>
      <c r="O1066" s="36" t="str">
        <f t="shared" si="3"/>
        <v/>
      </c>
      <c r="P1066" s="15"/>
      <c r="Q1066" s="37" t="str">
        <f t="shared" si="4"/>
        <v/>
      </c>
      <c r="R1066" s="37" t="str">
        <f t="shared" si="5"/>
        <v/>
      </c>
      <c r="S1066" s="32" t="str">
        <f t="shared" si="6"/>
        <v/>
      </c>
      <c r="T1066" s="37" t="str">
        <f t="shared" si="7"/>
        <v/>
      </c>
      <c r="U1066" s="37" t="str">
        <f t="array" ref="U1066">IF($F1066="","",IFERROR(INDEX(Config!$F:$F,MATCH($F1066,Config!$D:$D,0)),0))</f>
        <v/>
      </c>
    </row>
    <row r="1067" ht="15.0" customHeight="1">
      <c r="A1067" s="34"/>
      <c r="B1067" s="35"/>
      <c r="C1067" s="15"/>
      <c r="D1067" s="15"/>
      <c r="E1067" s="15"/>
      <c r="F1067" s="15"/>
      <c r="G1067" s="36" t="str">
        <f t="array" ref="G1067">IF($F1067="","",IFERROR(INDEX(Config!$E:$E,MATCH($F1067,Config!$D:$D,0)),0))</f>
        <v/>
      </c>
      <c r="H1067" s="16"/>
      <c r="I1067" s="36" t="str">
        <f t="shared" si="1"/>
        <v/>
      </c>
      <c r="J1067" s="16"/>
      <c r="K1067" s="15"/>
      <c r="L1067" s="15"/>
      <c r="M1067" s="36" t="str">
        <f t="array" ref="M1067">IF($A1067="","",IF($L1067="Atendido",IFERROR($I1067*INDEX(Config!$B:$B,MATCH($C1067,Config!$A:$A,0)),0),0))</f>
        <v/>
      </c>
      <c r="N1067" s="36" t="str">
        <f t="shared" si="2"/>
        <v/>
      </c>
      <c r="O1067" s="36" t="str">
        <f t="shared" si="3"/>
        <v/>
      </c>
      <c r="P1067" s="15"/>
      <c r="Q1067" s="37" t="str">
        <f t="shared" si="4"/>
        <v/>
      </c>
      <c r="R1067" s="37" t="str">
        <f t="shared" si="5"/>
        <v/>
      </c>
      <c r="S1067" s="32" t="str">
        <f t="shared" si="6"/>
        <v/>
      </c>
      <c r="T1067" s="37" t="str">
        <f t="shared" si="7"/>
        <v/>
      </c>
      <c r="U1067" s="37" t="str">
        <f t="array" ref="U1067">IF($F1067="","",IFERROR(INDEX(Config!$F:$F,MATCH($F1067,Config!$D:$D,0)),0))</f>
        <v/>
      </c>
    </row>
    <row r="1068" ht="15.0" customHeight="1">
      <c r="A1068" s="34"/>
      <c r="B1068" s="35"/>
      <c r="C1068" s="15"/>
      <c r="D1068" s="15"/>
      <c r="E1068" s="15"/>
      <c r="F1068" s="15"/>
      <c r="G1068" s="36" t="str">
        <f t="array" ref="G1068">IF($F1068="","",IFERROR(INDEX(Config!$E:$E,MATCH($F1068,Config!$D:$D,0)),0))</f>
        <v/>
      </c>
      <c r="H1068" s="16"/>
      <c r="I1068" s="36" t="str">
        <f t="shared" si="1"/>
        <v/>
      </c>
      <c r="J1068" s="16"/>
      <c r="K1068" s="15"/>
      <c r="L1068" s="15"/>
      <c r="M1068" s="36" t="str">
        <f t="array" ref="M1068">IF($A1068="","",IF($L1068="Atendido",IFERROR($I1068*INDEX(Config!$B:$B,MATCH($C1068,Config!$A:$A,0)),0),0))</f>
        <v/>
      </c>
      <c r="N1068" s="36" t="str">
        <f t="shared" si="2"/>
        <v/>
      </c>
      <c r="O1068" s="36" t="str">
        <f t="shared" si="3"/>
        <v/>
      </c>
      <c r="P1068" s="15"/>
      <c r="Q1068" s="37" t="str">
        <f t="shared" si="4"/>
        <v/>
      </c>
      <c r="R1068" s="37" t="str">
        <f t="shared" si="5"/>
        <v/>
      </c>
      <c r="S1068" s="32" t="str">
        <f t="shared" si="6"/>
        <v/>
      </c>
      <c r="T1068" s="37" t="str">
        <f t="shared" si="7"/>
        <v/>
      </c>
      <c r="U1068" s="37" t="str">
        <f t="array" ref="U1068">IF($F1068="","",IFERROR(INDEX(Config!$F:$F,MATCH($F1068,Config!$D:$D,0)),0))</f>
        <v/>
      </c>
    </row>
    <row r="1069" ht="15.0" customHeight="1">
      <c r="A1069" s="34"/>
      <c r="B1069" s="35"/>
      <c r="C1069" s="15"/>
      <c r="D1069" s="15"/>
      <c r="E1069" s="15"/>
      <c r="F1069" s="15"/>
      <c r="G1069" s="36" t="str">
        <f t="array" ref="G1069">IF($F1069="","",IFERROR(INDEX(Config!$E:$E,MATCH($F1069,Config!$D:$D,0)),0))</f>
        <v/>
      </c>
      <c r="H1069" s="16"/>
      <c r="I1069" s="36" t="str">
        <f t="shared" si="1"/>
        <v/>
      </c>
      <c r="J1069" s="16"/>
      <c r="K1069" s="15"/>
      <c r="L1069" s="15"/>
      <c r="M1069" s="36" t="str">
        <f t="array" ref="M1069">IF($A1069="","",IF($L1069="Atendido",IFERROR($I1069*INDEX(Config!$B:$B,MATCH($C1069,Config!$A:$A,0)),0),0))</f>
        <v/>
      </c>
      <c r="N1069" s="36" t="str">
        <f t="shared" si="2"/>
        <v/>
      </c>
      <c r="O1069" s="36" t="str">
        <f t="shared" si="3"/>
        <v/>
      </c>
      <c r="P1069" s="15"/>
      <c r="Q1069" s="37" t="str">
        <f t="shared" si="4"/>
        <v/>
      </c>
      <c r="R1069" s="37" t="str">
        <f t="shared" si="5"/>
        <v/>
      </c>
      <c r="S1069" s="32" t="str">
        <f t="shared" si="6"/>
        <v/>
      </c>
      <c r="T1069" s="37" t="str">
        <f t="shared" si="7"/>
        <v/>
      </c>
      <c r="U1069" s="37" t="str">
        <f t="array" ref="U1069">IF($F1069="","",IFERROR(INDEX(Config!$F:$F,MATCH($F1069,Config!$D:$D,0)),0))</f>
        <v/>
      </c>
    </row>
    <row r="1070" ht="15.0" customHeight="1">
      <c r="A1070" s="34"/>
      <c r="B1070" s="35"/>
      <c r="C1070" s="15"/>
      <c r="D1070" s="15"/>
      <c r="E1070" s="15"/>
      <c r="F1070" s="15"/>
      <c r="G1070" s="36" t="str">
        <f t="array" ref="G1070">IF($F1070="","",IFERROR(INDEX(Config!$E:$E,MATCH($F1070,Config!$D:$D,0)),0))</f>
        <v/>
      </c>
      <c r="H1070" s="16"/>
      <c r="I1070" s="36" t="str">
        <f t="shared" si="1"/>
        <v/>
      </c>
      <c r="J1070" s="16"/>
      <c r="K1070" s="15"/>
      <c r="L1070" s="15"/>
      <c r="M1070" s="36" t="str">
        <f t="array" ref="M1070">IF($A1070="","",IF($L1070="Atendido",IFERROR($I1070*INDEX(Config!$B:$B,MATCH($C1070,Config!$A:$A,0)),0),0))</f>
        <v/>
      </c>
      <c r="N1070" s="36" t="str">
        <f t="shared" si="2"/>
        <v/>
      </c>
      <c r="O1070" s="36" t="str">
        <f t="shared" si="3"/>
        <v/>
      </c>
      <c r="P1070" s="15"/>
      <c r="Q1070" s="37" t="str">
        <f t="shared" si="4"/>
        <v/>
      </c>
      <c r="R1070" s="37" t="str">
        <f t="shared" si="5"/>
        <v/>
      </c>
      <c r="S1070" s="32" t="str">
        <f t="shared" si="6"/>
        <v/>
      </c>
      <c r="T1070" s="37" t="str">
        <f t="shared" si="7"/>
        <v/>
      </c>
      <c r="U1070" s="37" t="str">
        <f t="array" ref="U1070">IF($F1070="","",IFERROR(INDEX(Config!$F:$F,MATCH($F1070,Config!$D:$D,0)),0))</f>
        <v/>
      </c>
    </row>
    <row r="1071" ht="15.0" customHeight="1">
      <c r="A1071" s="34"/>
      <c r="B1071" s="35"/>
      <c r="C1071" s="15"/>
      <c r="D1071" s="15"/>
      <c r="E1071" s="15"/>
      <c r="F1071" s="15"/>
      <c r="G1071" s="36" t="str">
        <f t="array" ref="G1071">IF($F1071="","",IFERROR(INDEX(Config!$E:$E,MATCH($F1071,Config!$D:$D,0)),0))</f>
        <v/>
      </c>
      <c r="H1071" s="16"/>
      <c r="I1071" s="36" t="str">
        <f t="shared" si="1"/>
        <v/>
      </c>
      <c r="J1071" s="16"/>
      <c r="K1071" s="15"/>
      <c r="L1071" s="15"/>
      <c r="M1071" s="36" t="str">
        <f t="array" ref="M1071">IF($A1071="","",IF($L1071="Atendido",IFERROR($I1071*INDEX(Config!$B:$B,MATCH($C1071,Config!$A:$A,0)),0),0))</f>
        <v/>
      </c>
      <c r="N1071" s="36" t="str">
        <f t="shared" si="2"/>
        <v/>
      </c>
      <c r="O1071" s="36" t="str">
        <f t="shared" si="3"/>
        <v/>
      </c>
      <c r="P1071" s="15"/>
      <c r="Q1071" s="37" t="str">
        <f t="shared" si="4"/>
        <v/>
      </c>
      <c r="R1071" s="37" t="str">
        <f t="shared" si="5"/>
        <v/>
      </c>
      <c r="S1071" s="32" t="str">
        <f t="shared" si="6"/>
        <v/>
      </c>
      <c r="T1071" s="37" t="str">
        <f t="shared" si="7"/>
        <v/>
      </c>
      <c r="U1071" s="37" t="str">
        <f t="array" ref="U1071">IF($F1071="","",IFERROR(INDEX(Config!$F:$F,MATCH($F1071,Config!$D:$D,0)),0))</f>
        <v/>
      </c>
    </row>
    <row r="1072" ht="15.0" customHeight="1">
      <c r="A1072" s="34"/>
      <c r="B1072" s="35"/>
      <c r="C1072" s="15"/>
      <c r="D1072" s="15"/>
      <c r="E1072" s="15"/>
      <c r="F1072" s="15"/>
      <c r="G1072" s="36" t="str">
        <f t="array" ref="G1072">IF($F1072="","",IFERROR(INDEX(Config!$E:$E,MATCH($F1072,Config!$D:$D,0)),0))</f>
        <v/>
      </c>
      <c r="H1072" s="16"/>
      <c r="I1072" s="36" t="str">
        <f t="shared" si="1"/>
        <v/>
      </c>
      <c r="J1072" s="16"/>
      <c r="K1072" s="15"/>
      <c r="L1072" s="15"/>
      <c r="M1072" s="36" t="str">
        <f t="array" ref="M1072">IF($A1072="","",IF($L1072="Atendido",IFERROR($I1072*INDEX(Config!$B:$B,MATCH($C1072,Config!$A:$A,0)),0),0))</f>
        <v/>
      </c>
      <c r="N1072" s="36" t="str">
        <f t="shared" si="2"/>
        <v/>
      </c>
      <c r="O1072" s="36" t="str">
        <f t="shared" si="3"/>
        <v/>
      </c>
      <c r="P1072" s="15"/>
      <c r="Q1072" s="37" t="str">
        <f t="shared" si="4"/>
        <v/>
      </c>
      <c r="R1072" s="37" t="str">
        <f t="shared" si="5"/>
        <v/>
      </c>
      <c r="S1072" s="32" t="str">
        <f t="shared" si="6"/>
        <v/>
      </c>
      <c r="T1072" s="37" t="str">
        <f t="shared" si="7"/>
        <v/>
      </c>
      <c r="U1072" s="37" t="str">
        <f t="array" ref="U1072">IF($F1072="","",IFERROR(INDEX(Config!$F:$F,MATCH($F1072,Config!$D:$D,0)),0))</f>
        <v/>
      </c>
    </row>
    <row r="1073" ht="15.0" customHeight="1">
      <c r="A1073" s="34"/>
      <c r="B1073" s="35"/>
      <c r="C1073" s="15"/>
      <c r="D1073" s="15"/>
      <c r="E1073" s="15"/>
      <c r="F1073" s="15"/>
      <c r="G1073" s="36" t="str">
        <f t="array" ref="G1073">IF($F1073="","",IFERROR(INDEX(Config!$E:$E,MATCH($F1073,Config!$D:$D,0)),0))</f>
        <v/>
      </c>
      <c r="H1073" s="16"/>
      <c r="I1073" s="36" t="str">
        <f t="shared" si="1"/>
        <v/>
      </c>
      <c r="J1073" s="16"/>
      <c r="K1073" s="15"/>
      <c r="L1073" s="15"/>
      <c r="M1073" s="36" t="str">
        <f t="array" ref="M1073">IF($A1073="","",IF($L1073="Atendido",IFERROR($I1073*INDEX(Config!$B:$B,MATCH($C1073,Config!$A:$A,0)),0),0))</f>
        <v/>
      </c>
      <c r="N1073" s="36" t="str">
        <f t="shared" si="2"/>
        <v/>
      </c>
      <c r="O1073" s="36" t="str">
        <f t="shared" si="3"/>
        <v/>
      </c>
      <c r="P1073" s="15"/>
      <c r="Q1073" s="37" t="str">
        <f t="shared" si="4"/>
        <v/>
      </c>
      <c r="R1073" s="37" t="str">
        <f t="shared" si="5"/>
        <v/>
      </c>
      <c r="S1073" s="32" t="str">
        <f t="shared" si="6"/>
        <v/>
      </c>
      <c r="T1073" s="37" t="str">
        <f t="shared" si="7"/>
        <v/>
      </c>
      <c r="U1073" s="37" t="str">
        <f t="array" ref="U1073">IF($F1073="","",IFERROR(INDEX(Config!$F:$F,MATCH($F1073,Config!$D:$D,0)),0))</f>
        <v/>
      </c>
    </row>
    <row r="1074" ht="15.0" customHeight="1">
      <c r="A1074" s="34"/>
      <c r="B1074" s="35"/>
      <c r="C1074" s="15"/>
      <c r="D1074" s="15"/>
      <c r="E1074" s="15"/>
      <c r="F1074" s="15"/>
      <c r="G1074" s="36" t="str">
        <f t="array" ref="G1074">IF($F1074="","",IFERROR(INDEX(Config!$E:$E,MATCH($F1074,Config!$D:$D,0)),0))</f>
        <v/>
      </c>
      <c r="H1074" s="16"/>
      <c r="I1074" s="36" t="str">
        <f t="shared" si="1"/>
        <v/>
      </c>
      <c r="J1074" s="16"/>
      <c r="K1074" s="15"/>
      <c r="L1074" s="15"/>
      <c r="M1074" s="36" t="str">
        <f t="array" ref="M1074">IF($A1074="","",IF($L1074="Atendido",IFERROR($I1074*INDEX(Config!$B:$B,MATCH($C1074,Config!$A:$A,0)),0),0))</f>
        <v/>
      </c>
      <c r="N1074" s="36" t="str">
        <f t="shared" si="2"/>
        <v/>
      </c>
      <c r="O1074" s="36" t="str">
        <f t="shared" si="3"/>
        <v/>
      </c>
      <c r="P1074" s="15"/>
      <c r="Q1074" s="37" t="str">
        <f t="shared" si="4"/>
        <v/>
      </c>
      <c r="R1074" s="37" t="str">
        <f t="shared" si="5"/>
        <v/>
      </c>
      <c r="S1074" s="32" t="str">
        <f t="shared" si="6"/>
        <v/>
      </c>
      <c r="T1074" s="37" t="str">
        <f t="shared" si="7"/>
        <v/>
      </c>
      <c r="U1074" s="37" t="str">
        <f t="array" ref="U1074">IF($F1074="","",IFERROR(INDEX(Config!$F:$F,MATCH($F1074,Config!$D:$D,0)),0))</f>
        <v/>
      </c>
    </row>
    <row r="1075" ht="15.0" customHeight="1">
      <c r="A1075" s="34"/>
      <c r="B1075" s="35"/>
      <c r="C1075" s="15"/>
      <c r="D1075" s="15"/>
      <c r="E1075" s="15"/>
      <c r="F1075" s="15"/>
      <c r="G1075" s="36" t="str">
        <f t="array" ref="G1075">IF($F1075="","",IFERROR(INDEX(Config!$E:$E,MATCH($F1075,Config!$D:$D,0)),0))</f>
        <v/>
      </c>
      <c r="H1075" s="16"/>
      <c r="I1075" s="36" t="str">
        <f t="shared" si="1"/>
        <v/>
      </c>
      <c r="J1075" s="16"/>
      <c r="K1075" s="15"/>
      <c r="L1075" s="15"/>
      <c r="M1075" s="36" t="str">
        <f t="array" ref="M1075">IF($A1075="","",IF($L1075="Atendido",IFERROR($I1075*INDEX(Config!$B:$B,MATCH($C1075,Config!$A:$A,0)),0),0))</f>
        <v/>
      </c>
      <c r="N1075" s="36" t="str">
        <f t="shared" si="2"/>
        <v/>
      </c>
      <c r="O1075" s="36" t="str">
        <f t="shared" si="3"/>
        <v/>
      </c>
      <c r="P1075" s="15"/>
      <c r="Q1075" s="37" t="str">
        <f t="shared" si="4"/>
        <v/>
      </c>
      <c r="R1075" s="37" t="str">
        <f t="shared" si="5"/>
        <v/>
      </c>
      <c r="S1075" s="32" t="str">
        <f t="shared" si="6"/>
        <v/>
      </c>
      <c r="T1075" s="37" t="str">
        <f t="shared" si="7"/>
        <v/>
      </c>
      <c r="U1075" s="37" t="str">
        <f t="array" ref="U1075">IF($F1075="","",IFERROR(INDEX(Config!$F:$F,MATCH($F1075,Config!$D:$D,0)),0))</f>
        <v/>
      </c>
    </row>
    <row r="1076" ht="15.0" customHeight="1">
      <c r="A1076" s="34"/>
      <c r="B1076" s="35"/>
      <c r="C1076" s="15"/>
      <c r="D1076" s="15"/>
      <c r="E1076" s="15"/>
      <c r="F1076" s="15"/>
      <c r="G1076" s="36" t="str">
        <f t="array" ref="G1076">IF($F1076="","",IFERROR(INDEX(Config!$E:$E,MATCH($F1076,Config!$D:$D,0)),0))</f>
        <v/>
      </c>
      <c r="H1076" s="16"/>
      <c r="I1076" s="36" t="str">
        <f t="shared" si="1"/>
        <v/>
      </c>
      <c r="J1076" s="16"/>
      <c r="K1076" s="15"/>
      <c r="L1076" s="15"/>
      <c r="M1076" s="36" t="str">
        <f t="array" ref="M1076">IF($A1076="","",IF($L1076="Atendido",IFERROR($I1076*INDEX(Config!$B:$B,MATCH($C1076,Config!$A:$A,0)),0),0))</f>
        <v/>
      </c>
      <c r="N1076" s="36" t="str">
        <f t="shared" si="2"/>
        <v/>
      </c>
      <c r="O1076" s="36" t="str">
        <f t="shared" si="3"/>
        <v/>
      </c>
      <c r="P1076" s="15"/>
      <c r="Q1076" s="37" t="str">
        <f t="shared" si="4"/>
        <v/>
      </c>
      <c r="R1076" s="37" t="str">
        <f t="shared" si="5"/>
        <v/>
      </c>
      <c r="S1076" s="32" t="str">
        <f t="shared" si="6"/>
        <v/>
      </c>
      <c r="T1076" s="37" t="str">
        <f t="shared" si="7"/>
        <v/>
      </c>
      <c r="U1076" s="37" t="str">
        <f t="array" ref="U1076">IF($F1076="","",IFERROR(INDEX(Config!$F:$F,MATCH($F1076,Config!$D:$D,0)),0))</f>
        <v/>
      </c>
    </row>
    <row r="1077" ht="15.0" customHeight="1">
      <c r="A1077" s="34"/>
      <c r="B1077" s="35"/>
      <c r="C1077" s="15"/>
      <c r="D1077" s="15"/>
      <c r="E1077" s="15"/>
      <c r="F1077" s="15"/>
      <c r="G1077" s="36" t="str">
        <f t="array" ref="G1077">IF($F1077="","",IFERROR(INDEX(Config!$E:$E,MATCH($F1077,Config!$D:$D,0)),0))</f>
        <v/>
      </c>
      <c r="H1077" s="16"/>
      <c r="I1077" s="36" t="str">
        <f t="shared" si="1"/>
        <v/>
      </c>
      <c r="J1077" s="16"/>
      <c r="K1077" s="15"/>
      <c r="L1077" s="15"/>
      <c r="M1077" s="36" t="str">
        <f t="array" ref="M1077">IF($A1077="","",IF($L1077="Atendido",IFERROR($I1077*INDEX(Config!$B:$B,MATCH($C1077,Config!$A:$A,0)),0),0))</f>
        <v/>
      </c>
      <c r="N1077" s="36" t="str">
        <f t="shared" si="2"/>
        <v/>
      </c>
      <c r="O1077" s="36" t="str">
        <f t="shared" si="3"/>
        <v/>
      </c>
      <c r="P1077" s="15"/>
      <c r="Q1077" s="37" t="str">
        <f t="shared" si="4"/>
        <v/>
      </c>
      <c r="R1077" s="37" t="str">
        <f t="shared" si="5"/>
        <v/>
      </c>
      <c r="S1077" s="32" t="str">
        <f t="shared" si="6"/>
        <v/>
      </c>
      <c r="T1077" s="37" t="str">
        <f t="shared" si="7"/>
        <v/>
      </c>
      <c r="U1077" s="37" t="str">
        <f t="array" ref="U1077">IF($F1077="","",IFERROR(INDEX(Config!$F:$F,MATCH($F1077,Config!$D:$D,0)),0))</f>
        <v/>
      </c>
    </row>
    <row r="1078" ht="15.0" customHeight="1">
      <c r="A1078" s="34"/>
      <c r="B1078" s="35"/>
      <c r="C1078" s="15"/>
      <c r="D1078" s="15"/>
      <c r="E1078" s="15"/>
      <c r="F1078" s="15"/>
      <c r="G1078" s="36" t="str">
        <f t="array" ref="G1078">IF($F1078="","",IFERROR(INDEX(Config!$E:$E,MATCH($F1078,Config!$D:$D,0)),0))</f>
        <v/>
      </c>
      <c r="H1078" s="16"/>
      <c r="I1078" s="36" t="str">
        <f t="shared" si="1"/>
        <v/>
      </c>
      <c r="J1078" s="16"/>
      <c r="K1078" s="15"/>
      <c r="L1078" s="15"/>
      <c r="M1078" s="36" t="str">
        <f t="array" ref="M1078">IF($A1078="","",IF($L1078="Atendido",IFERROR($I1078*INDEX(Config!$B:$B,MATCH($C1078,Config!$A:$A,0)),0),0))</f>
        <v/>
      </c>
      <c r="N1078" s="36" t="str">
        <f t="shared" si="2"/>
        <v/>
      </c>
      <c r="O1078" s="36" t="str">
        <f t="shared" si="3"/>
        <v/>
      </c>
      <c r="P1078" s="15"/>
      <c r="Q1078" s="37" t="str">
        <f t="shared" si="4"/>
        <v/>
      </c>
      <c r="R1078" s="37" t="str">
        <f t="shared" si="5"/>
        <v/>
      </c>
      <c r="S1078" s="32" t="str">
        <f t="shared" si="6"/>
        <v/>
      </c>
      <c r="T1078" s="37" t="str">
        <f t="shared" si="7"/>
        <v/>
      </c>
      <c r="U1078" s="37" t="str">
        <f t="array" ref="U1078">IF($F1078="","",IFERROR(INDEX(Config!$F:$F,MATCH($F1078,Config!$D:$D,0)),0))</f>
        <v/>
      </c>
    </row>
    <row r="1079" ht="15.0" customHeight="1">
      <c r="A1079" s="34"/>
      <c r="B1079" s="35"/>
      <c r="C1079" s="15"/>
      <c r="D1079" s="15"/>
      <c r="E1079" s="15"/>
      <c r="F1079" s="15"/>
      <c r="G1079" s="36" t="str">
        <f t="array" ref="G1079">IF($F1079="","",IFERROR(INDEX(Config!$E:$E,MATCH($F1079,Config!$D:$D,0)),0))</f>
        <v/>
      </c>
      <c r="H1079" s="16"/>
      <c r="I1079" s="36" t="str">
        <f t="shared" si="1"/>
        <v/>
      </c>
      <c r="J1079" s="16"/>
      <c r="K1079" s="15"/>
      <c r="L1079" s="15"/>
      <c r="M1079" s="36" t="str">
        <f t="array" ref="M1079">IF($A1079="","",IF($L1079="Atendido",IFERROR($I1079*INDEX(Config!$B:$B,MATCH($C1079,Config!$A:$A,0)),0),0))</f>
        <v/>
      </c>
      <c r="N1079" s="36" t="str">
        <f t="shared" si="2"/>
        <v/>
      </c>
      <c r="O1079" s="36" t="str">
        <f t="shared" si="3"/>
        <v/>
      </c>
      <c r="P1079" s="15"/>
      <c r="Q1079" s="37" t="str">
        <f t="shared" si="4"/>
        <v/>
      </c>
      <c r="R1079" s="37" t="str">
        <f t="shared" si="5"/>
        <v/>
      </c>
      <c r="S1079" s="32" t="str">
        <f t="shared" si="6"/>
        <v/>
      </c>
      <c r="T1079" s="37" t="str">
        <f t="shared" si="7"/>
        <v/>
      </c>
      <c r="U1079" s="37" t="str">
        <f t="array" ref="U1079">IF($F1079="","",IFERROR(INDEX(Config!$F:$F,MATCH($F1079,Config!$D:$D,0)),0))</f>
        <v/>
      </c>
    </row>
    <row r="1080" ht="15.0" customHeight="1">
      <c r="A1080" s="34"/>
      <c r="B1080" s="35"/>
      <c r="C1080" s="15"/>
      <c r="D1080" s="15"/>
      <c r="E1080" s="15"/>
      <c r="F1080" s="15"/>
      <c r="G1080" s="36" t="str">
        <f t="array" ref="G1080">IF($F1080="","",IFERROR(INDEX(Config!$E:$E,MATCH($F1080,Config!$D:$D,0)),0))</f>
        <v/>
      </c>
      <c r="H1080" s="16"/>
      <c r="I1080" s="36" t="str">
        <f t="shared" si="1"/>
        <v/>
      </c>
      <c r="J1080" s="16"/>
      <c r="K1080" s="15"/>
      <c r="L1080" s="15"/>
      <c r="M1080" s="36" t="str">
        <f t="array" ref="M1080">IF($A1080="","",IF($L1080="Atendido",IFERROR($I1080*INDEX(Config!$B:$B,MATCH($C1080,Config!$A:$A,0)),0),0))</f>
        <v/>
      </c>
      <c r="N1080" s="36" t="str">
        <f t="shared" si="2"/>
        <v/>
      </c>
      <c r="O1080" s="36" t="str">
        <f t="shared" si="3"/>
        <v/>
      </c>
      <c r="P1080" s="15"/>
      <c r="Q1080" s="37" t="str">
        <f t="shared" si="4"/>
        <v/>
      </c>
      <c r="R1080" s="37" t="str">
        <f t="shared" si="5"/>
        <v/>
      </c>
      <c r="S1080" s="32" t="str">
        <f t="shared" si="6"/>
        <v/>
      </c>
      <c r="T1080" s="37" t="str">
        <f t="shared" si="7"/>
        <v/>
      </c>
      <c r="U1080" s="37" t="str">
        <f t="array" ref="U1080">IF($F1080="","",IFERROR(INDEX(Config!$F:$F,MATCH($F1080,Config!$D:$D,0)),0))</f>
        <v/>
      </c>
    </row>
    <row r="1081" ht="15.0" customHeight="1">
      <c r="A1081" s="34"/>
      <c r="B1081" s="35"/>
      <c r="C1081" s="15"/>
      <c r="D1081" s="15"/>
      <c r="E1081" s="15"/>
      <c r="F1081" s="15"/>
      <c r="G1081" s="36" t="str">
        <f t="array" ref="G1081">IF($F1081="","",IFERROR(INDEX(Config!$E:$E,MATCH($F1081,Config!$D:$D,0)),0))</f>
        <v/>
      </c>
      <c r="H1081" s="16"/>
      <c r="I1081" s="36" t="str">
        <f t="shared" si="1"/>
        <v/>
      </c>
      <c r="J1081" s="16"/>
      <c r="K1081" s="15"/>
      <c r="L1081" s="15"/>
      <c r="M1081" s="36" t="str">
        <f t="array" ref="M1081">IF($A1081="","",IF($L1081="Atendido",IFERROR($I1081*INDEX(Config!$B:$B,MATCH($C1081,Config!$A:$A,0)),0),0))</f>
        <v/>
      </c>
      <c r="N1081" s="36" t="str">
        <f t="shared" si="2"/>
        <v/>
      </c>
      <c r="O1081" s="36" t="str">
        <f t="shared" si="3"/>
        <v/>
      </c>
      <c r="P1081" s="15"/>
      <c r="Q1081" s="37" t="str">
        <f t="shared" si="4"/>
        <v/>
      </c>
      <c r="R1081" s="37" t="str">
        <f t="shared" si="5"/>
        <v/>
      </c>
      <c r="S1081" s="32" t="str">
        <f t="shared" si="6"/>
        <v/>
      </c>
      <c r="T1081" s="37" t="str">
        <f t="shared" si="7"/>
        <v/>
      </c>
      <c r="U1081" s="37" t="str">
        <f t="array" ref="U1081">IF($F1081="","",IFERROR(INDEX(Config!$F:$F,MATCH($F1081,Config!$D:$D,0)),0))</f>
        <v/>
      </c>
    </row>
    <row r="1082" ht="15.0" customHeight="1">
      <c r="A1082" s="34"/>
      <c r="B1082" s="35"/>
      <c r="C1082" s="15"/>
      <c r="D1082" s="15"/>
      <c r="E1082" s="15"/>
      <c r="F1082" s="15"/>
      <c r="G1082" s="36" t="str">
        <f t="array" ref="G1082">IF($F1082="","",IFERROR(INDEX(Config!$E:$E,MATCH($F1082,Config!$D:$D,0)),0))</f>
        <v/>
      </c>
      <c r="H1082" s="16"/>
      <c r="I1082" s="36" t="str">
        <f t="shared" si="1"/>
        <v/>
      </c>
      <c r="J1082" s="16"/>
      <c r="K1082" s="15"/>
      <c r="L1082" s="15"/>
      <c r="M1082" s="36" t="str">
        <f t="array" ref="M1082">IF($A1082="","",IF($L1082="Atendido",IFERROR($I1082*INDEX(Config!$B:$B,MATCH($C1082,Config!$A:$A,0)),0),0))</f>
        <v/>
      </c>
      <c r="N1082" s="36" t="str">
        <f t="shared" si="2"/>
        <v/>
      </c>
      <c r="O1082" s="36" t="str">
        <f t="shared" si="3"/>
        <v/>
      </c>
      <c r="P1082" s="15"/>
      <c r="Q1082" s="37" t="str">
        <f t="shared" si="4"/>
        <v/>
      </c>
      <c r="R1082" s="37" t="str">
        <f t="shared" si="5"/>
        <v/>
      </c>
      <c r="S1082" s="32" t="str">
        <f t="shared" si="6"/>
        <v/>
      </c>
      <c r="T1082" s="37" t="str">
        <f t="shared" si="7"/>
        <v/>
      </c>
      <c r="U1082" s="37" t="str">
        <f t="array" ref="U1082">IF($F1082="","",IFERROR(INDEX(Config!$F:$F,MATCH($F1082,Config!$D:$D,0)),0))</f>
        <v/>
      </c>
    </row>
    <row r="1083" ht="15.0" customHeight="1">
      <c r="A1083" s="34"/>
      <c r="B1083" s="35"/>
      <c r="C1083" s="15"/>
      <c r="D1083" s="15"/>
      <c r="E1083" s="15"/>
      <c r="F1083" s="15"/>
      <c r="G1083" s="36" t="str">
        <f t="array" ref="G1083">IF($F1083="","",IFERROR(INDEX(Config!$E:$E,MATCH($F1083,Config!$D:$D,0)),0))</f>
        <v/>
      </c>
      <c r="H1083" s="16"/>
      <c r="I1083" s="36" t="str">
        <f t="shared" si="1"/>
        <v/>
      </c>
      <c r="J1083" s="16"/>
      <c r="K1083" s="15"/>
      <c r="L1083" s="15"/>
      <c r="M1083" s="36" t="str">
        <f t="array" ref="M1083">IF($A1083="","",IF($L1083="Atendido",IFERROR($I1083*INDEX(Config!$B:$B,MATCH($C1083,Config!$A:$A,0)),0),0))</f>
        <v/>
      </c>
      <c r="N1083" s="36" t="str">
        <f t="shared" si="2"/>
        <v/>
      </c>
      <c r="O1083" s="36" t="str">
        <f t="shared" si="3"/>
        <v/>
      </c>
      <c r="P1083" s="15"/>
      <c r="Q1083" s="37" t="str">
        <f t="shared" si="4"/>
        <v/>
      </c>
      <c r="R1083" s="37" t="str">
        <f t="shared" si="5"/>
        <v/>
      </c>
      <c r="S1083" s="32" t="str">
        <f t="shared" si="6"/>
        <v/>
      </c>
      <c r="T1083" s="37" t="str">
        <f t="shared" si="7"/>
        <v/>
      </c>
      <c r="U1083" s="37" t="str">
        <f t="array" ref="U1083">IF($F1083="","",IFERROR(INDEX(Config!$F:$F,MATCH($F1083,Config!$D:$D,0)),0))</f>
        <v/>
      </c>
    </row>
    <row r="1084" ht="15.0" customHeight="1">
      <c r="A1084" s="34"/>
      <c r="B1084" s="35"/>
      <c r="C1084" s="15"/>
      <c r="D1084" s="15"/>
      <c r="E1084" s="15"/>
      <c r="F1084" s="15"/>
      <c r="G1084" s="36" t="str">
        <f t="array" ref="G1084">IF($F1084="","",IFERROR(INDEX(Config!$E:$E,MATCH($F1084,Config!$D:$D,0)),0))</f>
        <v/>
      </c>
      <c r="H1084" s="16"/>
      <c r="I1084" s="36" t="str">
        <f t="shared" si="1"/>
        <v/>
      </c>
      <c r="J1084" s="16"/>
      <c r="K1084" s="15"/>
      <c r="L1084" s="15"/>
      <c r="M1084" s="36" t="str">
        <f t="array" ref="M1084">IF($A1084="","",IF($L1084="Atendido",IFERROR($I1084*INDEX(Config!$B:$B,MATCH($C1084,Config!$A:$A,0)),0),0))</f>
        <v/>
      </c>
      <c r="N1084" s="36" t="str">
        <f t="shared" si="2"/>
        <v/>
      </c>
      <c r="O1084" s="36" t="str">
        <f t="shared" si="3"/>
        <v/>
      </c>
      <c r="P1084" s="15"/>
      <c r="Q1084" s="37" t="str">
        <f t="shared" si="4"/>
        <v/>
      </c>
      <c r="R1084" s="37" t="str">
        <f t="shared" si="5"/>
        <v/>
      </c>
      <c r="S1084" s="32" t="str">
        <f t="shared" si="6"/>
        <v/>
      </c>
      <c r="T1084" s="37" t="str">
        <f t="shared" si="7"/>
        <v/>
      </c>
      <c r="U1084" s="37" t="str">
        <f t="array" ref="U1084">IF($F1084="","",IFERROR(INDEX(Config!$F:$F,MATCH($F1084,Config!$D:$D,0)),0))</f>
        <v/>
      </c>
    </row>
    <row r="1085" ht="15.0" customHeight="1">
      <c r="A1085" s="34"/>
      <c r="B1085" s="35"/>
      <c r="C1085" s="15"/>
      <c r="D1085" s="15"/>
      <c r="E1085" s="15"/>
      <c r="F1085" s="15"/>
      <c r="G1085" s="36" t="str">
        <f t="array" ref="G1085">IF($F1085="","",IFERROR(INDEX(Config!$E:$E,MATCH($F1085,Config!$D:$D,0)),0))</f>
        <v/>
      </c>
      <c r="H1085" s="16"/>
      <c r="I1085" s="36" t="str">
        <f t="shared" si="1"/>
        <v/>
      </c>
      <c r="J1085" s="16"/>
      <c r="K1085" s="15"/>
      <c r="L1085" s="15"/>
      <c r="M1085" s="36" t="str">
        <f t="array" ref="M1085">IF($A1085="","",IF($L1085="Atendido",IFERROR($I1085*INDEX(Config!$B:$B,MATCH($C1085,Config!$A:$A,0)),0),0))</f>
        <v/>
      </c>
      <c r="N1085" s="36" t="str">
        <f t="shared" si="2"/>
        <v/>
      </c>
      <c r="O1085" s="36" t="str">
        <f t="shared" si="3"/>
        <v/>
      </c>
      <c r="P1085" s="15"/>
      <c r="Q1085" s="37" t="str">
        <f t="shared" si="4"/>
        <v/>
      </c>
      <c r="R1085" s="37" t="str">
        <f t="shared" si="5"/>
        <v/>
      </c>
      <c r="S1085" s="32" t="str">
        <f t="shared" si="6"/>
        <v/>
      </c>
      <c r="T1085" s="37" t="str">
        <f t="shared" si="7"/>
        <v/>
      </c>
      <c r="U1085" s="37" t="str">
        <f t="array" ref="U1085">IF($F1085="","",IFERROR(INDEX(Config!$F:$F,MATCH($F1085,Config!$D:$D,0)),0))</f>
        <v/>
      </c>
    </row>
    <row r="1086" ht="15.0" customHeight="1">
      <c r="A1086" s="34"/>
      <c r="B1086" s="35"/>
      <c r="C1086" s="15"/>
      <c r="D1086" s="15"/>
      <c r="E1086" s="15"/>
      <c r="F1086" s="15"/>
      <c r="G1086" s="36" t="str">
        <f t="array" ref="G1086">IF($F1086="","",IFERROR(INDEX(Config!$E:$E,MATCH($F1086,Config!$D:$D,0)),0))</f>
        <v/>
      </c>
      <c r="H1086" s="16"/>
      <c r="I1086" s="36" t="str">
        <f t="shared" si="1"/>
        <v/>
      </c>
      <c r="J1086" s="16"/>
      <c r="K1086" s="15"/>
      <c r="L1086" s="15"/>
      <c r="M1086" s="36" t="str">
        <f t="array" ref="M1086">IF($A1086="","",IF($L1086="Atendido",IFERROR($I1086*INDEX(Config!$B:$B,MATCH($C1086,Config!$A:$A,0)),0),0))</f>
        <v/>
      </c>
      <c r="N1086" s="36" t="str">
        <f t="shared" si="2"/>
        <v/>
      </c>
      <c r="O1086" s="36" t="str">
        <f t="shared" si="3"/>
        <v/>
      </c>
      <c r="P1086" s="15"/>
      <c r="Q1086" s="37" t="str">
        <f t="shared" si="4"/>
        <v/>
      </c>
      <c r="R1086" s="37" t="str">
        <f t="shared" si="5"/>
        <v/>
      </c>
      <c r="S1086" s="32" t="str">
        <f t="shared" si="6"/>
        <v/>
      </c>
      <c r="T1086" s="37" t="str">
        <f t="shared" si="7"/>
        <v/>
      </c>
      <c r="U1086" s="37" t="str">
        <f t="array" ref="U1086">IF($F1086="","",IFERROR(INDEX(Config!$F:$F,MATCH($F1086,Config!$D:$D,0)),0))</f>
        <v/>
      </c>
    </row>
    <row r="1087" ht="15.0" customHeight="1">
      <c r="A1087" s="34"/>
      <c r="B1087" s="35"/>
      <c r="C1087" s="15"/>
      <c r="D1087" s="15"/>
      <c r="E1087" s="15"/>
      <c r="F1087" s="15"/>
      <c r="G1087" s="36" t="str">
        <f t="array" ref="G1087">IF($F1087="","",IFERROR(INDEX(Config!$E:$E,MATCH($F1087,Config!$D:$D,0)),0))</f>
        <v/>
      </c>
      <c r="H1087" s="16"/>
      <c r="I1087" s="36" t="str">
        <f t="shared" si="1"/>
        <v/>
      </c>
      <c r="J1087" s="16"/>
      <c r="K1087" s="15"/>
      <c r="L1087" s="15"/>
      <c r="M1087" s="36" t="str">
        <f t="array" ref="M1087">IF($A1087="","",IF($L1087="Atendido",IFERROR($I1087*INDEX(Config!$B:$B,MATCH($C1087,Config!$A:$A,0)),0),0))</f>
        <v/>
      </c>
      <c r="N1087" s="36" t="str">
        <f t="shared" si="2"/>
        <v/>
      </c>
      <c r="O1087" s="36" t="str">
        <f t="shared" si="3"/>
        <v/>
      </c>
      <c r="P1087" s="15"/>
      <c r="Q1087" s="37" t="str">
        <f t="shared" si="4"/>
        <v/>
      </c>
      <c r="R1087" s="37" t="str">
        <f t="shared" si="5"/>
        <v/>
      </c>
      <c r="S1087" s="32" t="str">
        <f t="shared" si="6"/>
        <v/>
      </c>
      <c r="T1087" s="37" t="str">
        <f t="shared" si="7"/>
        <v/>
      </c>
      <c r="U1087" s="37" t="str">
        <f t="array" ref="U1087">IF($F1087="","",IFERROR(INDEX(Config!$F:$F,MATCH($F1087,Config!$D:$D,0)),0))</f>
        <v/>
      </c>
    </row>
    <row r="1088" ht="15.0" customHeight="1">
      <c r="A1088" s="34"/>
      <c r="B1088" s="35"/>
      <c r="C1088" s="15"/>
      <c r="D1088" s="15"/>
      <c r="E1088" s="15"/>
      <c r="F1088" s="15"/>
      <c r="G1088" s="36" t="str">
        <f t="array" ref="G1088">IF($F1088="","",IFERROR(INDEX(Config!$E:$E,MATCH($F1088,Config!$D:$D,0)),0))</f>
        <v/>
      </c>
      <c r="H1088" s="16"/>
      <c r="I1088" s="36" t="str">
        <f t="shared" si="1"/>
        <v/>
      </c>
      <c r="J1088" s="16"/>
      <c r="K1088" s="15"/>
      <c r="L1088" s="15"/>
      <c r="M1088" s="36" t="str">
        <f t="array" ref="M1088">IF($A1088="","",IF($L1088="Atendido",IFERROR($I1088*INDEX(Config!$B:$B,MATCH($C1088,Config!$A:$A,0)),0),0))</f>
        <v/>
      </c>
      <c r="N1088" s="36" t="str">
        <f t="shared" si="2"/>
        <v/>
      </c>
      <c r="O1088" s="36" t="str">
        <f t="shared" si="3"/>
        <v/>
      </c>
      <c r="P1088" s="15"/>
      <c r="Q1088" s="37" t="str">
        <f t="shared" si="4"/>
        <v/>
      </c>
      <c r="R1088" s="37" t="str">
        <f t="shared" si="5"/>
        <v/>
      </c>
      <c r="S1088" s="32" t="str">
        <f t="shared" si="6"/>
        <v/>
      </c>
      <c r="T1088" s="37" t="str">
        <f t="shared" si="7"/>
        <v/>
      </c>
      <c r="U1088" s="37" t="str">
        <f t="array" ref="U1088">IF($F1088="","",IFERROR(INDEX(Config!$F:$F,MATCH($F1088,Config!$D:$D,0)),0))</f>
        <v/>
      </c>
    </row>
    <row r="1089" ht="15.0" customHeight="1">
      <c r="A1089" s="34"/>
      <c r="B1089" s="35"/>
      <c r="C1089" s="15"/>
      <c r="D1089" s="15"/>
      <c r="E1089" s="15"/>
      <c r="F1089" s="15"/>
      <c r="G1089" s="36" t="str">
        <f t="array" ref="G1089">IF($F1089="","",IFERROR(INDEX(Config!$E:$E,MATCH($F1089,Config!$D:$D,0)),0))</f>
        <v/>
      </c>
      <c r="H1089" s="16"/>
      <c r="I1089" s="36" t="str">
        <f t="shared" si="1"/>
        <v/>
      </c>
      <c r="J1089" s="16"/>
      <c r="K1089" s="15"/>
      <c r="L1089" s="15"/>
      <c r="M1089" s="36" t="str">
        <f t="array" ref="M1089">IF($A1089="","",IF($L1089="Atendido",IFERROR($I1089*INDEX(Config!$B:$B,MATCH($C1089,Config!$A:$A,0)),0),0))</f>
        <v/>
      </c>
      <c r="N1089" s="36" t="str">
        <f t="shared" si="2"/>
        <v/>
      </c>
      <c r="O1089" s="36" t="str">
        <f t="shared" si="3"/>
        <v/>
      </c>
      <c r="P1089" s="15"/>
      <c r="Q1089" s="37" t="str">
        <f t="shared" si="4"/>
        <v/>
      </c>
      <c r="R1089" s="37" t="str">
        <f t="shared" si="5"/>
        <v/>
      </c>
      <c r="S1089" s="32" t="str">
        <f t="shared" si="6"/>
        <v/>
      </c>
      <c r="T1089" s="37" t="str">
        <f t="shared" si="7"/>
        <v/>
      </c>
      <c r="U1089" s="37" t="str">
        <f t="array" ref="U1089">IF($F1089="","",IFERROR(INDEX(Config!$F:$F,MATCH($F1089,Config!$D:$D,0)),0))</f>
        <v/>
      </c>
    </row>
    <row r="1090" ht="15.0" customHeight="1">
      <c r="A1090" s="34"/>
      <c r="B1090" s="35"/>
      <c r="C1090" s="15"/>
      <c r="D1090" s="15"/>
      <c r="E1090" s="15"/>
      <c r="F1090" s="15"/>
      <c r="G1090" s="36" t="str">
        <f t="array" ref="G1090">IF($F1090="","",IFERROR(INDEX(Config!$E:$E,MATCH($F1090,Config!$D:$D,0)),0))</f>
        <v/>
      </c>
      <c r="H1090" s="16"/>
      <c r="I1090" s="36" t="str">
        <f t="shared" si="1"/>
        <v/>
      </c>
      <c r="J1090" s="16"/>
      <c r="K1090" s="15"/>
      <c r="L1090" s="15"/>
      <c r="M1090" s="36" t="str">
        <f t="array" ref="M1090">IF($A1090="","",IF($L1090="Atendido",IFERROR($I1090*INDEX(Config!$B:$B,MATCH($C1090,Config!$A:$A,0)),0),0))</f>
        <v/>
      </c>
      <c r="N1090" s="36" t="str">
        <f t="shared" si="2"/>
        <v/>
      </c>
      <c r="O1090" s="36" t="str">
        <f t="shared" si="3"/>
        <v/>
      </c>
      <c r="P1090" s="15"/>
      <c r="Q1090" s="37" t="str">
        <f t="shared" si="4"/>
        <v/>
      </c>
      <c r="R1090" s="37" t="str">
        <f t="shared" si="5"/>
        <v/>
      </c>
      <c r="S1090" s="32" t="str">
        <f t="shared" si="6"/>
        <v/>
      </c>
      <c r="T1090" s="37" t="str">
        <f t="shared" si="7"/>
        <v/>
      </c>
      <c r="U1090" s="37" t="str">
        <f t="array" ref="U1090">IF($F1090="","",IFERROR(INDEX(Config!$F:$F,MATCH($F1090,Config!$D:$D,0)),0))</f>
        <v/>
      </c>
    </row>
    <row r="1091" ht="15.0" customHeight="1">
      <c r="A1091" s="34"/>
      <c r="B1091" s="35"/>
      <c r="C1091" s="15"/>
      <c r="D1091" s="15"/>
      <c r="E1091" s="15"/>
      <c r="F1091" s="15"/>
      <c r="G1091" s="36" t="str">
        <f t="array" ref="G1091">IF($F1091="","",IFERROR(INDEX(Config!$E:$E,MATCH($F1091,Config!$D:$D,0)),0))</f>
        <v/>
      </c>
      <c r="H1091" s="16"/>
      <c r="I1091" s="36" t="str">
        <f t="shared" si="1"/>
        <v/>
      </c>
      <c r="J1091" s="16"/>
      <c r="K1091" s="15"/>
      <c r="L1091" s="15"/>
      <c r="M1091" s="36" t="str">
        <f t="array" ref="M1091">IF($A1091="","",IF($L1091="Atendido",IFERROR($I1091*INDEX(Config!$B:$B,MATCH($C1091,Config!$A:$A,0)),0),0))</f>
        <v/>
      </c>
      <c r="N1091" s="36" t="str">
        <f t="shared" si="2"/>
        <v/>
      </c>
      <c r="O1091" s="36" t="str">
        <f t="shared" si="3"/>
        <v/>
      </c>
      <c r="P1091" s="15"/>
      <c r="Q1091" s="37" t="str">
        <f t="shared" si="4"/>
        <v/>
      </c>
      <c r="R1091" s="37" t="str">
        <f t="shared" si="5"/>
        <v/>
      </c>
      <c r="S1091" s="32" t="str">
        <f t="shared" si="6"/>
        <v/>
      </c>
      <c r="T1091" s="37" t="str">
        <f t="shared" si="7"/>
        <v/>
      </c>
      <c r="U1091" s="37" t="str">
        <f t="array" ref="U1091">IF($F1091="","",IFERROR(INDEX(Config!$F:$F,MATCH($F1091,Config!$D:$D,0)),0))</f>
        <v/>
      </c>
    </row>
    <row r="1092" ht="15.0" customHeight="1">
      <c r="A1092" s="34"/>
      <c r="B1092" s="35"/>
      <c r="C1092" s="15"/>
      <c r="D1092" s="15"/>
      <c r="E1092" s="15"/>
      <c r="F1092" s="15"/>
      <c r="G1092" s="36" t="str">
        <f t="array" ref="G1092">IF($F1092="","",IFERROR(INDEX(Config!$E:$E,MATCH($F1092,Config!$D:$D,0)),0))</f>
        <v/>
      </c>
      <c r="H1092" s="16"/>
      <c r="I1092" s="36" t="str">
        <f t="shared" si="1"/>
        <v/>
      </c>
      <c r="J1092" s="16"/>
      <c r="K1092" s="15"/>
      <c r="L1092" s="15"/>
      <c r="M1092" s="36" t="str">
        <f t="array" ref="M1092">IF($A1092="","",IF($L1092="Atendido",IFERROR($I1092*INDEX(Config!$B:$B,MATCH($C1092,Config!$A:$A,0)),0),0))</f>
        <v/>
      </c>
      <c r="N1092" s="36" t="str">
        <f t="shared" si="2"/>
        <v/>
      </c>
      <c r="O1092" s="36" t="str">
        <f t="shared" si="3"/>
        <v/>
      </c>
      <c r="P1092" s="15"/>
      <c r="Q1092" s="37" t="str">
        <f t="shared" si="4"/>
        <v/>
      </c>
      <c r="R1092" s="37" t="str">
        <f t="shared" si="5"/>
        <v/>
      </c>
      <c r="S1092" s="32" t="str">
        <f t="shared" si="6"/>
        <v/>
      </c>
      <c r="T1092" s="37" t="str">
        <f t="shared" si="7"/>
        <v/>
      </c>
      <c r="U1092" s="37" t="str">
        <f t="array" ref="U1092">IF($F1092="","",IFERROR(INDEX(Config!$F:$F,MATCH($F1092,Config!$D:$D,0)),0))</f>
        <v/>
      </c>
    </row>
    <row r="1093" ht="15.0" customHeight="1">
      <c r="A1093" s="34"/>
      <c r="B1093" s="35"/>
      <c r="C1093" s="15"/>
      <c r="D1093" s="15"/>
      <c r="E1093" s="15"/>
      <c r="F1093" s="15"/>
      <c r="G1093" s="36" t="str">
        <f t="array" ref="G1093">IF($F1093="","",IFERROR(INDEX(Config!$E:$E,MATCH($F1093,Config!$D:$D,0)),0))</f>
        <v/>
      </c>
      <c r="H1093" s="16"/>
      <c r="I1093" s="36" t="str">
        <f t="shared" si="1"/>
        <v/>
      </c>
      <c r="J1093" s="16"/>
      <c r="K1093" s="15"/>
      <c r="L1093" s="15"/>
      <c r="M1093" s="36" t="str">
        <f t="array" ref="M1093">IF($A1093="","",IF($L1093="Atendido",IFERROR($I1093*INDEX(Config!$B:$B,MATCH($C1093,Config!$A:$A,0)),0),0))</f>
        <v/>
      </c>
      <c r="N1093" s="36" t="str">
        <f t="shared" si="2"/>
        <v/>
      </c>
      <c r="O1093" s="36" t="str">
        <f t="shared" si="3"/>
        <v/>
      </c>
      <c r="P1093" s="15"/>
      <c r="Q1093" s="37" t="str">
        <f t="shared" si="4"/>
        <v/>
      </c>
      <c r="R1093" s="37" t="str">
        <f t="shared" si="5"/>
        <v/>
      </c>
      <c r="S1093" s="32" t="str">
        <f t="shared" si="6"/>
        <v/>
      </c>
      <c r="T1093" s="37" t="str">
        <f t="shared" si="7"/>
        <v/>
      </c>
      <c r="U1093" s="37" t="str">
        <f t="array" ref="U1093">IF($F1093="","",IFERROR(INDEX(Config!$F:$F,MATCH($F1093,Config!$D:$D,0)),0))</f>
        <v/>
      </c>
    </row>
    <row r="1094" ht="15.0" customHeight="1">
      <c r="A1094" s="34"/>
      <c r="B1094" s="35"/>
      <c r="C1094" s="15"/>
      <c r="D1094" s="15"/>
      <c r="E1094" s="15"/>
      <c r="F1094" s="15"/>
      <c r="G1094" s="36" t="str">
        <f t="array" ref="G1094">IF($F1094="","",IFERROR(INDEX(Config!$E:$E,MATCH($F1094,Config!$D:$D,0)),0))</f>
        <v/>
      </c>
      <c r="H1094" s="16"/>
      <c r="I1094" s="36" t="str">
        <f t="shared" si="1"/>
        <v/>
      </c>
      <c r="J1094" s="16"/>
      <c r="K1094" s="15"/>
      <c r="L1094" s="15"/>
      <c r="M1094" s="36" t="str">
        <f t="array" ref="M1094">IF($A1094="","",IF($L1094="Atendido",IFERROR($I1094*INDEX(Config!$B:$B,MATCH($C1094,Config!$A:$A,0)),0),0))</f>
        <v/>
      </c>
      <c r="N1094" s="36" t="str">
        <f t="shared" si="2"/>
        <v/>
      </c>
      <c r="O1094" s="36" t="str">
        <f t="shared" si="3"/>
        <v/>
      </c>
      <c r="P1094" s="15"/>
      <c r="Q1094" s="37" t="str">
        <f t="shared" si="4"/>
        <v/>
      </c>
      <c r="R1094" s="37" t="str">
        <f t="shared" si="5"/>
        <v/>
      </c>
      <c r="S1094" s="32" t="str">
        <f t="shared" si="6"/>
        <v/>
      </c>
      <c r="T1094" s="37" t="str">
        <f t="shared" si="7"/>
        <v/>
      </c>
      <c r="U1094" s="37" t="str">
        <f t="array" ref="U1094">IF($F1094="","",IFERROR(INDEX(Config!$F:$F,MATCH($F1094,Config!$D:$D,0)),0))</f>
        <v/>
      </c>
    </row>
    <row r="1095" ht="15.0" customHeight="1">
      <c r="A1095" s="34"/>
      <c r="B1095" s="35"/>
      <c r="C1095" s="15"/>
      <c r="D1095" s="15"/>
      <c r="E1095" s="15"/>
      <c r="F1095" s="15"/>
      <c r="G1095" s="36" t="str">
        <f t="array" ref="G1095">IF($F1095="","",IFERROR(INDEX(Config!$E:$E,MATCH($F1095,Config!$D:$D,0)),0))</f>
        <v/>
      </c>
      <c r="H1095" s="16"/>
      <c r="I1095" s="36" t="str">
        <f t="shared" si="1"/>
        <v/>
      </c>
      <c r="J1095" s="16"/>
      <c r="K1095" s="15"/>
      <c r="L1095" s="15"/>
      <c r="M1095" s="36" t="str">
        <f t="array" ref="M1095">IF($A1095="","",IF($L1095="Atendido",IFERROR($I1095*INDEX(Config!$B:$B,MATCH($C1095,Config!$A:$A,0)),0),0))</f>
        <v/>
      </c>
      <c r="N1095" s="36" t="str">
        <f t="shared" si="2"/>
        <v/>
      </c>
      <c r="O1095" s="36" t="str">
        <f t="shared" si="3"/>
        <v/>
      </c>
      <c r="P1095" s="15"/>
      <c r="Q1095" s="37" t="str">
        <f t="shared" si="4"/>
        <v/>
      </c>
      <c r="R1095" s="37" t="str">
        <f t="shared" si="5"/>
        <v/>
      </c>
      <c r="S1095" s="32" t="str">
        <f t="shared" si="6"/>
        <v/>
      </c>
      <c r="T1095" s="37" t="str">
        <f t="shared" si="7"/>
        <v/>
      </c>
      <c r="U1095" s="37" t="str">
        <f t="array" ref="U1095">IF($F1095="","",IFERROR(INDEX(Config!$F:$F,MATCH($F1095,Config!$D:$D,0)),0))</f>
        <v/>
      </c>
    </row>
    <row r="1096" ht="15.0" customHeight="1">
      <c r="A1096" s="34"/>
      <c r="B1096" s="35"/>
      <c r="C1096" s="15"/>
      <c r="D1096" s="15"/>
      <c r="E1096" s="15"/>
      <c r="F1096" s="15"/>
      <c r="G1096" s="36" t="str">
        <f t="array" ref="G1096">IF($F1096="","",IFERROR(INDEX(Config!$E:$E,MATCH($F1096,Config!$D:$D,0)),0))</f>
        <v/>
      </c>
      <c r="H1096" s="16"/>
      <c r="I1096" s="36" t="str">
        <f t="shared" si="1"/>
        <v/>
      </c>
      <c r="J1096" s="16"/>
      <c r="K1096" s="15"/>
      <c r="L1096" s="15"/>
      <c r="M1096" s="36" t="str">
        <f t="array" ref="M1096">IF($A1096="","",IF($L1096="Atendido",IFERROR($I1096*INDEX(Config!$B:$B,MATCH($C1096,Config!$A:$A,0)),0),0))</f>
        <v/>
      </c>
      <c r="N1096" s="36" t="str">
        <f t="shared" si="2"/>
        <v/>
      </c>
      <c r="O1096" s="36" t="str">
        <f t="shared" si="3"/>
        <v/>
      </c>
      <c r="P1096" s="15"/>
      <c r="Q1096" s="37" t="str">
        <f t="shared" si="4"/>
        <v/>
      </c>
      <c r="R1096" s="37" t="str">
        <f t="shared" si="5"/>
        <v/>
      </c>
      <c r="S1096" s="32" t="str">
        <f t="shared" si="6"/>
        <v/>
      </c>
      <c r="T1096" s="37" t="str">
        <f t="shared" si="7"/>
        <v/>
      </c>
      <c r="U1096" s="37" t="str">
        <f t="array" ref="U1096">IF($F1096="","",IFERROR(INDEX(Config!$F:$F,MATCH($F1096,Config!$D:$D,0)),0))</f>
        <v/>
      </c>
    </row>
    <row r="1097" ht="15.0" customHeight="1">
      <c r="A1097" s="34"/>
      <c r="B1097" s="35"/>
      <c r="C1097" s="15"/>
      <c r="D1097" s="15"/>
      <c r="E1097" s="15"/>
      <c r="F1097" s="15"/>
      <c r="G1097" s="36" t="str">
        <f t="array" ref="G1097">IF($F1097="","",IFERROR(INDEX(Config!$E:$E,MATCH($F1097,Config!$D:$D,0)),0))</f>
        <v/>
      </c>
      <c r="H1097" s="16"/>
      <c r="I1097" s="36" t="str">
        <f t="shared" si="1"/>
        <v/>
      </c>
      <c r="J1097" s="16"/>
      <c r="K1097" s="15"/>
      <c r="L1097" s="15"/>
      <c r="M1097" s="36" t="str">
        <f t="array" ref="M1097">IF($A1097="","",IF($L1097="Atendido",IFERROR($I1097*INDEX(Config!$B:$B,MATCH($C1097,Config!$A:$A,0)),0),0))</f>
        <v/>
      </c>
      <c r="N1097" s="36" t="str">
        <f t="shared" si="2"/>
        <v/>
      </c>
      <c r="O1097" s="36" t="str">
        <f t="shared" si="3"/>
        <v/>
      </c>
      <c r="P1097" s="15"/>
      <c r="Q1097" s="37" t="str">
        <f t="shared" si="4"/>
        <v/>
      </c>
      <c r="R1097" s="37" t="str">
        <f t="shared" si="5"/>
        <v/>
      </c>
      <c r="S1097" s="32" t="str">
        <f t="shared" si="6"/>
        <v/>
      </c>
      <c r="T1097" s="37" t="str">
        <f t="shared" si="7"/>
        <v/>
      </c>
      <c r="U1097" s="37" t="str">
        <f t="array" ref="U1097">IF($F1097="","",IFERROR(INDEX(Config!$F:$F,MATCH($F1097,Config!$D:$D,0)),0))</f>
        <v/>
      </c>
    </row>
    <row r="1098" ht="15.0" customHeight="1">
      <c r="A1098" s="34"/>
      <c r="B1098" s="35"/>
      <c r="C1098" s="15"/>
      <c r="D1098" s="15"/>
      <c r="E1098" s="15"/>
      <c r="F1098" s="15"/>
      <c r="G1098" s="36" t="str">
        <f t="array" ref="G1098">IF($F1098="","",IFERROR(INDEX(Config!$E:$E,MATCH($F1098,Config!$D:$D,0)),0))</f>
        <v/>
      </c>
      <c r="H1098" s="16"/>
      <c r="I1098" s="36" t="str">
        <f t="shared" si="1"/>
        <v/>
      </c>
      <c r="J1098" s="16"/>
      <c r="K1098" s="15"/>
      <c r="L1098" s="15"/>
      <c r="M1098" s="36" t="str">
        <f t="array" ref="M1098">IF($A1098="","",IF($L1098="Atendido",IFERROR($I1098*INDEX(Config!$B:$B,MATCH($C1098,Config!$A:$A,0)),0),0))</f>
        <v/>
      </c>
      <c r="N1098" s="36" t="str">
        <f t="shared" si="2"/>
        <v/>
      </c>
      <c r="O1098" s="36" t="str">
        <f t="shared" si="3"/>
        <v/>
      </c>
      <c r="P1098" s="15"/>
      <c r="Q1098" s="37" t="str">
        <f t="shared" si="4"/>
        <v/>
      </c>
      <c r="R1098" s="37" t="str">
        <f t="shared" si="5"/>
        <v/>
      </c>
      <c r="S1098" s="32" t="str">
        <f t="shared" si="6"/>
        <v/>
      </c>
      <c r="T1098" s="37" t="str">
        <f t="shared" si="7"/>
        <v/>
      </c>
      <c r="U1098" s="37" t="str">
        <f t="array" ref="U1098">IF($F1098="","",IFERROR(INDEX(Config!$F:$F,MATCH($F1098,Config!$D:$D,0)),0))</f>
        <v/>
      </c>
    </row>
    <row r="1099" ht="15.0" customHeight="1">
      <c r="A1099" s="34"/>
      <c r="B1099" s="35"/>
      <c r="C1099" s="15"/>
      <c r="D1099" s="15"/>
      <c r="E1099" s="15"/>
      <c r="F1099" s="15"/>
      <c r="G1099" s="36" t="str">
        <f t="array" ref="G1099">IF($F1099="","",IFERROR(INDEX(Config!$E:$E,MATCH($F1099,Config!$D:$D,0)),0))</f>
        <v/>
      </c>
      <c r="H1099" s="16"/>
      <c r="I1099" s="36" t="str">
        <f t="shared" si="1"/>
        <v/>
      </c>
      <c r="J1099" s="16"/>
      <c r="K1099" s="15"/>
      <c r="L1099" s="15"/>
      <c r="M1099" s="36" t="str">
        <f t="array" ref="M1099">IF($A1099="","",IF($L1099="Atendido",IFERROR($I1099*INDEX(Config!$B:$B,MATCH($C1099,Config!$A:$A,0)),0),0))</f>
        <v/>
      </c>
      <c r="N1099" s="36" t="str">
        <f t="shared" si="2"/>
        <v/>
      </c>
      <c r="O1099" s="36" t="str">
        <f t="shared" si="3"/>
        <v/>
      </c>
      <c r="P1099" s="15"/>
      <c r="Q1099" s="37" t="str">
        <f t="shared" si="4"/>
        <v/>
      </c>
      <c r="R1099" s="37" t="str">
        <f t="shared" si="5"/>
        <v/>
      </c>
      <c r="S1099" s="32" t="str">
        <f t="shared" si="6"/>
        <v/>
      </c>
      <c r="T1099" s="37" t="str">
        <f t="shared" si="7"/>
        <v/>
      </c>
      <c r="U1099" s="37" t="str">
        <f t="array" ref="U1099">IF($F1099="","",IFERROR(INDEX(Config!$F:$F,MATCH($F1099,Config!$D:$D,0)),0))</f>
        <v/>
      </c>
    </row>
    <row r="1100" ht="15.0" customHeight="1">
      <c r="A1100" s="34"/>
      <c r="B1100" s="35"/>
      <c r="C1100" s="15"/>
      <c r="D1100" s="15"/>
      <c r="E1100" s="15"/>
      <c r="F1100" s="15"/>
      <c r="G1100" s="36" t="str">
        <f t="array" ref="G1100">IF($F1100="","",IFERROR(INDEX(Config!$E:$E,MATCH($F1100,Config!$D:$D,0)),0))</f>
        <v/>
      </c>
      <c r="H1100" s="16"/>
      <c r="I1100" s="36" t="str">
        <f t="shared" si="1"/>
        <v/>
      </c>
      <c r="J1100" s="16"/>
      <c r="K1100" s="15"/>
      <c r="L1100" s="15"/>
      <c r="M1100" s="36" t="str">
        <f t="array" ref="M1100">IF($A1100="","",IF($L1100="Atendido",IFERROR($I1100*INDEX(Config!$B:$B,MATCH($C1100,Config!$A:$A,0)),0),0))</f>
        <v/>
      </c>
      <c r="N1100" s="36" t="str">
        <f t="shared" si="2"/>
        <v/>
      </c>
      <c r="O1100" s="36" t="str">
        <f t="shared" si="3"/>
        <v/>
      </c>
      <c r="P1100" s="15"/>
      <c r="Q1100" s="37" t="str">
        <f t="shared" si="4"/>
        <v/>
      </c>
      <c r="R1100" s="37" t="str">
        <f t="shared" si="5"/>
        <v/>
      </c>
      <c r="S1100" s="32" t="str">
        <f t="shared" si="6"/>
        <v/>
      </c>
      <c r="T1100" s="37" t="str">
        <f t="shared" si="7"/>
        <v/>
      </c>
      <c r="U1100" s="37" t="str">
        <f t="array" ref="U1100">IF($F1100="","",IFERROR(INDEX(Config!$F:$F,MATCH($F1100,Config!$D:$D,0)),0))</f>
        <v/>
      </c>
    </row>
    <row r="1101" ht="15.0" customHeight="1">
      <c r="A1101" s="34"/>
      <c r="B1101" s="35"/>
      <c r="C1101" s="15"/>
      <c r="D1101" s="15"/>
      <c r="E1101" s="15"/>
      <c r="F1101" s="15"/>
      <c r="G1101" s="36" t="str">
        <f t="array" ref="G1101">IF($F1101="","",IFERROR(INDEX(Config!$E:$E,MATCH($F1101,Config!$D:$D,0)),0))</f>
        <v/>
      </c>
      <c r="H1101" s="16"/>
      <c r="I1101" s="36" t="str">
        <f t="shared" si="1"/>
        <v/>
      </c>
      <c r="J1101" s="16"/>
      <c r="K1101" s="15"/>
      <c r="L1101" s="15"/>
      <c r="M1101" s="36" t="str">
        <f t="array" ref="M1101">IF($A1101="","",IF($L1101="Atendido",IFERROR($I1101*INDEX(Config!$B:$B,MATCH($C1101,Config!$A:$A,0)),0),0))</f>
        <v/>
      </c>
      <c r="N1101" s="36" t="str">
        <f t="shared" si="2"/>
        <v/>
      </c>
      <c r="O1101" s="36" t="str">
        <f t="shared" si="3"/>
        <v/>
      </c>
      <c r="P1101" s="15"/>
      <c r="Q1101" s="37" t="str">
        <f t="shared" si="4"/>
        <v/>
      </c>
      <c r="R1101" s="37" t="str">
        <f t="shared" si="5"/>
        <v/>
      </c>
      <c r="S1101" s="32" t="str">
        <f t="shared" si="6"/>
        <v/>
      </c>
      <c r="T1101" s="37" t="str">
        <f t="shared" si="7"/>
        <v/>
      </c>
      <c r="U1101" s="37" t="str">
        <f t="array" ref="U1101">IF($F1101="","",IFERROR(INDEX(Config!$F:$F,MATCH($F1101,Config!$D:$D,0)),0))</f>
        <v/>
      </c>
    </row>
    <row r="1102" ht="15.0" customHeight="1">
      <c r="A1102" s="34"/>
      <c r="B1102" s="35"/>
      <c r="C1102" s="15"/>
      <c r="D1102" s="15"/>
      <c r="E1102" s="15"/>
      <c r="F1102" s="15"/>
      <c r="G1102" s="36" t="str">
        <f t="array" ref="G1102">IF($F1102="","",IFERROR(INDEX(Config!$E:$E,MATCH($F1102,Config!$D:$D,0)),0))</f>
        <v/>
      </c>
      <c r="H1102" s="16"/>
      <c r="I1102" s="36" t="str">
        <f t="shared" si="1"/>
        <v/>
      </c>
      <c r="J1102" s="16"/>
      <c r="K1102" s="15"/>
      <c r="L1102" s="15"/>
      <c r="M1102" s="36" t="str">
        <f t="array" ref="M1102">IF($A1102="","",IF($L1102="Atendido",IFERROR($I1102*INDEX(Config!$B:$B,MATCH($C1102,Config!$A:$A,0)),0),0))</f>
        <v/>
      </c>
      <c r="N1102" s="36" t="str">
        <f t="shared" si="2"/>
        <v/>
      </c>
      <c r="O1102" s="36" t="str">
        <f t="shared" si="3"/>
        <v/>
      </c>
      <c r="P1102" s="15"/>
      <c r="Q1102" s="37" t="str">
        <f t="shared" si="4"/>
        <v/>
      </c>
      <c r="R1102" s="37" t="str">
        <f t="shared" si="5"/>
        <v/>
      </c>
      <c r="S1102" s="32" t="str">
        <f t="shared" si="6"/>
        <v/>
      </c>
      <c r="T1102" s="37" t="str">
        <f t="shared" si="7"/>
        <v/>
      </c>
      <c r="U1102" s="37" t="str">
        <f t="array" ref="U1102">IF($F1102="","",IFERROR(INDEX(Config!$F:$F,MATCH($F1102,Config!$D:$D,0)),0))</f>
        <v/>
      </c>
    </row>
    <row r="1103" ht="15.0" customHeight="1">
      <c r="A1103" s="34"/>
      <c r="B1103" s="35"/>
      <c r="C1103" s="15"/>
      <c r="D1103" s="15"/>
      <c r="E1103" s="15"/>
      <c r="F1103" s="15"/>
      <c r="G1103" s="36" t="str">
        <f t="array" ref="G1103">IF($F1103="","",IFERROR(INDEX(Config!$E:$E,MATCH($F1103,Config!$D:$D,0)),0))</f>
        <v/>
      </c>
      <c r="H1103" s="16"/>
      <c r="I1103" s="36" t="str">
        <f t="shared" si="1"/>
        <v/>
      </c>
      <c r="J1103" s="16"/>
      <c r="K1103" s="15"/>
      <c r="L1103" s="15"/>
      <c r="M1103" s="36" t="str">
        <f t="array" ref="M1103">IF($A1103="","",IF($L1103="Atendido",IFERROR($I1103*INDEX(Config!$B:$B,MATCH($C1103,Config!$A:$A,0)),0),0))</f>
        <v/>
      </c>
      <c r="N1103" s="36" t="str">
        <f t="shared" si="2"/>
        <v/>
      </c>
      <c r="O1103" s="36" t="str">
        <f t="shared" si="3"/>
        <v/>
      </c>
      <c r="P1103" s="15"/>
      <c r="Q1103" s="37" t="str">
        <f t="shared" si="4"/>
        <v/>
      </c>
      <c r="R1103" s="37" t="str">
        <f t="shared" si="5"/>
        <v/>
      </c>
      <c r="S1103" s="32" t="str">
        <f t="shared" si="6"/>
        <v/>
      </c>
      <c r="T1103" s="37" t="str">
        <f t="shared" si="7"/>
        <v/>
      </c>
      <c r="U1103" s="37" t="str">
        <f t="array" ref="U1103">IF($F1103="","",IFERROR(INDEX(Config!$F:$F,MATCH($F1103,Config!$D:$D,0)),0))</f>
        <v/>
      </c>
    </row>
    <row r="1104" ht="15.0" customHeight="1">
      <c r="A1104" s="34"/>
      <c r="B1104" s="35"/>
      <c r="C1104" s="15"/>
      <c r="D1104" s="15"/>
      <c r="E1104" s="15"/>
      <c r="F1104" s="15"/>
      <c r="G1104" s="36" t="str">
        <f t="array" ref="G1104">IF($F1104="","",IFERROR(INDEX(Config!$E:$E,MATCH($F1104,Config!$D:$D,0)),0))</f>
        <v/>
      </c>
      <c r="H1104" s="16"/>
      <c r="I1104" s="36" t="str">
        <f t="shared" si="1"/>
        <v/>
      </c>
      <c r="J1104" s="16"/>
      <c r="K1104" s="15"/>
      <c r="L1104" s="15"/>
      <c r="M1104" s="36" t="str">
        <f t="array" ref="M1104">IF($A1104="","",IF($L1104="Atendido",IFERROR($I1104*INDEX(Config!$B:$B,MATCH($C1104,Config!$A:$A,0)),0),0))</f>
        <v/>
      </c>
      <c r="N1104" s="36" t="str">
        <f t="shared" si="2"/>
        <v/>
      </c>
      <c r="O1104" s="36" t="str">
        <f t="shared" si="3"/>
        <v/>
      </c>
      <c r="P1104" s="15"/>
      <c r="Q1104" s="37" t="str">
        <f t="shared" si="4"/>
        <v/>
      </c>
      <c r="R1104" s="37" t="str">
        <f t="shared" si="5"/>
        <v/>
      </c>
      <c r="S1104" s="32" t="str">
        <f t="shared" si="6"/>
        <v/>
      </c>
      <c r="T1104" s="37" t="str">
        <f t="shared" si="7"/>
        <v/>
      </c>
      <c r="U1104" s="37" t="str">
        <f t="array" ref="U1104">IF($F1104="","",IFERROR(INDEX(Config!$F:$F,MATCH($F1104,Config!$D:$D,0)),0))</f>
        <v/>
      </c>
    </row>
    <row r="1105" ht="15.0" customHeight="1">
      <c r="A1105" s="34"/>
      <c r="B1105" s="35"/>
      <c r="C1105" s="15"/>
      <c r="D1105" s="15"/>
      <c r="E1105" s="15"/>
      <c r="F1105" s="15"/>
      <c r="G1105" s="36" t="str">
        <f t="array" ref="G1105">IF($F1105="","",IFERROR(INDEX(Config!$E:$E,MATCH($F1105,Config!$D:$D,0)),0))</f>
        <v/>
      </c>
      <c r="H1105" s="16"/>
      <c r="I1105" s="36" t="str">
        <f t="shared" si="1"/>
        <v/>
      </c>
      <c r="J1105" s="16"/>
      <c r="K1105" s="15"/>
      <c r="L1105" s="15"/>
      <c r="M1105" s="36" t="str">
        <f t="array" ref="M1105">IF($A1105="","",IF($L1105="Atendido",IFERROR($I1105*INDEX(Config!$B:$B,MATCH($C1105,Config!$A:$A,0)),0),0))</f>
        <v/>
      </c>
      <c r="N1105" s="36" t="str">
        <f t="shared" si="2"/>
        <v/>
      </c>
      <c r="O1105" s="36" t="str">
        <f t="shared" si="3"/>
        <v/>
      </c>
      <c r="P1105" s="15"/>
      <c r="Q1105" s="37" t="str">
        <f t="shared" si="4"/>
        <v/>
      </c>
      <c r="R1105" s="37" t="str">
        <f t="shared" si="5"/>
        <v/>
      </c>
      <c r="S1105" s="32" t="str">
        <f t="shared" si="6"/>
        <v/>
      </c>
      <c r="T1105" s="37" t="str">
        <f t="shared" si="7"/>
        <v/>
      </c>
      <c r="U1105" s="37" t="str">
        <f t="array" ref="U1105">IF($F1105="","",IFERROR(INDEX(Config!$F:$F,MATCH($F1105,Config!$D:$D,0)),0))</f>
        <v/>
      </c>
    </row>
    <row r="1106" ht="15.0" customHeight="1">
      <c r="A1106" s="34"/>
      <c r="B1106" s="35"/>
      <c r="C1106" s="15"/>
      <c r="D1106" s="15"/>
      <c r="E1106" s="15"/>
      <c r="F1106" s="15"/>
      <c r="G1106" s="36" t="str">
        <f t="array" ref="G1106">IF($F1106="","",IFERROR(INDEX(Config!$E:$E,MATCH($F1106,Config!$D:$D,0)),0))</f>
        <v/>
      </c>
      <c r="H1106" s="16"/>
      <c r="I1106" s="36" t="str">
        <f t="shared" si="1"/>
        <v/>
      </c>
      <c r="J1106" s="16"/>
      <c r="K1106" s="15"/>
      <c r="L1106" s="15"/>
      <c r="M1106" s="36" t="str">
        <f t="array" ref="M1106">IF($A1106="","",IF($L1106="Atendido",IFERROR($I1106*INDEX(Config!$B:$B,MATCH($C1106,Config!$A:$A,0)),0),0))</f>
        <v/>
      </c>
      <c r="N1106" s="36" t="str">
        <f t="shared" si="2"/>
        <v/>
      </c>
      <c r="O1106" s="36" t="str">
        <f t="shared" si="3"/>
        <v/>
      </c>
      <c r="P1106" s="15"/>
      <c r="Q1106" s="37" t="str">
        <f t="shared" si="4"/>
        <v/>
      </c>
      <c r="R1106" s="37" t="str">
        <f t="shared" si="5"/>
        <v/>
      </c>
      <c r="S1106" s="32" t="str">
        <f t="shared" si="6"/>
        <v/>
      </c>
      <c r="T1106" s="37" t="str">
        <f t="shared" si="7"/>
        <v/>
      </c>
      <c r="U1106" s="37" t="str">
        <f t="array" ref="U1106">IF($F1106="","",IFERROR(INDEX(Config!$F:$F,MATCH($F1106,Config!$D:$D,0)),0))</f>
        <v/>
      </c>
    </row>
    <row r="1107" ht="15.0" customHeight="1">
      <c r="A1107" s="34"/>
      <c r="B1107" s="35"/>
      <c r="C1107" s="15"/>
      <c r="D1107" s="15"/>
      <c r="E1107" s="15"/>
      <c r="F1107" s="15"/>
      <c r="G1107" s="36" t="str">
        <f t="array" ref="G1107">IF($F1107="","",IFERROR(INDEX(Config!$E:$E,MATCH($F1107,Config!$D:$D,0)),0))</f>
        <v/>
      </c>
      <c r="H1107" s="16"/>
      <c r="I1107" s="36" t="str">
        <f t="shared" si="1"/>
        <v/>
      </c>
      <c r="J1107" s="16"/>
      <c r="K1107" s="15"/>
      <c r="L1107" s="15"/>
      <c r="M1107" s="36" t="str">
        <f t="array" ref="M1107">IF($A1107="","",IF($L1107="Atendido",IFERROR($I1107*INDEX(Config!$B:$B,MATCH($C1107,Config!$A:$A,0)),0),0))</f>
        <v/>
      </c>
      <c r="N1107" s="36" t="str">
        <f t="shared" si="2"/>
        <v/>
      </c>
      <c r="O1107" s="36" t="str">
        <f t="shared" si="3"/>
        <v/>
      </c>
      <c r="P1107" s="15"/>
      <c r="Q1107" s="37" t="str">
        <f t="shared" si="4"/>
        <v/>
      </c>
      <c r="R1107" s="37" t="str">
        <f t="shared" si="5"/>
        <v/>
      </c>
      <c r="S1107" s="32" t="str">
        <f t="shared" si="6"/>
        <v/>
      </c>
      <c r="T1107" s="37" t="str">
        <f t="shared" si="7"/>
        <v/>
      </c>
      <c r="U1107" s="37" t="str">
        <f t="array" ref="U1107">IF($F1107="","",IFERROR(INDEX(Config!$F:$F,MATCH($F1107,Config!$D:$D,0)),0))</f>
        <v/>
      </c>
    </row>
    <row r="1108" ht="15.0" customHeight="1">
      <c r="A1108" s="34"/>
      <c r="B1108" s="35"/>
      <c r="C1108" s="15"/>
      <c r="D1108" s="15"/>
      <c r="E1108" s="15"/>
      <c r="F1108" s="15"/>
      <c r="G1108" s="36" t="str">
        <f t="array" ref="G1108">IF($F1108="","",IFERROR(INDEX(Config!$E:$E,MATCH($F1108,Config!$D:$D,0)),0))</f>
        <v/>
      </c>
      <c r="H1108" s="16"/>
      <c r="I1108" s="36" t="str">
        <f t="shared" si="1"/>
        <v/>
      </c>
      <c r="J1108" s="16"/>
      <c r="K1108" s="15"/>
      <c r="L1108" s="15"/>
      <c r="M1108" s="36" t="str">
        <f t="array" ref="M1108">IF($A1108="","",IF($L1108="Atendido",IFERROR($I1108*INDEX(Config!$B:$B,MATCH($C1108,Config!$A:$A,0)),0),0))</f>
        <v/>
      </c>
      <c r="N1108" s="36" t="str">
        <f t="shared" si="2"/>
        <v/>
      </c>
      <c r="O1108" s="36" t="str">
        <f t="shared" si="3"/>
        <v/>
      </c>
      <c r="P1108" s="15"/>
      <c r="Q1108" s="37" t="str">
        <f t="shared" si="4"/>
        <v/>
      </c>
      <c r="R1108" s="37" t="str">
        <f t="shared" si="5"/>
        <v/>
      </c>
      <c r="S1108" s="32" t="str">
        <f t="shared" si="6"/>
        <v/>
      </c>
      <c r="T1108" s="37" t="str">
        <f t="shared" si="7"/>
        <v/>
      </c>
      <c r="U1108" s="37" t="str">
        <f t="array" ref="U1108">IF($F1108="","",IFERROR(INDEX(Config!$F:$F,MATCH($F1108,Config!$D:$D,0)),0))</f>
        <v/>
      </c>
    </row>
    <row r="1109" ht="15.0" customHeight="1">
      <c r="A1109" s="34"/>
      <c r="B1109" s="35"/>
      <c r="C1109" s="15"/>
      <c r="D1109" s="15"/>
      <c r="E1109" s="15"/>
      <c r="F1109" s="15"/>
      <c r="G1109" s="36" t="str">
        <f t="array" ref="G1109">IF($F1109="","",IFERROR(INDEX(Config!$E:$E,MATCH($F1109,Config!$D:$D,0)),0))</f>
        <v/>
      </c>
      <c r="H1109" s="16"/>
      <c r="I1109" s="36" t="str">
        <f t="shared" si="1"/>
        <v/>
      </c>
      <c r="J1109" s="16"/>
      <c r="K1109" s="15"/>
      <c r="L1109" s="15"/>
      <c r="M1109" s="36" t="str">
        <f t="array" ref="M1109">IF($A1109="","",IF($L1109="Atendido",IFERROR($I1109*INDEX(Config!$B:$B,MATCH($C1109,Config!$A:$A,0)),0),0))</f>
        <v/>
      </c>
      <c r="N1109" s="36" t="str">
        <f t="shared" si="2"/>
        <v/>
      </c>
      <c r="O1109" s="36" t="str">
        <f t="shared" si="3"/>
        <v/>
      </c>
      <c r="P1109" s="15"/>
      <c r="Q1109" s="37" t="str">
        <f t="shared" si="4"/>
        <v/>
      </c>
      <c r="R1109" s="37" t="str">
        <f t="shared" si="5"/>
        <v/>
      </c>
      <c r="S1109" s="32" t="str">
        <f t="shared" si="6"/>
        <v/>
      </c>
      <c r="T1109" s="37" t="str">
        <f t="shared" si="7"/>
        <v/>
      </c>
      <c r="U1109" s="37" t="str">
        <f t="array" ref="U1109">IF($F1109="","",IFERROR(INDEX(Config!$F:$F,MATCH($F1109,Config!$D:$D,0)),0))</f>
        <v/>
      </c>
    </row>
    <row r="1110" ht="15.0" customHeight="1">
      <c r="A1110" s="34"/>
      <c r="B1110" s="35"/>
      <c r="C1110" s="15"/>
      <c r="D1110" s="15"/>
      <c r="E1110" s="15"/>
      <c r="F1110" s="15"/>
      <c r="G1110" s="36" t="str">
        <f t="array" ref="G1110">IF($F1110="","",IFERROR(INDEX(Config!$E:$E,MATCH($F1110,Config!$D:$D,0)),0))</f>
        <v/>
      </c>
      <c r="H1110" s="16"/>
      <c r="I1110" s="36" t="str">
        <f t="shared" si="1"/>
        <v/>
      </c>
      <c r="J1110" s="16"/>
      <c r="K1110" s="15"/>
      <c r="L1110" s="15"/>
      <c r="M1110" s="36" t="str">
        <f t="array" ref="M1110">IF($A1110="","",IF($L1110="Atendido",IFERROR($I1110*INDEX(Config!$B:$B,MATCH($C1110,Config!$A:$A,0)),0),0))</f>
        <v/>
      </c>
      <c r="N1110" s="36" t="str">
        <f t="shared" si="2"/>
        <v/>
      </c>
      <c r="O1110" s="36" t="str">
        <f t="shared" si="3"/>
        <v/>
      </c>
      <c r="P1110" s="15"/>
      <c r="Q1110" s="37" t="str">
        <f t="shared" si="4"/>
        <v/>
      </c>
      <c r="R1110" s="37" t="str">
        <f t="shared" si="5"/>
        <v/>
      </c>
      <c r="S1110" s="32" t="str">
        <f t="shared" si="6"/>
        <v/>
      </c>
      <c r="T1110" s="37" t="str">
        <f t="shared" si="7"/>
        <v/>
      </c>
      <c r="U1110" s="37" t="str">
        <f t="array" ref="U1110">IF($F1110="","",IFERROR(INDEX(Config!$F:$F,MATCH($F1110,Config!$D:$D,0)),0))</f>
        <v/>
      </c>
    </row>
    <row r="1111" ht="15.0" customHeight="1">
      <c r="A1111" s="34"/>
      <c r="B1111" s="35"/>
      <c r="C1111" s="15"/>
      <c r="D1111" s="15"/>
      <c r="E1111" s="15"/>
      <c r="F1111" s="15"/>
      <c r="G1111" s="36" t="str">
        <f t="array" ref="G1111">IF($F1111="","",IFERROR(INDEX(Config!$E:$E,MATCH($F1111,Config!$D:$D,0)),0))</f>
        <v/>
      </c>
      <c r="H1111" s="16"/>
      <c r="I1111" s="36" t="str">
        <f t="shared" si="1"/>
        <v/>
      </c>
      <c r="J1111" s="16"/>
      <c r="K1111" s="15"/>
      <c r="L1111" s="15"/>
      <c r="M1111" s="36" t="str">
        <f t="array" ref="M1111">IF($A1111="","",IF($L1111="Atendido",IFERROR($I1111*INDEX(Config!$B:$B,MATCH($C1111,Config!$A:$A,0)),0),0))</f>
        <v/>
      </c>
      <c r="N1111" s="36" t="str">
        <f t="shared" si="2"/>
        <v/>
      </c>
      <c r="O1111" s="36" t="str">
        <f t="shared" si="3"/>
        <v/>
      </c>
      <c r="P1111" s="15"/>
      <c r="Q1111" s="37" t="str">
        <f t="shared" si="4"/>
        <v/>
      </c>
      <c r="R1111" s="37" t="str">
        <f t="shared" si="5"/>
        <v/>
      </c>
      <c r="S1111" s="32" t="str">
        <f t="shared" si="6"/>
        <v/>
      </c>
      <c r="T1111" s="37" t="str">
        <f t="shared" si="7"/>
        <v/>
      </c>
      <c r="U1111" s="37" t="str">
        <f t="array" ref="U1111">IF($F1111="","",IFERROR(INDEX(Config!$F:$F,MATCH($F1111,Config!$D:$D,0)),0))</f>
        <v/>
      </c>
    </row>
    <row r="1112" ht="15.0" customHeight="1">
      <c r="A1112" s="34"/>
      <c r="B1112" s="35"/>
      <c r="C1112" s="15"/>
      <c r="D1112" s="15"/>
      <c r="E1112" s="15"/>
      <c r="F1112" s="15"/>
      <c r="G1112" s="36" t="str">
        <f t="array" ref="G1112">IF($F1112="","",IFERROR(INDEX(Config!$E:$E,MATCH($F1112,Config!$D:$D,0)),0))</f>
        <v/>
      </c>
      <c r="H1112" s="16"/>
      <c r="I1112" s="36" t="str">
        <f t="shared" si="1"/>
        <v/>
      </c>
      <c r="J1112" s="16"/>
      <c r="K1112" s="15"/>
      <c r="L1112" s="15"/>
      <c r="M1112" s="36" t="str">
        <f t="array" ref="M1112">IF($A1112="","",IF($L1112="Atendido",IFERROR($I1112*INDEX(Config!$B:$B,MATCH($C1112,Config!$A:$A,0)),0),0))</f>
        <v/>
      </c>
      <c r="N1112" s="36" t="str">
        <f t="shared" si="2"/>
        <v/>
      </c>
      <c r="O1112" s="36" t="str">
        <f t="shared" si="3"/>
        <v/>
      </c>
      <c r="P1112" s="15"/>
      <c r="Q1112" s="37" t="str">
        <f t="shared" si="4"/>
        <v/>
      </c>
      <c r="R1112" s="37" t="str">
        <f t="shared" si="5"/>
        <v/>
      </c>
      <c r="S1112" s="32" t="str">
        <f t="shared" si="6"/>
        <v/>
      </c>
      <c r="T1112" s="37" t="str">
        <f t="shared" si="7"/>
        <v/>
      </c>
      <c r="U1112" s="37" t="str">
        <f t="array" ref="U1112">IF($F1112="","",IFERROR(INDEX(Config!$F:$F,MATCH($F1112,Config!$D:$D,0)),0))</f>
        <v/>
      </c>
    </row>
    <row r="1113" ht="15.0" customHeight="1">
      <c r="A1113" s="34"/>
      <c r="B1113" s="35"/>
      <c r="C1113" s="15"/>
      <c r="D1113" s="15"/>
      <c r="E1113" s="15"/>
      <c r="F1113" s="15"/>
      <c r="G1113" s="36" t="str">
        <f t="array" ref="G1113">IF($F1113="","",IFERROR(INDEX(Config!$E:$E,MATCH($F1113,Config!$D:$D,0)),0))</f>
        <v/>
      </c>
      <c r="H1113" s="16"/>
      <c r="I1113" s="36" t="str">
        <f t="shared" si="1"/>
        <v/>
      </c>
      <c r="J1113" s="16"/>
      <c r="K1113" s="15"/>
      <c r="L1113" s="15"/>
      <c r="M1113" s="36" t="str">
        <f t="array" ref="M1113">IF($A1113="","",IF($L1113="Atendido",IFERROR($I1113*INDEX(Config!$B:$B,MATCH($C1113,Config!$A:$A,0)),0),0))</f>
        <v/>
      </c>
      <c r="N1113" s="36" t="str">
        <f t="shared" si="2"/>
        <v/>
      </c>
      <c r="O1113" s="36" t="str">
        <f t="shared" si="3"/>
        <v/>
      </c>
      <c r="P1113" s="15"/>
      <c r="Q1113" s="37" t="str">
        <f t="shared" si="4"/>
        <v/>
      </c>
      <c r="R1113" s="37" t="str">
        <f t="shared" si="5"/>
        <v/>
      </c>
      <c r="S1113" s="32" t="str">
        <f t="shared" si="6"/>
        <v/>
      </c>
      <c r="T1113" s="37" t="str">
        <f t="shared" si="7"/>
        <v/>
      </c>
      <c r="U1113" s="37" t="str">
        <f t="array" ref="U1113">IF($F1113="","",IFERROR(INDEX(Config!$F:$F,MATCH($F1113,Config!$D:$D,0)),0))</f>
        <v/>
      </c>
    </row>
    <row r="1114" ht="15.0" customHeight="1">
      <c r="A1114" s="34"/>
      <c r="B1114" s="35"/>
      <c r="C1114" s="15"/>
      <c r="D1114" s="15"/>
      <c r="E1114" s="15"/>
      <c r="F1114" s="15"/>
      <c r="G1114" s="36" t="str">
        <f t="array" ref="G1114">IF($F1114="","",IFERROR(INDEX(Config!$E:$E,MATCH($F1114,Config!$D:$D,0)),0))</f>
        <v/>
      </c>
      <c r="H1114" s="16"/>
      <c r="I1114" s="36" t="str">
        <f t="shared" si="1"/>
        <v/>
      </c>
      <c r="J1114" s="16"/>
      <c r="K1114" s="15"/>
      <c r="L1114" s="15"/>
      <c r="M1114" s="36" t="str">
        <f t="array" ref="M1114">IF($A1114="","",IF($L1114="Atendido",IFERROR($I1114*INDEX(Config!$B:$B,MATCH($C1114,Config!$A:$A,0)),0),0))</f>
        <v/>
      </c>
      <c r="N1114" s="36" t="str">
        <f t="shared" si="2"/>
        <v/>
      </c>
      <c r="O1114" s="36" t="str">
        <f t="shared" si="3"/>
        <v/>
      </c>
      <c r="P1114" s="15"/>
      <c r="Q1114" s="37" t="str">
        <f t="shared" si="4"/>
        <v/>
      </c>
      <c r="R1114" s="37" t="str">
        <f t="shared" si="5"/>
        <v/>
      </c>
      <c r="S1114" s="32" t="str">
        <f t="shared" si="6"/>
        <v/>
      </c>
      <c r="T1114" s="37" t="str">
        <f t="shared" si="7"/>
        <v/>
      </c>
      <c r="U1114" s="37" t="str">
        <f t="array" ref="U1114">IF($F1114="","",IFERROR(INDEX(Config!$F:$F,MATCH($F1114,Config!$D:$D,0)),0))</f>
        <v/>
      </c>
    </row>
    <row r="1115" ht="15.0" customHeight="1">
      <c r="A1115" s="34"/>
      <c r="B1115" s="35"/>
      <c r="C1115" s="15"/>
      <c r="D1115" s="15"/>
      <c r="E1115" s="15"/>
      <c r="F1115" s="15"/>
      <c r="G1115" s="36" t="str">
        <f t="array" ref="G1115">IF($F1115="","",IFERROR(INDEX(Config!$E:$E,MATCH($F1115,Config!$D:$D,0)),0))</f>
        <v/>
      </c>
      <c r="H1115" s="16"/>
      <c r="I1115" s="36" t="str">
        <f t="shared" si="1"/>
        <v/>
      </c>
      <c r="J1115" s="16"/>
      <c r="K1115" s="15"/>
      <c r="L1115" s="15"/>
      <c r="M1115" s="36" t="str">
        <f t="array" ref="M1115">IF($A1115="","",IF($L1115="Atendido",IFERROR($I1115*INDEX(Config!$B:$B,MATCH($C1115,Config!$A:$A,0)),0),0))</f>
        <v/>
      </c>
      <c r="N1115" s="36" t="str">
        <f t="shared" si="2"/>
        <v/>
      </c>
      <c r="O1115" s="36" t="str">
        <f t="shared" si="3"/>
        <v/>
      </c>
      <c r="P1115" s="15"/>
      <c r="Q1115" s="37" t="str">
        <f t="shared" si="4"/>
        <v/>
      </c>
      <c r="R1115" s="37" t="str">
        <f t="shared" si="5"/>
        <v/>
      </c>
      <c r="S1115" s="32" t="str">
        <f t="shared" si="6"/>
        <v/>
      </c>
      <c r="T1115" s="37" t="str">
        <f t="shared" si="7"/>
        <v/>
      </c>
      <c r="U1115" s="37" t="str">
        <f t="array" ref="U1115">IF($F1115="","",IFERROR(INDEX(Config!$F:$F,MATCH($F1115,Config!$D:$D,0)),0))</f>
        <v/>
      </c>
    </row>
    <row r="1116" ht="15.0" customHeight="1">
      <c r="A1116" s="34"/>
      <c r="B1116" s="35"/>
      <c r="C1116" s="15"/>
      <c r="D1116" s="15"/>
      <c r="E1116" s="15"/>
      <c r="F1116" s="15"/>
      <c r="G1116" s="36" t="str">
        <f t="array" ref="G1116">IF($F1116="","",IFERROR(INDEX(Config!$E:$E,MATCH($F1116,Config!$D:$D,0)),0))</f>
        <v/>
      </c>
      <c r="H1116" s="16"/>
      <c r="I1116" s="36" t="str">
        <f t="shared" si="1"/>
        <v/>
      </c>
      <c r="J1116" s="16"/>
      <c r="K1116" s="15"/>
      <c r="L1116" s="15"/>
      <c r="M1116" s="36" t="str">
        <f t="array" ref="M1116">IF($A1116="","",IF($L1116="Atendido",IFERROR($I1116*INDEX(Config!$B:$B,MATCH($C1116,Config!$A:$A,0)),0),0))</f>
        <v/>
      </c>
      <c r="N1116" s="36" t="str">
        <f t="shared" si="2"/>
        <v/>
      </c>
      <c r="O1116" s="36" t="str">
        <f t="shared" si="3"/>
        <v/>
      </c>
      <c r="P1116" s="15"/>
      <c r="Q1116" s="37" t="str">
        <f t="shared" si="4"/>
        <v/>
      </c>
      <c r="R1116" s="37" t="str">
        <f t="shared" si="5"/>
        <v/>
      </c>
      <c r="S1116" s="32" t="str">
        <f t="shared" si="6"/>
        <v/>
      </c>
      <c r="T1116" s="37" t="str">
        <f t="shared" si="7"/>
        <v/>
      </c>
      <c r="U1116" s="37" t="str">
        <f t="array" ref="U1116">IF($F1116="","",IFERROR(INDEX(Config!$F:$F,MATCH($F1116,Config!$D:$D,0)),0))</f>
        <v/>
      </c>
    </row>
    <row r="1117" ht="15.0" customHeight="1">
      <c r="A1117" s="34"/>
      <c r="B1117" s="35"/>
      <c r="C1117" s="15"/>
      <c r="D1117" s="15"/>
      <c r="E1117" s="15"/>
      <c r="F1117" s="15"/>
      <c r="G1117" s="36" t="str">
        <f t="array" ref="G1117">IF($F1117="","",IFERROR(INDEX(Config!$E:$E,MATCH($F1117,Config!$D:$D,0)),0))</f>
        <v/>
      </c>
      <c r="H1117" s="16"/>
      <c r="I1117" s="36" t="str">
        <f t="shared" si="1"/>
        <v/>
      </c>
      <c r="J1117" s="16"/>
      <c r="K1117" s="15"/>
      <c r="L1117" s="15"/>
      <c r="M1117" s="36" t="str">
        <f t="array" ref="M1117">IF($A1117="","",IF($L1117="Atendido",IFERROR($I1117*INDEX(Config!$B:$B,MATCH($C1117,Config!$A:$A,0)),0),0))</f>
        <v/>
      </c>
      <c r="N1117" s="36" t="str">
        <f t="shared" si="2"/>
        <v/>
      </c>
      <c r="O1117" s="36" t="str">
        <f t="shared" si="3"/>
        <v/>
      </c>
      <c r="P1117" s="15"/>
      <c r="Q1117" s="37" t="str">
        <f t="shared" si="4"/>
        <v/>
      </c>
      <c r="R1117" s="37" t="str">
        <f t="shared" si="5"/>
        <v/>
      </c>
      <c r="S1117" s="32" t="str">
        <f t="shared" si="6"/>
        <v/>
      </c>
      <c r="T1117" s="37" t="str">
        <f t="shared" si="7"/>
        <v/>
      </c>
      <c r="U1117" s="37" t="str">
        <f t="array" ref="U1117">IF($F1117="","",IFERROR(INDEX(Config!$F:$F,MATCH($F1117,Config!$D:$D,0)),0))</f>
        <v/>
      </c>
    </row>
    <row r="1118" ht="15.0" customHeight="1">
      <c r="A1118" s="34"/>
      <c r="B1118" s="35"/>
      <c r="C1118" s="15"/>
      <c r="D1118" s="15"/>
      <c r="E1118" s="15"/>
      <c r="F1118" s="15"/>
      <c r="G1118" s="36" t="str">
        <f t="array" ref="G1118">IF($F1118="","",IFERROR(INDEX(Config!$E:$E,MATCH($F1118,Config!$D:$D,0)),0))</f>
        <v/>
      </c>
      <c r="H1118" s="16"/>
      <c r="I1118" s="36" t="str">
        <f t="shared" si="1"/>
        <v/>
      </c>
      <c r="J1118" s="16"/>
      <c r="K1118" s="15"/>
      <c r="L1118" s="15"/>
      <c r="M1118" s="36" t="str">
        <f t="array" ref="M1118">IF($A1118="","",IF($L1118="Atendido",IFERROR($I1118*INDEX(Config!$B:$B,MATCH($C1118,Config!$A:$A,0)),0),0))</f>
        <v/>
      </c>
      <c r="N1118" s="36" t="str">
        <f t="shared" si="2"/>
        <v/>
      </c>
      <c r="O1118" s="36" t="str">
        <f t="shared" si="3"/>
        <v/>
      </c>
      <c r="P1118" s="15"/>
      <c r="Q1118" s="37" t="str">
        <f t="shared" si="4"/>
        <v/>
      </c>
      <c r="R1118" s="37" t="str">
        <f t="shared" si="5"/>
        <v/>
      </c>
      <c r="S1118" s="32" t="str">
        <f t="shared" si="6"/>
        <v/>
      </c>
      <c r="T1118" s="37" t="str">
        <f t="shared" si="7"/>
        <v/>
      </c>
      <c r="U1118" s="37" t="str">
        <f t="array" ref="U1118">IF($F1118="","",IFERROR(INDEX(Config!$F:$F,MATCH($F1118,Config!$D:$D,0)),0))</f>
        <v/>
      </c>
    </row>
    <row r="1119" ht="15.0" customHeight="1">
      <c r="A1119" s="34"/>
      <c r="B1119" s="35"/>
      <c r="C1119" s="15"/>
      <c r="D1119" s="15"/>
      <c r="E1119" s="15"/>
      <c r="F1119" s="15"/>
      <c r="G1119" s="36" t="str">
        <f t="array" ref="G1119">IF($F1119="","",IFERROR(INDEX(Config!$E:$E,MATCH($F1119,Config!$D:$D,0)),0))</f>
        <v/>
      </c>
      <c r="H1119" s="16"/>
      <c r="I1119" s="36" t="str">
        <f t="shared" si="1"/>
        <v/>
      </c>
      <c r="J1119" s="16"/>
      <c r="K1119" s="15"/>
      <c r="L1119" s="15"/>
      <c r="M1119" s="36" t="str">
        <f t="array" ref="M1119">IF($A1119="","",IF($L1119="Atendido",IFERROR($I1119*INDEX(Config!$B:$B,MATCH($C1119,Config!$A:$A,0)),0),0))</f>
        <v/>
      </c>
      <c r="N1119" s="36" t="str">
        <f t="shared" si="2"/>
        <v/>
      </c>
      <c r="O1119" s="36" t="str">
        <f t="shared" si="3"/>
        <v/>
      </c>
      <c r="P1119" s="15"/>
      <c r="Q1119" s="37" t="str">
        <f t="shared" si="4"/>
        <v/>
      </c>
      <c r="R1119" s="37" t="str">
        <f t="shared" si="5"/>
        <v/>
      </c>
      <c r="S1119" s="32" t="str">
        <f t="shared" si="6"/>
        <v/>
      </c>
      <c r="T1119" s="37" t="str">
        <f t="shared" si="7"/>
        <v/>
      </c>
      <c r="U1119" s="37" t="str">
        <f t="array" ref="U1119">IF($F1119="","",IFERROR(INDEX(Config!$F:$F,MATCH($F1119,Config!$D:$D,0)),0))</f>
        <v/>
      </c>
    </row>
    <row r="1120" ht="15.0" customHeight="1">
      <c r="A1120" s="34"/>
      <c r="B1120" s="35"/>
      <c r="C1120" s="15"/>
      <c r="D1120" s="15"/>
      <c r="E1120" s="15"/>
      <c r="F1120" s="15"/>
      <c r="G1120" s="36" t="str">
        <f t="array" ref="G1120">IF($F1120="","",IFERROR(INDEX(Config!$E:$E,MATCH($F1120,Config!$D:$D,0)),0))</f>
        <v/>
      </c>
      <c r="H1120" s="16"/>
      <c r="I1120" s="36" t="str">
        <f t="shared" si="1"/>
        <v/>
      </c>
      <c r="J1120" s="16"/>
      <c r="K1120" s="15"/>
      <c r="L1120" s="15"/>
      <c r="M1120" s="36" t="str">
        <f t="array" ref="M1120">IF($A1120="","",IF($L1120="Atendido",IFERROR($I1120*INDEX(Config!$B:$B,MATCH($C1120,Config!$A:$A,0)),0),0))</f>
        <v/>
      </c>
      <c r="N1120" s="36" t="str">
        <f t="shared" si="2"/>
        <v/>
      </c>
      <c r="O1120" s="36" t="str">
        <f t="shared" si="3"/>
        <v/>
      </c>
      <c r="P1120" s="15"/>
      <c r="Q1120" s="37" t="str">
        <f t="shared" si="4"/>
        <v/>
      </c>
      <c r="R1120" s="37" t="str">
        <f t="shared" si="5"/>
        <v/>
      </c>
      <c r="S1120" s="32" t="str">
        <f t="shared" si="6"/>
        <v/>
      </c>
      <c r="T1120" s="37" t="str">
        <f t="shared" si="7"/>
        <v/>
      </c>
      <c r="U1120" s="37" t="str">
        <f t="array" ref="U1120">IF($F1120="","",IFERROR(INDEX(Config!$F:$F,MATCH($F1120,Config!$D:$D,0)),0))</f>
        <v/>
      </c>
    </row>
    <row r="1121" ht="15.0" customHeight="1">
      <c r="A1121" s="34"/>
      <c r="B1121" s="35"/>
      <c r="C1121" s="15"/>
      <c r="D1121" s="15"/>
      <c r="E1121" s="15"/>
      <c r="F1121" s="15"/>
      <c r="G1121" s="36" t="str">
        <f t="array" ref="G1121">IF($F1121="","",IFERROR(INDEX(Config!$E:$E,MATCH($F1121,Config!$D:$D,0)),0))</f>
        <v/>
      </c>
      <c r="H1121" s="16"/>
      <c r="I1121" s="36" t="str">
        <f t="shared" si="1"/>
        <v/>
      </c>
      <c r="J1121" s="16"/>
      <c r="K1121" s="15"/>
      <c r="L1121" s="15"/>
      <c r="M1121" s="36" t="str">
        <f t="array" ref="M1121">IF($A1121="","",IF($L1121="Atendido",IFERROR($I1121*INDEX(Config!$B:$B,MATCH($C1121,Config!$A:$A,0)),0),0))</f>
        <v/>
      </c>
      <c r="N1121" s="36" t="str">
        <f t="shared" si="2"/>
        <v/>
      </c>
      <c r="O1121" s="36" t="str">
        <f t="shared" si="3"/>
        <v/>
      </c>
      <c r="P1121" s="15"/>
      <c r="Q1121" s="37" t="str">
        <f t="shared" si="4"/>
        <v/>
      </c>
      <c r="R1121" s="37" t="str">
        <f t="shared" si="5"/>
        <v/>
      </c>
      <c r="S1121" s="32" t="str">
        <f t="shared" si="6"/>
        <v/>
      </c>
      <c r="T1121" s="37" t="str">
        <f t="shared" si="7"/>
        <v/>
      </c>
      <c r="U1121" s="37" t="str">
        <f t="array" ref="U1121">IF($F1121="","",IFERROR(INDEX(Config!$F:$F,MATCH($F1121,Config!$D:$D,0)),0))</f>
        <v/>
      </c>
    </row>
    <row r="1122" ht="15.0" customHeight="1">
      <c r="A1122" s="34"/>
      <c r="B1122" s="35"/>
      <c r="C1122" s="15"/>
      <c r="D1122" s="15"/>
      <c r="E1122" s="15"/>
      <c r="F1122" s="15"/>
      <c r="G1122" s="36" t="str">
        <f t="array" ref="G1122">IF($F1122="","",IFERROR(INDEX(Config!$E:$E,MATCH($F1122,Config!$D:$D,0)),0))</f>
        <v/>
      </c>
      <c r="H1122" s="16"/>
      <c r="I1122" s="36" t="str">
        <f t="shared" si="1"/>
        <v/>
      </c>
      <c r="J1122" s="16"/>
      <c r="K1122" s="15"/>
      <c r="L1122" s="15"/>
      <c r="M1122" s="36" t="str">
        <f t="array" ref="M1122">IF($A1122="","",IF($L1122="Atendido",IFERROR($I1122*INDEX(Config!$B:$B,MATCH($C1122,Config!$A:$A,0)),0),0))</f>
        <v/>
      </c>
      <c r="N1122" s="36" t="str">
        <f t="shared" si="2"/>
        <v/>
      </c>
      <c r="O1122" s="36" t="str">
        <f t="shared" si="3"/>
        <v/>
      </c>
      <c r="P1122" s="15"/>
      <c r="Q1122" s="37" t="str">
        <f t="shared" si="4"/>
        <v/>
      </c>
      <c r="R1122" s="37" t="str">
        <f t="shared" si="5"/>
        <v/>
      </c>
      <c r="S1122" s="32" t="str">
        <f t="shared" si="6"/>
        <v/>
      </c>
      <c r="T1122" s="37" t="str">
        <f t="shared" si="7"/>
        <v/>
      </c>
      <c r="U1122" s="37" t="str">
        <f t="array" ref="U1122">IF($F1122="","",IFERROR(INDEX(Config!$F:$F,MATCH($F1122,Config!$D:$D,0)),0))</f>
        <v/>
      </c>
    </row>
    <row r="1123" ht="15.0" customHeight="1">
      <c r="A1123" s="34"/>
      <c r="B1123" s="35"/>
      <c r="C1123" s="15"/>
      <c r="D1123" s="15"/>
      <c r="E1123" s="15"/>
      <c r="F1123" s="15"/>
      <c r="G1123" s="36" t="str">
        <f t="array" ref="G1123">IF($F1123="","",IFERROR(INDEX(Config!$E:$E,MATCH($F1123,Config!$D:$D,0)),0))</f>
        <v/>
      </c>
      <c r="H1123" s="16"/>
      <c r="I1123" s="36" t="str">
        <f t="shared" si="1"/>
        <v/>
      </c>
      <c r="J1123" s="16"/>
      <c r="K1123" s="15"/>
      <c r="L1123" s="15"/>
      <c r="M1123" s="36" t="str">
        <f t="array" ref="M1123">IF($A1123="","",IF($L1123="Atendido",IFERROR($I1123*INDEX(Config!$B:$B,MATCH($C1123,Config!$A:$A,0)),0),0))</f>
        <v/>
      </c>
      <c r="N1123" s="36" t="str">
        <f t="shared" si="2"/>
        <v/>
      </c>
      <c r="O1123" s="36" t="str">
        <f t="shared" si="3"/>
        <v/>
      </c>
      <c r="P1123" s="15"/>
      <c r="Q1123" s="37" t="str">
        <f t="shared" si="4"/>
        <v/>
      </c>
      <c r="R1123" s="37" t="str">
        <f t="shared" si="5"/>
        <v/>
      </c>
      <c r="S1123" s="32" t="str">
        <f t="shared" si="6"/>
        <v/>
      </c>
      <c r="T1123" s="37" t="str">
        <f t="shared" si="7"/>
        <v/>
      </c>
      <c r="U1123" s="37" t="str">
        <f t="array" ref="U1123">IF($F1123="","",IFERROR(INDEX(Config!$F:$F,MATCH($F1123,Config!$D:$D,0)),0))</f>
        <v/>
      </c>
    </row>
    <row r="1124" ht="15.0" customHeight="1">
      <c r="A1124" s="34"/>
      <c r="B1124" s="35"/>
      <c r="C1124" s="15"/>
      <c r="D1124" s="15"/>
      <c r="E1124" s="15"/>
      <c r="F1124" s="15"/>
      <c r="G1124" s="36" t="str">
        <f t="array" ref="G1124">IF($F1124="","",IFERROR(INDEX(Config!$E:$E,MATCH($F1124,Config!$D:$D,0)),0))</f>
        <v/>
      </c>
      <c r="H1124" s="16"/>
      <c r="I1124" s="36" t="str">
        <f t="shared" si="1"/>
        <v/>
      </c>
      <c r="J1124" s="16"/>
      <c r="K1124" s="15"/>
      <c r="L1124" s="15"/>
      <c r="M1124" s="36" t="str">
        <f t="array" ref="M1124">IF($A1124="","",IF($L1124="Atendido",IFERROR($I1124*INDEX(Config!$B:$B,MATCH($C1124,Config!$A:$A,0)),0),0))</f>
        <v/>
      </c>
      <c r="N1124" s="36" t="str">
        <f t="shared" si="2"/>
        <v/>
      </c>
      <c r="O1124" s="36" t="str">
        <f t="shared" si="3"/>
        <v/>
      </c>
      <c r="P1124" s="15"/>
      <c r="Q1124" s="37" t="str">
        <f t="shared" si="4"/>
        <v/>
      </c>
      <c r="R1124" s="37" t="str">
        <f t="shared" si="5"/>
        <v/>
      </c>
      <c r="S1124" s="32" t="str">
        <f t="shared" si="6"/>
        <v/>
      </c>
      <c r="T1124" s="37" t="str">
        <f t="shared" si="7"/>
        <v/>
      </c>
      <c r="U1124" s="37" t="str">
        <f t="array" ref="U1124">IF($F1124="","",IFERROR(INDEX(Config!$F:$F,MATCH($F1124,Config!$D:$D,0)),0))</f>
        <v/>
      </c>
    </row>
    <row r="1125" ht="15.0" customHeight="1">
      <c r="A1125" s="34"/>
      <c r="B1125" s="35"/>
      <c r="C1125" s="15"/>
      <c r="D1125" s="15"/>
      <c r="E1125" s="15"/>
      <c r="F1125" s="15"/>
      <c r="G1125" s="36" t="str">
        <f t="array" ref="G1125">IF($F1125="","",IFERROR(INDEX(Config!$E:$E,MATCH($F1125,Config!$D:$D,0)),0))</f>
        <v/>
      </c>
      <c r="H1125" s="16"/>
      <c r="I1125" s="36" t="str">
        <f t="shared" si="1"/>
        <v/>
      </c>
      <c r="J1125" s="16"/>
      <c r="K1125" s="15"/>
      <c r="L1125" s="15"/>
      <c r="M1125" s="36" t="str">
        <f t="array" ref="M1125">IF($A1125="","",IF($L1125="Atendido",IFERROR($I1125*INDEX(Config!$B:$B,MATCH($C1125,Config!$A:$A,0)),0),0))</f>
        <v/>
      </c>
      <c r="N1125" s="36" t="str">
        <f t="shared" si="2"/>
        <v/>
      </c>
      <c r="O1125" s="36" t="str">
        <f t="shared" si="3"/>
        <v/>
      </c>
      <c r="P1125" s="15"/>
      <c r="Q1125" s="37" t="str">
        <f t="shared" si="4"/>
        <v/>
      </c>
      <c r="R1125" s="37" t="str">
        <f t="shared" si="5"/>
        <v/>
      </c>
      <c r="S1125" s="32" t="str">
        <f t="shared" si="6"/>
        <v/>
      </c>
      <c r="T1125" s="37" t="str">
        <f t="shared" si="7"/>
        <v/>
      </c>
      <c r="U1125" s="37" t="str">
        <f t="array" ref="U1125">IF($F1125="","",IFERROR(INDEX(Config!$F:$F,MATCH($F1125,Config!$D:$D,0)),0))</f>
        <v/>
      </c>
    </row>
    <row r="1126" ht="15.0" customHeight="1">
      <c r="A1126" s="34"/>
      <c r="B1126" s="35"/>
      <c r="C1126" s="15"/>
      <c r="D1126" s="15"/>
      <c r="E1126" s="15"/>
      <c r="F1126" s="15"/>
      <c r="G1126" s="36" t="str">
        <f t="array" ref="G1126">IF($F1126="","",IFERROR(INDEX(Config!$E:$E,MATCH($F1126,Config!$D:$D,0)),0))</f>
        <v/>
      </c>
      <c r="H1126" s="16"/>
      <c r="I1126" s="36" t="str">
        <f t="shared" si="1"/>
        <v/>
      </c>
      <c r="J1126" s="16"/>
      <c r="K1126" s="15"/>
      <c r="L1126" s="15"/>
      <c r="M1126" s="36" t="str">
        <f t="array" ref="M1126">IF($A1126="","",IF($L1126="Atendido",IFERROR($I1126*INDEX(Config!$B:$B,MATCH($C1126,Config!$A:$A,0)),0),0))</f>
        <v/>
      </c>
      <c r="N1126" s="36" t="str">
        <f t="shared" si="2"/>
        <v/>
      </c>
      <c r="O1126" s="36" t="str">
        <f t="shared" si="3"/>
        <v/>
      </c>
      <c r="P1126" s="15"/>
      <c r="Q1126" s="37" t="str">
        <f t="shared" si="4"/>
        <v/>
      </c>
      <c r="R1126" s="37" t="str">
        <f t="shared" si="5"/>
        <v/>
      </c>
      <c r="S1126" s="32" t="str">
        <f t="shared" si="6"/>
        <v/>
      </c>
      <c r="T1126" s="37" t="str">
        <f t="shared" si="7"/>
        <v/>
      </c>
      <c r="U1126" s="37" t="str">
        <f t="array" ref="U1126">IF($F1126="","",IFERROR(INDEX(Config!$F:$F,MATCH($F1126,Config!$D:$D,0)),0))</f>
        <v/>
      </c>
    </row>
    <row r="1127" ht="15.0" customHeight="1">
      <c r="A1127" s="34"/>
      <c r="B1127" s="35"/>
      <c r="C1127" s="15"/>
      <c r="D1127" s="15"/>
      <c r="E1127" s="15"/>
      <c r="F1127" s="15"/>
      <c r="G1127" s="36" t="str">
        <f t="array" ref="G1127">IF($F1127="","",IFERROR(INDEX(Config!$E:$E,MATCH($F1127,Config!$D:$D,0)),0))</f>
        <v/>
      </c>
      <c r="H1127" s="16"/>
      <c r="I1127" s="36" t="str">
        <f t="shared" si="1"/>
        <v/>
      </c>
      <c r="J1127" s="16"/>
      <c r="K1127" s="15"/>
      <c r="L1127" s="15"/>
      <c r="M1127" s="36" t="str">
        <f t="array" ref="M1127">IF($A1127="","",IF($L1127="Atendido",IFERROR($I1127*INDEX(Config!$B:$B,MATCH($C1127,Config!$A:$A,0)),0),0))</f>
        <v/>
      </c>
      <c r="N1127" s="36" t="str">
        <f t="shared" si="2"/>
        <v/>
      </c>
      <c r="O1127" s="36" t="str">
        <f t="shared" si="3"/>
        <v/>
      </c>
      <c r="P1127" s="15"/>
      <c r="Q1127" s="37" t="str">
        <f t="shared" si="4"/>
        <v/>
      </c>
      <c r="R1127" s="37" t="str">
        <f t="shared" si="5"/>
        <v/>
      </c>
      <c r="S1127" s="32" t="str">
        <f t="shared" si="6"/>
        <v/>
      </c>
      <c r="T1127" s="37" t="str">
        <f t="shared" si="7"/>
        <v/>
      </c>
      <c r="U1127" s="37" t="str">
        <f t="array" ref="U1127">IF($F1127="","",IFERROR(INDEX(Config!$F:$F,MATCH($F1127,Config!$D:$D,0)),0))</f>
        <v/>
      </c>
    </row>
    <row r="1128" ht="15.0" customHeight="1">
      <c r="A1128" s="34"/>
      <c r="B1128" s="35"/>
      <c r="C1128" s="15"/>
      <c r="D1128" s="15"/>
      <c r="E1128" s="15"/>
      <c r="F1128" s="15"/>
      <c r="G1128" s="36" t="str">
        <f t="array" ref="G1128">IF($F1128="","",IFERROR(INDEX(Config!$E:$E,MATCH($F1128,Config!$D:$D,0)),0))</f>
        <v/>
      </c>
      <c r="H1128" s="16"/>
      <c r="I1128" s="36" t="str">
        <f t="shared" si="1"/>
        <v/>
      </c>
      <c r="J1128" s="16"/>
      <c r="K1128" s="15"/>
      <c r="L1128" s="15"/>
      <c r="M1128" s="36" t="str">
        <f t="array" ref="M1128">IF($A1128="","",IF($L1128="Atendido",IFERROR($I1128*INDEX(Config!$B:$B,MATCH($C1128,Config!$A:$A,0)),0),0))</f>
        <v/>
      </c>
      <c r="N1128" s="36" t="str">
        <f t="shared" si="2"/>
        <v/>
      </c>
      <c r="O1128" s="36" t="str">
        <f t="shared" si="3"/>
        <v/>
      </c>
      <c r="P1128" s="15"/>
      <c r="Q1128" s="37" t="str">
        <f t="shared" si="4"/>
        <v/>
      </c>
      <c r="R1128" s="37" t="str">
        <f t="shared" si="5"/>
        <v/>
      </c>
      <c r="S1128" s="32" t="str">
        <f t="shared" si="6"/>
        <v/>
      </c>
      <c r="T1128" s="37" t="str">
        <f t="shared" si="7"/>
        <v/>
      </c>
      <c r="U1128" s="37" t="str">
        <f t="array" ref="U1128">IF($F1128="","",IFERROR(INDEX(Config!$F:$F,MATCH($F1128,Config!$D:$D,0)),0))</f>
        <v/>
      </c>
    </row>
    <row r="1129" ht="15.0" customHeight="1">
      <c r="A1129" s="34"/>
      <c r="B1129" s="35"/>
      <c r="C1129" s="15"/>
      <c r="D1129" s="15"/>
      <c r="E1129" s="15"/>
      <c r="F1129" s="15"/>
      <c r="G1129" s="36" t="str">
        <f t="array" ref="G1129">IF($F1129="","",IFERROR(INDEX(Config!$E:$E,MATCH($F1129,Config!$D:$D,0)),0))</f>
        <v/>
      </c>
      <c r="H1129" s="16"/>
      <c r="I1129" s="36" t="str">
        <f t="shared" si="1"/>
        <v/>
      </c>
      <c r="J1129" s="16"/>
      <c r="K1129" s="15"/>
      <c r="L1129" s="15"/>
      <c r="M1129" s="36" t="str">
        <f t="array" ref="M1129">IF($A1129="","",IF($L1129="Atendido",IFERROR($I1129*INDEX(Config!$B:$B,MATCH($C1129,Config!$A:$A,0)),0),0))</f>
        <v/>
      </c>
      <c r="N1129" s="36" t="str">
        <f t="shared" si="2"/>
        <v/>
      </c>
      <c r="O1129" s="36" t="str">
        <f t="shared" si="3"/>
        <v/>
      </c>
      <c r="P1129" s="15"/>
      <c r="Q1129" s="37" t="str">
        <f t="shared" si="4"/>
        <v/>
      </c>
      <c r="R1129" s="37" t="str">
        <f t="shared" si="5"/>
        <v/>
      </c>
      <c r="S1129" s="32" t="str">
        <f t="shared" si="6"/>
        <v/>
      </c>
      <c r="T1129" s="37" t="str">
        <f t="shared" si="7"/>
        <v/>
      </c>
      <c r="U1129" s="37" t="str">
        <f t="array" ref="U1129">IF($F1129="","",IFERROR(INDEX(Config!$F:$F,MATCH($F1129,Config!$D:$D,0)),0))</f>
        <v/>
      </c>
    </row>
    <row r="1130" ht="15.0" customHeight="1">
      <c r="A1130" s="34"/>
      <c r="B1130" s="35"/>
      <c r="C1130" s="15"/>
      <c r="D1130" s="15"/>
      <c r="E1130" s="15"/>
      <c r="F1130" s="15"/>
      <c r="G1130" s="36" t="str">
        <f t="array" ref="G1130">IF($F1130="","",IFERROR(INDEX(Config!$E:$E,MATCH($F1130,Config!$D:$D,0)),0))</f>
        <v/>
      </c>
      <c r="H1130" s="16"/>
      <c r="I1130" s="36" t="str">
        <f t="shared" si="1"/>
        <v/>
      </c>
      <c r="J1130" s="16"/>
      <c r="K1130" s="15"/>
      <c r="L1130" s="15"/>
      <c r="M1130" s="36" t="str">
        <f t="array" ref="M1130">IF($A1130="","",IF($L1130="Atendido",IFERROR($I1130*INDEX(Config!$B:$B,MATCH($C1130,Config!$A:$A,0)),0),0))</f>
        <v/>
      </c>
      <c r="N1130" s="36" t="str">
        <f t="shared" si="2"/>
        <v/>
      </c>
      <c r="O1130" s="36" t="str">
        <f t="shared" si="3"/>
        <v/>
      </c>
      <c r="P1130" s="15"/>
      <c r="Q1130" s="37" t="str">
        <f t="shared" si="4"/>
        <v/>
      </c>
      <c r="R1130" s="37" t="str">
        <f t="shared" si="5"/>
        <v/>
      </c>
      <c r="S1130" s="32" t="str">
        <f t="shared" si="6"/>
        <v/>
      </c>
      <c r="T1130" s="37" t="str">
        <f t="shared" si="7"/>
        <v/>
      </c>
      <c r="U1130" s="37" t="str">
        <f t="array" ref="U1130">IF($F1130="","",IFERROR(INDEX(Config!$F:$F,MATCH($F1130,Config!$D:$D,0)),0))</f>
        <v/>
      </c>
    </row>
    <row r="1131" ht="15.0" customHeight="1">
      <c r="A1131" s="34"/>
      <c r="B1131" s="35"/>
      <c r="C1131" s="15"/>
      <c r="D1131" s="15"/>
      <c r="E1131" s="15"/>
      <c r="F1131" s="15"/>
      <c r="G1131" s="36" t="str">
        <f t="array" ref="G1131">IF($F1131="","",IFERROR(INDEX(Config!$E:$E,MATCH($F1131,Config!$D:$D,0)),0))</f>
        <v/>
      </c>
      <c r="H1131" s="16"/>
      <c r="I1131" s="36" t="str">
        <f t="shared" si="1"/>
        <v/>
      </c>
      <c r="J1131" s="16"/>
      <c r="K1131" s="15"/>
      <c r="L1131" s="15"/>
      <c r="M1131" s="36" t="str">
        <f t="array" ref="M1131">IF($A1131="","",IF($L1131="Atendido",IFERROR($I1131*INDEX(Config!$B:$B,MATCH($C1131,Config!$A:$A,0)),0),0))</f>
        <v/>
      </c>
      <c r="N1131" s="36" t="str">
        <f t="shared" si="2"/>
        <v/>
      </c>
      <c r="O1131" s="36" t="str">
        <f t="shared" si="3"/>
        <v/>
      </c>
      <c r="P1131" s="15"/>
      <c r="Q1131" s="37" t="str">
        <f t="shared" si="4"/>
        <v/>
      </c>
      <c r="R1131" s="37" t="str">
        <f t="shared" si="5"/>
        <v/>
      </c>
      <c r="S1131" s="32" t="str">
        <f t="shared" si="6"/>
        <v/>
      </c>
      <c r="T1131" s="37" t="str">
        <f t="shared" si="7"/>
        <v/>
      </c>
      <c r="U1131" s="37" t="str">
        <f t="array" ref="U1131">IF($F1131="","",IFERROR(INDEX(Config!$F:$F,MATCH($F1131,Config!$D:$D,0)),0))</f>
        <v/>
      </c>
    </row>
    <row r="1132" ht="15.0" customHeight="1">
      <c r="A1132" s="34"/>
      <c r="B1132" s="35"/>
      <c r="C1132" s="15"/>
      <c r="D1132" s="15"/>
      <c r="E1132" s="15"/>
      <c r="F1132" s="15"/>
      <c r="G1132" s="36" t="str">
        <f t="array" ref="G1132">IF($F1132="","",IFERROR(INDEX(Config!$E:$E,MATCH($F1132,Config!$D:$D,0)),0))</f>
        <v/>
      </c>
      <c r="H1132" s="16"/>
      <c r="I1132" s="36" t="str">
        <f t="shared" si="1"/>
        <v/>
      </c>
      <c r="J1132" s="16"/>
      <c r="K1132" s="15"/>
      <c r="L1132" s="15"/>
      <c r="M1132" s="36" t="str">
        <f t="array" ref="M1132">IF($A1132="","",IF($L1132="Atendido",IFERROR($I1132*INDEX(Config!$B:$B,MATCH($C1132,Config!$A:$A,0)),0),0))</f>
        <v/>
      </c>
      <c r="N1132" s="36" t="str">
        <f t="shared" si="2"/>
        <v/>
      </c>
      <c r="O1132" s="36" t="str">
        <f t="shared" si="3"/>
        <v/>
      </c>
      <c r="P1132" s="15"/>
      <c r="Q1132" s="37" t="str">
        <f t="shared" si="4"/>
        <v/>
      </c>
      <c r="R1132" s="37" t="str">
        <f t="shared" si="5"/>
        <v/>
      </c>
      <c r="S1132" s="32" t="str">
        <f t="shared" si="6"/>
        <v/>
      </c>
      <c r="T1132" s="37" t="str">
        <f t="shared" si="7"/>
        <v/>
      </c>
      <c r="U1132" s="37" t="str">
        <f t="array" ref="U1132">IF($F1132="","",IFERROR(INDEX(Config!$F:$F,MATCH($F1132,Config!$D:$D,0)),0))</f>
        <v/>
      </c>
    </row>
    <row r="1133" ht="15.0" customHeight="1">
      <c r="A1133" s="34"/>
      <c r="B1133" s="35"/>
      <c r="C1133" s="15"/>
      <c r="D1133" s="15"/>
      <c r="E1133" s="15"/>
      <c r="F1133" s="15"/>
      <c r="G1133" s="36" t="str">
        <f t="array" ref="G1133">IF($F1133="","",IFERROR(INDEX(Config!$E:$E,MATCH($F1133,Config!$D:$D,0)),0))</f>
        <v/>
      </c>
      <c r="H1133" s="16"/>
      <c r="I1133" s="36" t="str">
        <f t="shared" si="1"/>
        <v/>
      </c>
      <c r="J1133" s="16"/>
      <c r="K1133" s="15"/>
      <c r="L1133" s="15"/>
      <c r="M1133" s="36" t="str">
        <f t="array" ref="M1133">IF($A1133="","",IF($L1133="Atendido",IFERROR($I1133*INDEX(Config!$B:$B,MATCH($C1133,Config!$A:$A,0)),0),0))</f>
        <v/>
      </c>
      <c r="N1133" s="36" t="str">
        <f t="shared" si="2"/>
        <v/>
      </c>
      <c r="O1133" s="36" t="str">
        <f t="shared" si="3"/>
        <v/>
      </c>
      <c r="P1133" s="15"/>
      <c r="Q1133" s="37" t="str">
        <f t="shared" si="4"/>
        <v/>
      </c>
      <c r="R1133" s="37" t="str">
        <f t="shared" si="5"/>
        <v/>
      </c>
      <c r="S1133" s="32" t="str">
        <f t="shared" si="6"/>
        <v/>
      </c>
      <c r="T1133" s="37" t="str">
        <f t="shared" si="7"/>
        <v/>
      </c>
      <c r="U1133" s="37" t="str">
        <f t="array" ref="U1133">IF($F1133="","",IFERROR(INDEX(Config!$F:$F,MATCH($F1133,Config!$D:$D,0)),0))</f>
        <v/>
      </c>
    </row>
    <row r="1134" ht="15.0" customHeight="1">
      <c r="A1134" s="34"/>
      <c r="B1134" s="35"/>
      <c r="C1134" s="15"/>
      <c r="D1134" s="15"/>
      <c r="E1134" s="15"/>
      <c r="F1134" s="15"/>
      <c r="G1134" s="36" t="str">
        <f t="array" ref="G1134">IF($F1134="","",IFERROR(INDEX(Config!$E:$E,MATCH($F1134,Config!$D:$D,0)),0))</f>
        <v/>
      </c>
      <c r="H1134" s="16"/>
      <c r="I1134" s="36" t="str">
        <f t="shared" si="1"/>
        <v/>
      </c>
      <c r="J1134" s="16"/>
      <c r="K1134" s="15"/>
      <c r="L1134" s="15"/>
      <c r="M1134" s="36" t="str">
        <f t="array" ref="M1134">IF($A1134="","",IF($L1134="Atendido",IFERROR($I1134*INDEX(Config!$B:$B,MATCH($C1134,Config!$A:$A,0)),0),0))</f>
        <v/>
      </c>
      <c r="N1134" s="36" t="str">
        <f t="shared" si="2"/>
        <v/>
      </c>
      <c r="O1134" s="36" t="str">
        <f t="shared" si="3"/>
        <v/>
      </c>
      <c r="P1134" s="15"/>
      <c r="Q1134" s="37" t="str">
        <f t="shared" si="4"/>
        <v/>
      </c>
      <c r="R1134" s="37" t="str">
        <f t="shared" si="5"/>
        <v/>
      </c>
      <c r="S1134" s="32" t="str">
        <f t="shared" si="6"/>
        <v/>
      </c>
      <c r="T1134" s="37" t="str">
        <f t="shared" si="7"/>
        <v/>
      </c>
      <c r="U1134" s="37" t="str">
        <f t="array" ref="U1134">IF($F1134="","",IFERROR(INDEX(Config!$F:$F,MATCH($F1134,Config!$D:$D,0)),0))</f>
        <v/>
      </c>
    </row>
    <row r="1135" ht="15.0" customHeight="1">
      <c r="A1135" s="34"/>
      <c r="B1135" s="35"/>
      <c r="C1135" s="15"/>
      <c r="D1135" s="15"/>
      <c r="E1135" s="15"/>
      <c r="F1135" s="15"/>
      <c r="G1135" s="36" t="str">
        <f t="array" ref="G1135">IF($F1135="","",IFERROR(INDEX(Config!$E:$E,MATCH($F1135,Config!$D:$D,0)),0))</f>
        <v/>
      </c>
      <c r="H1135" s="16"/>
      <c r="I1135" s="36" t="str">
        <f t="shared" si="1"/>
        <v/>
      </c>
      <c r="J1135" s="16"/>
      <c r="K1135" s="15"/>
      <c r="L1135" s="15"/>
      <c r="M1135" s="36" t="str">
        <f t="array" ref="M1135">IF($A1135="","",IF($L1135="Atendido",IFERROR($I1135*INDEX(Config!$B:$B,MATCH($C1135,Config!$A:$A,0)),0),0))</f>
        <v/>
      </c>
      <c r="N1135" s="36" t="str">
        <f t="shared" si="2"/>
        <v/>
      </c>
      <c r="O1135" s="36" t="str">
        <f t="shared" si="3"/>
        <v/>
      </c>
      <c r="P1135" s="15"/>
      <c r="Q1135" s="37" t="str">
        <f t="shared" si="4"/>
        <v/>
      </c>
      <c r="R1135" s="37" t="str">
        <f t="shared" si="5"/>
        <v/>
      </c>
      <c r="S1135" s="32" t="str">
        <f t="shared" si="6"/>
        <v/>
      </c>
      <c r="T1135" s="37" t="str">
        <f t="shared" si="7"/>
        <v/>
      </c>
      <c r="U1135" s="37" t="str">
        <f t="array" ref="U1135">IF($F1135="","",IFERROR(INDEX(Config!$F:$F,MATCH($F1135,Config!$D:$D,0)),0))</f>
        <v/>
      </c>
    </row>
    <row r="1136" ht="15.0" customHeight="1">
      <c r="A1136" s="34"/>
      <c r="B1136" s="35"/>
      <c r="C1136" s="15"/>
      <c r="D1136" s="15"/>
      <c r="E1136" s="15"/>
      <c r="F1136" s="15"/>
      <c r="G1136" s="36" t="str">
        <f t="array" ref="G1136">IF($F1136="","",IFERROR(INDEX(Config!$E:$E,MATCH($F1136,Config!$D:$D,0)),0))</f>
        <v/>
      </c>
      <c r="H1136" s="16"/>
      <c r="I1136" s="36" t="str">
        <f t="shared" si="1"/>
        <v/>
      </c>
      <c r="J1136" s="16"/>
      <c r="K1136" s="15"/>
      <c r="L1136" s="15"/>
      <c r="M1136" s="36" t="str">
        <f t="array" ref="M1136">IF($A1136="","",IF($L1136="Atendido",IFERROR($I1136*INDEX(Config!$B:$B,MATCH($C1136,Config!$A:$A,0)),0),0))</f>
        <v/>
      </c>
      <c r="N1136" s="36" t="str">
        <f t="shared" si="2"/>
        <v/>
      </c>
      <c r="O1136" s="36" t="str">
        <f t="shared" si="3"/>
        <v/>
      </c>
      <c r="P1136" s="15"/>
      <c r="Q1136" s="37" t="str">
        <f t="shared" si="4"/>
        <v/>
      </c>
      <c r="R1136" s="37" t="str">
        <f t="shared" si="5"/>
        <v/>
      </c>
      <c r="S1136" s="32" t="str">
        <f t="shared" si="6"/>
        <v/>
      </c>
      <c r="T1136" s="37" t="str">
        <f t="shared" si="7"/>
        <v/>
      </c>
      <c r="U1136" s="37" t="str">
        <f t="array" ref="U1136">IF($F1136="","",IFERROR(INDEX(Config!$F:$F,MATCH($F1136,Config!$D:$D,0)),0))</f>
        <v/>
      </c>
    </row>
    <row r="1137" ht="15.0" customHeight="1">
      <c r="A1137" s="34"/>
      <c r="B1137" s="35"/>
      <c r="C1137" s="15"/>
      <c r="D1137" s="15"/>
      <c r="E1137" s="15"/>
      <c r="F1137" s="15"/>
      <c r="G1137" s="36" t="str">
        <f t="array" ref="G1137">IF($F1137="","",IFERROR(INDEX(Config!$E:$E,MATCH($F1137,Config!$D:$D,0)),0))</f>
        <v/>
      </c>
      <c r="H1137" s="16"/>
      <c r="I1137" s="36" t="str">
        <f t="shared" si="1"/>
        <v/>
      </c>
      <c r="J1137" s="16"/>
      <c r="K1137" s="15"/>
      <c r="L1137" s="15"/>
      <c r="M1137" s="36" t="str">
        <f t="array" ref="M1137">IF($A1137="","",IF($L1137="Atendido",IFERROR($I1137*INDEX(Config!$B:$B,MATCH($C1137,Config!$A:$A,0)),0),0))</f>
        <v/>
      </c>
      <c r="N1137" s="36" t="str">
        <f t="shared" si="2"/>
        <v/>
      </c>
      <c r="O1137" s="36" t="str">
        <f t="shared" si="3"/>
        <v/>
      </c>
      <c r="P1137" s="15"/>
      <c r="Q1137" s="37" t="str">
        <f t="shared" si="4"/>
        <v/>
      </c>
      <c r="R1137" s="37" t="str">
        <f t="shared" si="5"/>
        <v/>
      </c>
      <c r="S1137" s="32" t="str">
        <f t="shared" si="6"/>
        <v/>
      </c>
      <c r="T1137" s="37" t="str">
        <f t="shared" si="7"/>
        <v/>
      </c>
      <c r="U1137" s="37" t="str">
        <f t="array" ref="U1137">IF($F1137="","",IFERROR(INDEX(Config!$F:$F,MATCH($F1137,Config!$D:$D,0)),0))</f>
        <v/>
      </c>
    </row>
    <row r="1138" ht="15.0" customHeight="1">
      <c r="A1138" s="34"/>
      <c r="B1138" s="35"/>
      <c r="C1138" s="15"/>
      <c r="D1138" s="15"/>
      <c r="E1138" s="15"/>
      <c r="F1138" s="15"/>
      <c r="G1138" s="36" t="str">
        <f t="array" ref="G1138">IF($F1138="","",IFERROR(INDEX(Config!$E:$E,MATCH($F1138,Config!$D:$D,0)),0))</f>
        <v/>
      </c>
      <c r="H1138" s="16"/>
      <c r="I1138" s="36" t="str">
        <f t="shared" si="1"/>
        <v/>
      </c>
      <c r="J1138" s="16"/>
      <c r="K1138" s="15"/>
      <c r="L1138" s="15"/>
      <c r="M1138" s="36" t="str">
        <f t="array" ref="M1138">IF($A1138="","",IF($L1138="Atendido",IFERROR($I1138*INDEX(Config!$B:$B,MATCH($C1138,Config!$A:$A,0)),0),0))</f>
        <v/>
      </c>
      <c r="N1138" s="36" t="str">
        <f t="shared" si="2"/>
        <v/>
      </c>
      <c r="O1138" s="36" t="str">
        <f t="shared" si="3"/>
        <v/>
      </c>
      <c r="P1138" s="15"/>
      <c r="Q1138" s="37" t="str">
        <f t="shared" si="4"/>
        <v/>
      </c>
      <c r="R1138" s="37" t="str">
        <f t="shared" si="5"/>
        <v/>
      </c>
      <c r="S1138" s="32" t="str">
        <f t="shared" si="6"/>
        <v/>
      </c>
      <c r="T1138" s="37" t="str">
        <f t="shared" si="7"/>
        <v/>
      </c>
      <c r="U1138" s="37" t="str">
        <f t="array" ref="U1138">IF($F1138="","",IFERROR(INDEX(Config!$F:$F,MATCH($F1138,Config!$D:$D,0)),0))</f>
        <v/>
      </c>
    </row>
    <row r="1139" ht="15.0" customHeight="1">
      <c r="A1139" s="34"/>
      <c r="B1139" s="35"/>
      <c r="C1139" s="15"/>
      <c r="D1139" s="15"/>
      <c r="E1139" s="15"/>
      <c r="F1139" s="15"/>
      <c r="G1139" s="36" t="str">
        <f t="array" ref="G1139">IF($F1139="","",IFERROR(INDEX(Config!$E:$E,MATCH($F1139,Config!$D:$D,0)),0))</f>
        <v/>
      </c>
      <c r="H1139" s="16"/>
      <c r="I1139" s="36" t="str">
        <f t="shared" si="1"/>
        <v/>
      </c>
      <c r="J1139" s="16"/>
      <c r="K1139" s="15"/>
      <c r="L1139" s="15"/>
      <c r="M1139" s="36" t="str">
        <f t="array" ref="M1139">IF($A1139="","",IF($L1139="Atendido",IFERROR($I1139*INDEX(Config!$B:$B,MATCH($C1139,Config!$A:$A,0)),0),0))</f>
        <v/>
      </c>
      <c r="N1139" s="36" t="str">
        <f t="shared" si="2"/>
        <v/>
      </c>
      <c r="O1139" s="36" t="str">
        <f t="shared" si="3"/>
        <v/>
      </c>
      <c r="P1139" s="15"/>
      <c r="Q1139" s="37" t="str">
        <f t="shared" si="4"/>
        <v/>
      </c>
      <c r="R1139" s="37" t="str">
        <f t="shared" si="5"/>
        <v/>
      </c>
      <c r="S1139" s="32" t="str">
        <f t="shared" si="6"/>
        <v/>
      </c>
      <c r="T1139" s="37" t="str">
        <f t="shared" si="7"/>
        <v/>
      </c>
      <c r="U1139" s="37" t="str">
        <f t="array" ref="U1139">IF($F1139="","",IFERROR(INDEX(Config!$F:$F,MATCH($F1139,Config!$D:$D,0)),0))</f>
        <v/>
      </c>
    </row>
    <row r="1140" ht="15.0" customHeight="1">
      <c r="A1140" s="34"/>
      <c r="B1140" s="35"/>
      <c r="C1140" s="15"/>
      <c r="D1140" s="15"/>
      <c r="E1140" s="15"/>
      <c r="F1140" s="15"/>
      <c r="G1140" s="36" t="str">
        <f t="array" ref="G1140">IF($F1140="","",IFERROR(INDEX(Config!$E:$E,MATCH($F1140,Config!$D:$D,0)),0))</f>
        <v/>
      </c>
      <c r="H1140" s="16"/>
      <c r="I1140" s="36" t="str">
        <f t="shared" si="1"/>
        <v/>
      </c>
      <c r="J1140" s="16"/>
      <c r="K1140" s="15"/>
      <c r="L1140" s="15"/>
      <c r="M1140" s="36" t="str">
        <f t="array" ref="M1140">IF($A1140="","",IF($L1140="Atendido",IFERROR($I1140*INDEX(Config!$B:$B,MATCH($C1140,Config!$A:$A,0)),0),0))</f>
        <v/>
      </c>
      <c r="N1140" s="36" t="str">
        <f t="shared" si="2"/>
        <v/>
      </c>
      <c r="O1140" s="36" t="str">
        <f t="shared" si="3"/>
        <v/>
      </c>
      <c r="P1140" s="15"/>
      <c r="Q1140" s="37" t="str">
        <f t="shared" si="4"/>
        <v/>
      </c>
      <c r="R1140" s="37" t="str">
        <f t="shared" si="5"/>
        <v/>
      </c>
      <c r="S1140" s="32" t="str">
        <f t="shared" si="6"/>
        <v/>
      </c>
      <c r="T1140" s="37" t="str">
        <f t="shared" si="7"/>
        <v/>
      </c>
      <c r="U1140" s="37" t="str">
        <f t="array" ref="U1140">IF($F1140="","",IFERROR(INDEX(Config!$F:$F,MATCH($F1140,Config!$D:$D,0)),0))</f>
        <v/>
      </c>
    </row>
    <row r="1141" ht="15.0" customHeight="1">
      <c r="A1141" s="34"/>
      <c r="B1141" s="35"/>
      <c r="C1141" s="15"/>
      <c r="D1141" s="15"/>
      <c r="E1141" s="15"/>
      <c r="F1141" s="15"/>
      <c r="G1141" s="36" t="str">
        <f t="array" ref="G1141">IF($F1141="","",IFERROR(INDEX(Config!$E:$E,MATCH($F1141,Config!$D:$D,0)),0))</f>
        <v/>
      </c>
      <c r="H1141" s="16"/>
      <c r="I1141" s="36" t="str">
        <f t="shared" si="1"/>
        <v/>
      </c>
      <c r="J1141" s="16"/>
      <c r="K1141" s="15"/>
      <c r="L1141" s="15"/>
      <c r="M1141" s="36" t="str">
        <f t="array" ref="M1141">IF($A1141="","",IF($L1141="Atendido",IFERROR($I1141*INDEX(Config!$B:$B,MATCH($C1141,Config!$A:$A,0)),0),0))</f>
        <v/>
      </c>
      <c r="N1141" s="36" t="str">
        <f t="shared" si="2"/>
        <v/>
      </c>
      <c r="O1141" s="36" t="str">
        <f t="shared" si="3"/>
        <v/>
      </c>
      <c r="P1141" s="15"/>
      <c r="Q1141" s="37" t="str">
        <f t="shared" si="4"/>
        <v/>
      </c>
      <c r="R1141" s="37" t="str">
        <f t="shared" si="5"/>
        <v/>
      </c>
      <c r="S1141" s="32" t="str">
        <f t="shared" si="6"/>
        <v/>
      </c>
      <c r="T1141" s="37" t="str">
        <f t="shared" si="7"/>
        <v/>
      </c>
      <c r="U1141" s="37" t="str">
        <f t="array" ref="U1141">IF($F1141="","",IFERROR(INDEX(Config!$F:$F,MATCH($F1141,Config!$D:$D,0)),0))</f>
        <v/>
      </c>
    </row>
    <row r="1142" ht="15.0" customHeight="1">
      <c r="A1142" s="34"/>
      <c r="B1142" s="35"/>
      <c r="C1142" s="15"/>
      <c r="D1142" s="15"/>
      <c r="E1142" s="15"/>
      <c r="F1142" s="15"/>
      <c r="G1142" s="36" t="str">
        <f t="array" ref="G1142">IF($F1142="","",IFERROR(INDEX(Config!$E:$E,MATCH($F1142,Config!$D:$D,0)),0))</f>
        <v/>
      </c>
      <c r="H1142" s="16"/>
      <c r="I1142" s="36" t="str">
        <f t="shared" si="1"/>
        <v/>
      </c>
      <c r="J1142" s="16"/>
      <c r="K1142" s="15"/>
      <c r="L1142" s="15"/>
      <c r="M1142" s="36" t="str">
        <f t="array" ref="M1142">IF($A1142="","",IF($L1142="Atendido",IFERROR($I1142*INDEX(Config!$B:$B,MATCH($C1142,Config!$A:$A,0)),0),0))</f>
        <v/>
      </c>
      <c r="N1142" s="36" t="str">
        <f t="shared" si="2"/>
        <v/>
      </c>
      <c r="O1142" s="36" t="str">
        <f t="shared" si="3"/>
        <v/>
      </c>
      <c r="P1142" s="15"/>
      <c r="Q1142" s="37" t="str">
        <f t="shared" si="4"/>
        <v/>
      </c>
      <c r="R1142" s="37" t="str">
        <f t="shared" si="5"/>
        <v/>
      </c>
      <c r="S1142" s="32" t="str">
        <f t="shared" si="6"/>
        <v/>
      </c>
      <c r="T1142" s="37" t="str">
        <f t="shared" si="7"/>
        <v/>
      </c>
      <c r="U1142" s="37" t="str">
        <f t="array" ref="U1142">IF($F1142="","",IFERROR(INDEX(Config!$F:$F,MATCH($F1142,Config!$D:$D,0)),0))</f>
        <v/>
      </c>
    </row>
    <row r="1143" ht="15.0" customHeight="1">
      <c r="A1143" s="34"/>
      <c r="B1143" s="35"/>
      <c r="C1143" s="15"/>
      <c r="D1143" s="15"/>
      <c r="E1143" s="15"/>
      <c r="F1143" s="15"/>
      <c r="G1143" s="36" t="str">
        <f t="array" ref="G1143">IF($F1143="","",IFERROR(INDEX(Config!$E:$E,MATCH($F1143,Config!$D:$D,0)),0))</f>
        <v/>
      </c>
      <c r="H1143" s="16"/>
      <c r="I1143" s="36" t="str">
        <f t="shared" si="1"/>
        <v/>
      </c>
      <c r="J1143" s="16"/>
      <c r="K1143" s="15"/>
      <c r="L1143" s="15"/>
      <c r="M1143" s="36" t="str">
        <f t="array" ref="M1143">IF($A1143="","",IF($L1143="Atendido",IFERROR($I1143*INDEX(Config!$B:$B,MATCH($C1143,Config!$A:$A,0)),0),0))</f>
        <v/>
      </c>
      <c r="N1143" s="36" t="str">
        <f t="shared" si="2"/>
        <v/>
      </c>
      <c r="O1143" s="36" t="str">
        <f t="shared" si="3"/>
        <v/>
      </c>
      <c r="P1143" s="15"/>
      <c r="Q1143" s="37" t="str">
        <f t="shared" si="4"/>
        <v/>
      </c>
      <c r="R1143" s="37" t="str">
        <f t="shared" si="5"/>
        <v/>
      </c>
      <c r="S1143" s="32" t="str">
        <f t="shared" si="6"/>
        <v/>
      </c>
      <c r="T1143" s="37" t="str">
        <f t="shared" si="7"/>
        <v/>
      </c>
      <c r="U1143" s="37" t="str">
        <f t="array" ref="U1143">IF($F1143="","",IFERROR(INDEX(Config!$F:$F,MATCH($F1143,Config!$D:$D,0)),0))</f>
        <v/>
      </c>
    </row>
    <row r="1144" ht="15.0" customHeight="1">
      <c r="A1144" s="34"/>
      <c r="B1144" s="35"/>
      <c r="C1144" s="15"/>
      <c r="D1144" s="15"/>
      <c r="E1144" s="15"/>
      <c r="F1144" s="15"/>
      <c r="G1144" s="36" t="str">
        <f t="array" ref="G1144">IF($F1144="","",IFERROR(INDEX(Config!$E:$E,MATCH($F1144,Config!$D:$D,0)),0))</f>
        <v/>
      </c>
      <c r="H1144" s="16"/>
      <c r="I1144" s="36" t="str">
        <f t="shared" si="1"/>
        <v/>
      </c>
      <c r="J1144" s="16"/>
      <c r="K1144" s="15"/>
      <c r="L1144" s="15"/>
      <c r="M1144" s="36" t="str">
        <f t="array" ref="M1144">IF($A1144="","",IF($L1144="Atendido",IFERROR($I1144*INDEX(Config!$B:$B,MATCH($C1144,Config!$A:$A,0)),0),0))</f>
        <v/>
      </c>
      <c r="N1144" s="36" t="str">
        <f t="shared" si="2"/>
        <v/>
      </c>
      <c r="O1144" s="36" t="str">
        <f t="shared" si="3"/>
        <v/>
      </c>
      <c r="P1144" s="15"/>
      <c r="Q1144" s="37" t="str">
        <f t="shared" si="4"/>
        <v/>
      </c>
      <c r="R1144" s="37" t="str">
        <f t="shared" si="5"/>
        <v/>
      </c>
      <c r="S1144" s="32" t="str">
        <f t="shared" si="6"/>
        <v/>
      </c>
      <c r="T1144" s="37" t="str">
        <f t="shared" si="7"/>
        <v/>
      </c>
      <c r="U1144" s="37" t="str">
        <f t="array" ref="U1144">IF($F1144="","",IFERROR(INDEX(Config!$F:$F,MATCH($F1144,Config!$D:$D,0)),0))</f>
        <v/>
      </c>
    </row>
    <row r="1145" ht="15.0" customHeight="1">
      <c r="A1145" s="34"/>
      <c r="B1145" s="35"/>
      <c r="C1145" s="15"/>
      <c r="D1145" s="15"/>
      <c r="E1145" s="15"/>
      <c r="F1145" s="15"/>
      <c r="G1145" s="36" t="str">
        <f t="array" ref="G1145">IF($F1145="","",IFERROR(INDEX(Config!$E:$E,MATCH($F1145,Config!$D:$D,0)),0))</f>
        <v/>
      </c>
      <c r="H1145" s="16"/>
      <c r="I1145" s="36" t="str">
        <f t="shared" si="1"/>
        <v/>
      </c>
      <c r="J1145" s="16"/>
      <c r="K1145" s="15"/>
      <c r="L1145" s="15"/>
      <c r="M1145" s="36" t="str">
        <f t="array" ref="M1145">IF($A1145="","",IF($L1145="Atendido",IFERROR($I1145*INDEX(Config!$B:$B,MATCH($C1145,Config!$A:$A,0)),0),0))</f>
        <v/>
      </c>
      <c r="N1145" s="36" t="str">
        <f t="shared" si="2"/>
        <v/>
      </c>
      <c r="O1145" s="36" t="str">
        <f t="shared" si="3"/>
        <v/>
      </c>
      <c r="P1145" s="15"/>
      <c r="Q1145" s="37" t="str">
        <f t="shared" si="4"/>
        <v/>
      </c>
      <c r="R1145" s="37" t="str">
        <f t="shared" si="5"/>
        <v/>
      </c>
      <c r="S1145" s="32" t="str">
        <f t="shared" si="6"/>
        <v/>
      </c>
      <c r="T1145" s="37" t="str">
        <f t="shared" si="7"/>
        <v/>
      </c>
      <c r="U1145" s="37" t="str">
        <f t="array" ref="U1145">IF($F1145="","",IFERROR(INDEX(Config!$F:$F,MATCH($F1145,Config!$D:$D,0)),0))</f>
        <v/>
      </c>
    </row>
    <row r="1146" ht="15.0" customHeight="1">
      <c r="A1146" s="34"/>
      <c r="B1146" s="35"/>
      <c r="C1146" s="15"/>
      <c r="D1146" s="15"/>
      <c r="E1146" s="15"/>
      <c r="F1146" s="15"/>
      <c r="G1146" s="36" t="str">
        <f t="array" ref="G1146">IF($F1146="","",IFERROR(INDEX(Config!$E:$E,MATCH($F1146,Config!$D:$D,0)),0))</f>
        <v/>
      </c>
      <c r="H1146" s="16"/>
      <c r="I1146" s="36" t="str">
        <f t="shared" si="1"/>
        <v/>
      </c>
      <c r="J1146" s="16"/>
      <c r="K1146" s="15"/>
      <c r="L1146" s="15"/>
      <c r="M1146" s="36" t="str">
        <f t="array" ref="M1146">IF($A1146="","",IF($L1146="Atendido",IFERROR($I1146*INDEX(Config!$B:$B,MATCH($C1146,Config!$A:$A,0)),0),0))</f>
        <v/>
      </c>
      <c r="N1146" s="36" t="str">
        <f t="shared" si="2"/>
        <v/>
      </c>
      <c r="O1146" s="36" t="str">
        <f t="shared" si="3"/>
        <v/>
      </c>
      <c r="P1146" s="15"/>
      <c r="Q1146" s="37" t="str">
        <f t="shared" si="4"/>
        <v/>
      </c>
      <c r="R1146" s="37" t="str">
        <f t="shared" si="5"/>
        <v/>
      </c>
      <c r="S1146" s="32" t="str">
        <f t="shared" si="6"/>
        <v/>
      </c>
      <c r="T1146" s="37" t="str">
        <f t="shared" si="7"/>
        <v/>
      </c>
      <c r="U1146" s="37" t="str">
        <f t="array" ref="U1146">IF($F1146="","",IFERROR(INDEX(Config!$F:$F,MATCH($F1146,Config!$D:$D,0)),0))</f>
        <v/>
      </c>
    </row>
    <row r="1147" ht="15.0" customHeight="1">
      <c r="A1147" s="34"/>
      <c r="B1147" s="35"/>
      <c r="C1147" s="15"/>
      <c r="D1147" s="15"/>
      <c r="E1147" s="15"/>
      <c r="F1147" s="15"/>
      <c r="G1147" s="36" t="str">
        <f t="array" ref="G1147">IF($F1147="","",IFERROR(INDEX(Config!$E:$E,MATCH($F1147,Config!$D:$D,0)),0))</f>
        <v/>
      </c>
      <c r="H1147" s="16"/>
      <c r="I1147" s="36" t="str">
        <f t="shared" si="1"/>
        <v/>
      </c>
      <c r="J1147" s="16"/>
      <c r="K1147" s="15"/>
      <c r="L1147" s="15"/>
      <c r="M1147" s="36" t="str">
        <f t="array" ref="M1147">IF($A1147="","",IF($L1147="Atendido",IFERROR($I1147*INDEX(Config!$B:$B,MATCH($C1147,Config!$A:$A,0)),0),0))</f>
        <v/>
      </c>
      <c r="N1147" s="36" t="str">
        <f t="shared" si="2"/>
        <v/>
      </c>
      <c r="O1147" s="36" t="str">
        <f t="shared" si="3"/>
        <v/>
      </c>
      <c r="P1147" s="15"/>
      <c r="Q1147" s="37" t="str">
        <f t="shared" si="4"/>
        <v/>
      </c>
      <c r="R1147" s="37" t="str">
        <f t="shared" si="5"/>
        <v/>
      </c>
      <c r="S1147" s="32" t="str">
        <f t="shared" si="6"/>
        <v/>
      </c>
      <c r="T1147" s="37" t="str">
        <f t="shared" si="7"/>
        <v/>
      </c>
      <c r="U1147" s="37" t="str">
        <f t="array" ref="U1147">IF($F1147="","",IFERROR(INDEX(Config!$F:$F,MATCH($F1147,Config!$D:$D,0)),0))</f>
        <v/>
      </c>
    </row>
    <row r="1148" ht="15.0" customHeight="1">
      <c r="A1148" s="34"/>
      <c r="B1148" s="35"/>
      <c r="C1148" s="15"/>
      <c r="D1148" s="15"/>
      <c r="E1148" s="15"/>
      <c r="F1148" s="15"/>
      <c r="G1148" s="36" t="str">
        <f t="array" ref="G1148">IF($F1148="","",IFERROR(INDEX(Config!$E:$E,MATCH($F1148,Config!$D:$D,0)),0))</f>
        <v/>
      </c>
      <c r="H1148" s="16"/>
      <c r="I1148" s="36" t="str">
        <f t="shared" si="1"/>
        <v/>
      </c>
      <c r="J1148" s="16"/>
      <c r="K1148" s="15"/>
      <c r="L1148" s="15"/>
      <c r="M1148" s="36" t="str">
        <f t="array" ref="M1148">IF($A1148="","",IF($L1148="Atendido",IFERROR($I1148*INDEX(Config!$B:$B,MATCH($C1148,Config!$A:$A,0)),0),0))</f>
        <v/>
      </c>
      <c r="N1148" s="36" t="str">
        <f t="shared" si="2"/>
        <v/>
      </c>
      <c r="O1148" s="36" t="str">
        <f t="shared" si="3"/>
        <v/>
      </c>
      <c r="P1148" s="15"/>
      <c r="Q1148" s="37" t="str">
        <f t="shared" si="4"/>
        <v/>
      </c>
      <c r="R1148" s="37" t="str">
        <f t="shared" si="5"/>
        <v/>
      </c>
      <c r="S1148" s="32" t="str">
        <f t="shared" si="6"/>
        <v/>
      </c>
      <c r="T1148" s="37" t="str">
        <f t="shared" si="7"/>
        <v/>
      </c>
      <c r="U1148" s="37" t="str">
        <f t="array" ref="U1148">IF($F1148="","",IFERROR(INDEX(Config!$F:$F,MATCH($F1148,Config!$D:$D,0)),0))</f>
        <v/>
      </c>
    </row>
    <row r="1149" ht="15.0" customHeight="1">
      <c r="A1149" s="34"/>
      <c r="B1149" s="35"/>
      <c r="C1149" s="15"/>
      <c r="D1149" s="15"/>
      <c r="E1149" s="15"/>
      <c r="F1149" s="15"/>
      <c r="G1149" s="36" t="str">
        <f t="array" ref="G1149">IF($F1149="","",IFERROR(INDEX(Config!$E:$E,MATCH($F1149,Config!$D:$D,0)),0))</f>
        <v/>
      </c>
      <c r="H1149" s="16"/>
      <c r="I1149" s="36" t="str">
        <f t="shared" si="1"/>
        <v/>
      </c>
      <c r="J1149" s="16"/>
      <c r="K1149" s="15"/>
      <c r="L1149" s="15"/>
      <c r="M1149" s="36" t="str">
        <f t="array" ref="M1149">IF($A1149="","",IF($L1149="Atendido",IFERROR($I1149*INDEX(Config!$B:$B,MATCH($C1149,Config!$A:$A,0)),0),0))</f>
        <v/>
      </c>
      <c r="N1149" s="36" t="str">
        <f t="shared" si="2"/>
        <v/>
      </c>
      <c r="O1149" s="36" t="str">
        <f t="shared" si="3"/>
        <v/>
      </c>
      <c r="P1149" s="15"/>
      <c r="Q1149" s="37" t="str">
        <f t="shared" si="4"/>
        <v/>
      </c>
      <c r="R1149" s="37" t="str">
        <f t="shared" si="5"/>
        <v/>
      </c>
      <c r="S1149" s="32" t="str">
        <f t="shared" si="6"/>
        <v/>
      </c>
      <c r="T1149" s="37" t="str">
        <f t="shared" si="7"/>
        <v/>
      </c>
      <c r="U1149" s="37" t="str">
        <f t="array" ref="U1149">IF($F1149="","",IFERROR(INDEX(Config!$F:$F,MATCH($F1149,Config!$D:$D,0)),0))</f>
        <v/>
      </c>
    </row>
    <row r="1150" ht="15.0" customHeight="1">
      <c r="A1150" s="34"/>
      <c r="B1150" s="35"/>
      <c r="C1150" s="15"/>
      <c r="D1150" s="15"/>
      <c r="E1150" s="15"/>
      <c r="F1150" s="15"/>
      <c r="G1150" s="36" t="str">
        <f t="array" ref="G1150">IF($F1150="","",IFERROR(INDEX(Config!$E:$E,MATCH($F1150,Config!$D:$D,0)),0))</f>
        <v/>
      </c>
      <c r="H1150" s="16"/>
      <c r="I1150" s="36" t="str">
        <f t="shared" si="1"/>
        <v/>
      </c>
      <c r="J1150" s="16"/>
      <c r="K1150" s="15"/>
      <c r="L1150" s="15"/>
      <c r="M1150" s="36" t="str">
        <f t="array" ref="M1150">IF($A1150="","",IF($L1150="Atendido",IFERROR($I1150*INDEX(Config!$B:$B,MATCH($C1150,Config!$A:$A,0)),0),0))</f>
        <v/>
      </c>
      <c r="N1150" s="36" t="str">
        <f t="shared" si="2"/>
        <v/>
      </c>
      <c r="O1150" s="36" t="str">
        <f t="shared" si="3"/>
        <v/>
      </c>
      <c r="P1150" s="15"/>
      <c r="Q1150" s="37" t="str">
        <f t="shared" si="4"/>
        <v/>
      </c>
      <c r="R1150" s="37" t="str">
        <f t="shared" si="5"/>
        <v/>
      </c>
      <c r="S1150" s="32" t="str">
        <f t="shared" si="6"/>
        <v/>
      </c>
      <c r="T1150" s="37" t="str">
        <f t="shared" si="7"/>
        <v/>
      </c>
      <c r="U1150" s="37" t="str">
        <f t="array" ref="U1150">IF($F1150="","",IFERROR(INDEX(Config!$F:$F,MATCH($F1150,Config!$D:$D,0)),0))</f>
        <v/>
      </c>
    </row>
    <row r="1151" ht="15.0" customHeight="1">
      <c r="A1151" s="34"/>
      <c r="B1151" s="35"/>
      <c r="C1151" s="15"/>
      <c r="D1151" s="15"/>
      <c r="E1151" s="15"/>
      <c r="F1151" s="15"/>
      <c r="G1151" s="36" t="str">
        <f t="array" ref="G1151">IF($F1151="","",IFERROR(INDEX(Config!$E:$E,MATCH($F1151,Config!$D:$D,0)),0))</f>
        <v/>
      </c>
      <c r="H1151" s="16"/>
      <c r="I1151" s="36" t="str">
        <f t="shared" si="1"/>
        <v/>
      </c>
      <c r="J1151" s="16"/>
      <c r="K1151" s="15"/>
      <c r="L1151" s="15"/>
      <c r="M1151" s="36" t="str">
        <f t="array" ref="M1151">IF($A1151="","",IF($L1151="Atendido",IFERROR($I1151*INDEX(Config!$B:$B,MATCH($C1151,Config!$A:$A,0)),0),0))</f>
        <v/>
      </c>
      <c r="N1151" s="36" t="str">
        <f t="shared" si="2"/>
        <v/>
      </c>
      <c r="O1151" s="36" t="str">
        <f t="shared" si="3"/>
        <v/>
      </c>
      <c r="P1151" s="15"/>
      <c r="Q1151" s="37" t="str">
        <f t="shared" si="4"/>
        <v/>
      </c>
      <c r="R1151" s="37" t="str">
        <f t="shared" si="5"/>
        <v/>
      </c>
      <c r="S1151" s="32" t="str">
        <f t="shared" si="6"/>
        <v/>
      </c>
      <c r="T1151" s="37" t="str">
        <f t="shared" si="7"/>
        <v/>
      </c>
      <c r="U1151" s="37" t="str">
        <f t="array" ref="U1151">IF($F1151="","",IFERROR(INDEX(Config!$F:$F,MATCH($F1151,Config!$D:$D,0)),0))</f>
        <v/>
      </c>
    </row>
    <row r="1152" ht="15.0" customHeight="1">
      <c r="A1152" s="34"/>
      <c r="B1152" s="35"/>
      <c r="C1152" s="15"/>
      <c r="D1152" s="15"/>
      <c r="E1152" s="15"/>
      <c r="F1152" s="15"/>
      <c r="G1152" s="36" t="str">
        <f t="array" ref="G1152">IF($F1152="","",IFERROR(INDEX(Config!$E:$E,MATCH($F1152,Config!$D:$D,0)),0))</f>
        <v/>
      </c>
      <c r="H1152" s="16"/>
      <c r="I1152" s="36" t="str">
        <f t="shared" si="1"/>
        <v/>
      </c>
      <c r="J1152" s="16"/>
      <c r="K1152" s="15"/>
      <c r="L1152" s="15"/>
      <c r="M1152" s="36" t="str">
        <f t="array" ref="M1152">IF($A1152="","",IF($L1152="Atendido",IFERROR($I1152*INDEX(Config!$B:$B,MATCH($C1152,Config!$A:$A,0)),0),0))</f>
        <v/>
      </c>
      <c r="N1152" s="36" t="str">
        <f t="shared" si="2"/>
        <v/>
      </c>
      <c r="O1152" s="36" t="str">
        <f t="shared" si="3"/>
        <v/>
      </c>
      <c r="P1152" s="15"/>
      <c r="Q1152" s="37" t="str">
        <f t="shared" si="4"/>
        <v/>
      </c>
      <c r="R1152" s="37" t="str">
        <f t="shared" si="5"/>
        <v/>
      </c>
      <c r="S1152" s="32" t="str">
        <f t="shared" si="6"/>
        <v/>
      </c>
      <c r="T1152" s="37" t="str">
        <f t="shared" si="7"/>
        <v/>
      </c>
      <c r="U1152" s="37" t="str">
        <f t="array" ref="U1152">IF($F1152="","",IFERROR(INDEX(Config!$F:$F,MATCH($F1152,Config!$D:$D,0)),0))</f>
        <v/>
      </c>
    </row>
    <row r="1153" ht="15.0" customHeight="1">
      <c r="A1153" s="34"/>
      <c r="B1153" s="35"/>
      <c r="C1153" s="15"/>
      <c r="D1153" s="15"/>
      <c r="E1153" s="15"/>
      <c r="F1153" s="15"/>
      <c r="G1153" s="36" t="str">
        <f t="array" ref="G1153">IF($F1153="","",IFERROR(INDEX(Config!$E:$E,MATCH($F1153,Config!$D:$D,0)),0))</f>
        <v/>
      </c>
      <c r="H1153" s="16"/>
      <c r="I1153" s="36" t="str">
        <f t="shared" si="1"/>
        <v/>
      </c>
      <c r="J1153" s="16"/>
      <c r="K1153" s="15"/>
      <c r="L1153" s="15"/>
      <c r="M1153" s="36" t="str">
        <f t="array" ref="M1153">IF($A1153="","",IF($L1153="Atendido",IFERROR($I1153*INDEX(Config!$B:$B,MATCH($C1153,Config!$A:$A,0)),0),0))</f>
        <v/>
      </c>
      <c r="N1153" s="36" t="str">
        <f t="shared" si="2"/>
        <v/>
      </c>
      <c r="O1153" s="36" t="str">
        <f t="shared" si="3"/>
        <v/>
      </c>
      <c r="P1153" s="15"/>
      <c r="Q1153" s="37" t="str">
        <f t="shared" si="4"/>
        <v/>
      </c>
      <c r="R1153" s="37" t="str">
        <f t="shared" si="5"/>
        <v/>
      </c>
      <c r="S1153" s="32" t="str">
        <f t="shared" si="6"/>
        <v/>
      </c>
      <c r="T1153" s="37" t="str">
        <f t="shared" si="7"/>
        <v/>
      </c>
      <c r="U1153" s="37" t="str">
        <f t="array" ref="U1153">IF($F1153="","",IFERROR(INDEX(Config!$F:$F,MATCH($F1153,Config!$D:$D,0)),0))</f>
        <v/>
      </c>
    </row>
    <row r="1154" ht="15.0" customHeight="1">
      <c r="A1154" s="34"/>
      <c r="B1154" s="35"/>
      <c r="C1154" s="15"/>
      <c r="D1154" s="15"/>
      <c r="E1154" s="15"/>
      <c r="F1154" s="15"/>
      <c r="G1154" s="36" t="str">
        <f t="array" ref="G1154">IF($F1154="","",IFERROR(INDEX(Config!$E:$E,MATCH($F1154,Config!$D:$D,0)),0))</f>
        <v/>
      </c>
      <c r="H1154" s="16"/>
      <c r="I1154" s="36" t="str">
        <f t="shared" si="1"/>
        <v/>
      </c>
      <c r="J1154" s="16"/>
      <c r="K1154" s="15"/>
      <c r="L1154" s="15"/>
      <c r="M1154" s="36" t="str">
        <f t="array" ref="M1154">IF($A1154="","",IF($L1154="Atendido",IFERROR($I1154*INDEX(Config!$B:$B,MATCH($C1154,Config!$A:$A,0)),0),0))</f>
        <v/>
      </c>
      <c r="N1154" s="36" t="str">
        <f t="shared" si="2"/>
        <v/>
      </c>
      <c r="O1154" s="36" t="str">
        <f t="shared" si="3"/>
        <v/>
      </c>
      <c r="P1154" s="15"/>
      <c r="Q1154" s="37" t="str">
        <f t="shared" si="4"/>
        <v/>
      </c>
      <c r="R1154" s="37" t="str">
        <f t="shared" si="5"/>
        <v/>
      </c>
      <c r="S1154" s="32" t="str">
        <f t="shared" si="6"/>
        <v/>
      </c>
      <c r="T1154" s="37" t="str">
        <f t="shared" si="7"/>
        <v/>
      </c>
      <c r="U1154" s="37" t="str">
        <f t="array" ref="U1154">IF($F1154="","",IFERROR(INDEX(Config!$F:$F,MATCH($F1154,Config!$D:$D,0)),0))</f>
        <v/>
      </c>
    </row>
    <row r="1155" ht="15.0" customHeight="1">
      <c r="A1155" s="34"/>
      <c r="B1155" s="35"/>
      <c r="C1155" s="15"/>
      <c r="D1155" s="15"/>
      <c r="E1155" s="15"/>
      <c r="F1155" s="15"/>
      <c r="G1155" s="36" t="str">
        <f t="array" ref="G1155">IF($F1155="","",IFERROR(INDEX(Config!$E:$E,MATCH($F1155,Config!$D:$D,0)),0))</f>
        <v/>
      </c>
      <c r="H1155" s="16"/>
      <c r="I1155" s="36" t="str">
        <f t="shared" si="1"/>
        <v/>
      </c>
      <c r="J1155" s="16"/>
      <c r="K1155" s="15"/>
      <c r="L1155" s="15"/>
      <c r="M1155" s="36" t="str">
        <f t="array" ref="M1155">IF($A1155="","",IF($L1155="Atendido",IFERROR($I1155*INDEX(Config!$B:$B,MATCH($C1155,Config!$A:$A,0)),0),0))</f>
        <v/>
      </c>
      <c r="N1155" s="36" t="str">
        <f t="shared" si="2"/>
        <v/>
      </c>
      <c r="O1155" s="36" t="str">
        <f t="shared" si="3"/>
        <v/>
      </c>
      <c r="P1155" s="15"/>
      <c r="Q1155" s="37" t="str">
        <f t="shared" si="4"/>
        <v/>
      </c>
      <c r="R1155" s="37" t="str">
        <f t="shared" si="5"/>
        <v/>
      </c>
      <c r="S1155" s="32" t="str">
        <f t="shared" si="6"/>
        <v/>
      </c>
      <c r="T1155" s="37" t="str">
        <f t="shared" si="7"/>
        <v/>
      </c>
      <c r="U1155" s="37" t="str">
        <f t="array" ref="U1155">IF($F1155="","",IFERROR(INDEX(Config!$F:$F,MATCH($F1155,Config!$D:$D,0)),0))</f>
        <v/>
      </c>
    </row>
    <row r="1156" ht="15.0" customHeight="1">
      <c r="A1156" s="34"/>
      <c r="B1156" s="35"/>
      <c r="C1156" s="15"/>
      <c r="D1156" s="15"/>
      <c r="E1156" s="15"/>
      <c r="F1156" s="15"/>
      <c r="G1156" s="36" t="str">
        <f t="array" ref="G1156">IF($F1156="","",IFERROR(INDEX(Config!$E:$E,MATCH($F1156,Config!$D:$D,0)),0))</f>
        <v/>
      </c>
      <c r="H1156" s="16"/>
      <c r="I1156" s="36" t="str">
        <f t="shared" si="1"/>
        <v/>
      </c>
      <c r="J1156" s="16"/>
      <c r="K1156" s="15"/>
      <c r="L1156" s="15"/>
      <c r="M1156" s="36" t="str">
        <f t="array" ref="M1156">IF($A1156="","",IF($L1156="Atendido",IFERROR($I1156*INDEX(Config!$B:$B,MATCH($C1156,Config!$A:$A,0)),0),0))</f>
        <v/>
      </c>
      <c r="N1156" s="36" t="str">
        <f t="shared" si="2"/>
        <v/>
      </c>
      <c r="O1156" s="36" t="str">
        <f t="shared" si="3"/>
        <v/>
      </c>
      <c r="P1156" s="15"/>
      <c r="Q1156" s="37" t="str">
        <f t="shared" si="4"/>
        <v/>
      </c>
      <c r="R1156" s="37" t="str">
        <f t="shared" si="5"/>
        <v/>
      </c>
      <c r="S1156" s="32" t="str">
        <f t="shared" si="6"/>
        <v/>
      </c>
      <c r="T1156" s="37" t="str">
        <f t="shared" si="7"/>
        <v/>
      </c>
      <c r="U1156" s="37" t="str">
        <f t="array" ref="U1156">IF($F1156="","",IFERROR(INDEX(Config!$F:$F,MATCH($F1156,Config!$D:$D,0)),0))</f>
        <v/>
      </c>
    </row>
    <row r="1157" ht="15.0" customHeight="1">
      <c r="A1157" s="34"/>
      <c r="B1157" s="35"/>
      <c r="C1157" s="15"/>
      <c r="D1157" s="15"/>
      <c r="E1157" s="15"/>
      <c r="F1157" s="15"/>
      <c r="G1157" s="36" t="str">
        <f t="array" ref="G1157">IF($F1157="","",IFERROR(INDEX(Config!$E:$E,MATCH($F1157,Config!$D:$D,0)),0))</f>
        <v/>
      </c>
      <c r="H1157" s="16"/>
      <c r="I1157" s="36" t="str">
        <f t="shared" si="1"/>
        <v/>
      </c>
      <c r="J1157" s="16"/>
      <c r="K1157" s="15"/>
      <c r="L1157" s="15"/>
      <c r="M1157" s="36" t="str">
        <f t="array" ref="M1157">IF($A1157="","",IF($L1157="Atendido",IFERROR($I1157*INDEX(Config!$B:$B,MATCH($C1157,Config!$A:$A,0)),0),0))</f>
        <v/>
      </c>
      <c r="N1157" s="36" t="str">
        <f t="shared" si="2"/>
        <v/>
      </c>
      <c r="O1157" s="36" t="str">
        <f t="shared" si="3"/>
        <v/>
      </c>
      <c r="P1157" s="15"/>
      <c r="Q1157" s="37" t="str">
        <f t="shared" si="4"/>
        <v/>
      </c>
      <c r="R1157" s="37" t="str">
        <f t="shared" si="5"/>
        <v/>
      </c>
      <c r="S1157" s="32" t="str">
        <f t="shared" si="6"/>
        <v/>
      </c>
      <c r="T1157" s="37" t="str">
        <f t="shared" si="7"/>
        <v/>
      </c>
      <c r="U1157" s="37" t="str">
        <f t="array" ref="U1157">IF($F1157="","",IFERROR(INDEX(Config!$F:$F,MATCH($F1157,Config!$D:$D,0)),0))</f>
        <v/>
      </c>
    </row>
    <row r="1158" ht="15.0" customHeight="1">
      <c r="A1158" s="34"/>
      <c r="B1158" s="35"/>
      <c r="C1158" s="15"/>
      <c r="D1158" s="15"/>
      <c r="E1158" s="15"/>
      <c r="F1158" s="15"/>
      <c r="G1158" s="36" t="str">
        <f t="array" ref="G1158">IF($F1158="","",IFERROR(INDEX(Config!$E:$E,MATCH($F1158,Config!$D:$D,0)),0))</f>
        <v/>
      </c>
      <c r="H1158" s="16"/>
      <c r="I1158" s="36" t="str">
        <f t="shared" si="1"/>
        <v/>
      </c>
      <c r="J1158" s="16"/>
      <c r="K1158" s="15"/>
      <c r="L1158" s="15"/>
      <c r="M1158" s="36" t="str">
        <f t="array" ref="M1158">IF($A1158="","",IF($L1158="Atendido",IFERROR($I1158*INDEX(Config!$B:$B,MATCH($C1158,Config!$A:$A,0)),0),0))</f>
        <v/>
      </c>
      <c r="N1158" s="36" t="str">
        <f t="shared" si="2"/>
        <v/>
      </c>
      <c r="O1158" s="36" t="str">
        <f t="shared" si="3"/>
        <v/>
      </c>
      <c r="P1158" s="15"/>
      <c r="Q1158" s="37" t="str">
        <f t="shared" si="4"/>
        <v/>
      </c>
      <c r="R1158" s="37" t="str">
        <f t="shared" si="5"/>
        <v/>
      </c>
      <c r="S1158" s="32" t="str">
        <f t="shared" si="6"/>
        <v/>
      </c>
      <c r="T1158" s="37" t="str">
        <f t="shared" si="7"/>
        <v/>
      </c>
      <c r="U1158" s="37" t="str">
        <f t="array" ref="U1158">IF($F1158="","",IFERROR(INDEX(Config!$F:$F,MATCH($F1158,Config!$D:$D,0)),0))</f>
        <v/>
      </c>
    </row>
    <row r="1159" ht="15.0" customHeight="1">
      <c r="A1159" s="34"/>
      <c r="B1159" s="35"/>
      <c r="C1159" s="15"/>
      <c r="D1159" s="15"/>
      <c r="E1159" s="15"/>
      <c r="F1159" s="15"/>
      <c r="G1159" s="36" t="str">
        <f t="array" ref="G1159">IF($F1159="","",IFERROR(INDEX(Config!$E:$E,MATCH($F1159,Config!$D:$D,0)),0))</f>
        <v/>
      </c>
      <c r="H1159" s="16"/>
      <c r="I1159" s="36" t="str">
        <f t="shared" si="1"/>
        <v/>
      </c>
      <c r="J1159" s="16"/>
      <c r="K1159" s="15"/>
      <c r="L1159" s="15"/>
      <c r="M1159" s="36" t="str">
        <f t="array" ref="M1159">IF($A1159="","",IF($L1159="Atendido",IFERROR($I1159*INDEX(Config!$B:$B,MATCH($C1159,Config!$A:$A,0)),0),0))</f>
        <v/>
      </c>
      <c r="N1159" s="36" t="str">
        <f t="shared" si="2"/>
        <v/>
      </c>
      <c r="O1159" s="36" t="str">
        <f t="shared" si="3"/>
        <v/>
      </c>
      <c r="P1159" s="15"/>
      <c r="Q1159" s="37" t="str">
        <f t="shared" si="4"/>
        <v/>
      </c>
      <c r="R1159" s="37" t="str">
        <f t="shared" si="5"/>
        <v/>
      </c>
      <c r="S1159" s="32" t="str">
        <f t="shared" si="6"/>
        <v/>
      </c>
      <c r="T1159" s="37" t="str">
        <f t="shared" si="7"/>
        <v/>
      </c>
      <c r="U1159" s="37" t="str">
        <f t="array" ref="U1159">IF($F1159="","",IFERROR(INDEX(Config!$F:$F,MATCH($F1159,Config!$D:$D,0)),0))</f>
        <v/>
      </c>
    </row>
    <row r="1160" ht="15.0" customHeight="1">
      <c r="A1160" s="34"/>
      <c r="B1160" s="35"/>
      <c r="C1160" s="15"/>
      <c r="D1160" s="15"/>
      <c r="E1160" s="15"/>
      <c r="F1160" s="15"/>
      <c r="G1160" s="36" t="str">
        <f t="array" ref="G1160">IF($F1160="","",IFERROR(INDEX(Config!$E:$E,MATCH($F1160,Config!$D:$D,0)),0))</f>
        <v/>
      </c>
      <c r="H1160" s="16"/>
      <c r="I1160" s="36" t="str">
        <f t="shared" si="1"/>
        <v/>
      </c>
      <c r="J1160" s="16"/>
      <c r="K1160" s="15"/>
      <c r="L1160" s="15"/>
      <c r="M1160" s="36" t="str">
        <f t="array" ref="M1160">IF($A1160="","",IF($L1160="Atendido",IFERROR($I1160*INDEX(Config!$B:$B,MATCH($C1160,Config!$A:$A,0)),0),0))</f>
        <v/>
      </c>
      <c r="N1160" s="36" t="str">
        <f t="shared" si="2"/>
        <v/>
      </c>
      <c r="O1160" s="36" t="str">
        <f t="shared" si="3"/>
        <v/>
      </c>
      <c r="P1160" s="15"/>
      <c r="Q1160" s="37" t="str">
        <f t="shared" si="4"/>
        <v/>
      </c>
      <c r="R1160" s="37" t="str">
        <f t="shared" si="5"/>
        <v/>
      </c>
      <c r="S1160" s="32" t="str">
        <f t="shared" si="6"/>
        <v/>
      </c>
      <c r="T1160" s="37" t="str">
        <f t="shared" si="7"/>
        <v/>
      </c>
      <c r="U1160" s="37" t="str">
        <f t="array" ref="U1160">IF($F1160="","",IFERROR(INDEX(Config!$F:$F,MATCH($F1160,Config!$D:$D,0)),0))</f>
        <v/>
      </c>
    </row>
    <row r="1161" ht="15.0" customHeight="1">
      <c r="A1161" s="34"/>
      <c r="B1161" s="35"/>
      <c r="C1161" s="15"/>
      <c r="D1161" s="15"/>
      <c r="E1161" s="15"/>
      <c r="F1161" s="15"/>
      <c r="G1161" s="36" t="str">
        <f t="array" ref="G1161">IF($F1161="","",IFERROR(INDEX(Config!$E:$E,MATCH($F1161,Config!$D:$D,0)),0))</f>
        <v/>
      </c>
      <c r="H1161" s="16"/>
      <c r="I1161" s="36" t="str">
        <f t="shared" si="1"/>
        <v/>
      </c>
      <c r="J1161" s="16"/>
      <c r="K1161" s="15"/>
      <c r="L1161" s="15"/>
      <c r="M1161" s="36" t="str">
        <f t="array" ref="M1161">IF($A1161="","",IF($L1161="Atendido",IFERROR($I1161*INDEX(Config!$B:$B,MATCH($C1161,Config!$A:$A,0)),0),0))</f>
        <v/>
      </c>
      <c r="N1161" s="36" t="str">
        <f t="shared" si="2"/>
        <v/>
      </c>
      <c r="O1161" s="36" t="str">
        <f t="shared" si="3"/>
        <v/>
      </c>
      <c r="P1161" s="15"/>
      <c r="Q1161" s="37" t="str">
        <f t="shared" si="4"/>
        <v/>
      </c>
      <c r="R1161" s="37" t="str">
        <f t="shared" si="5"/>
        <v/>
      </c>
      <c r="S1161" s="32" t="str">
        <f t="shared" si="6"/>
        <v/>
      </c>
      <c r="T1161" s="37" t="str">
        <f t="shared" si="7"/>
        <v/>
      </c>
      <c r="U1161" s="37" t="str">
        <f t="array" ref="U1161">IF($F1161="","",IFERROR(INDEX(Config!$F:$F,MATCH($F1161,Config!$D:$D,0)),0))</f>
        <v/>
      </c>
    </row>
    <row r="1162" ht="15.0" customHeight="1">
      <c r="A1162" s="34"/>
      <c r="B1162" s="35"/>
      <c r="C1162" s="15"/>
      <c r="D1162" s="15"/>
      <c r="E1162" s="15"/>
      <c r="F1162" s="15"/>
      <c r="G1162" s="36" t="str">
        <f t="array" ref="G1162">IF($F1162="","",IFERROR(INDEX(Config!$E:$E,MATCH($F1162,Config!$D:$D,0)),0))</f>
        <v/>
      </c>
      <c r="H1162" s="16"/>
      <c r="I1162" s="36" t="str">
        <f t="shared" si="1"/>
        <v/>
      </c>
      <c r="J1162" s="16"/>
      <c r="K1162" s="15"/>
      <c r="L1162" s="15"/>
      <c r="M1162" s="36" t="str">
        <f t="array" ref="M1162">IF($A1162="","",IF($L1162="Atendido",IFERROR($I1162*INDEX(Config!$B:$B,MATCH($C1162,Config!$A:$A,0)),0),0))</f>
        <v/>
      </c>
      <c r="N1162" s="36" t="str">
        <f t="shared" si="2"/>
        <v/>
      </c>
      <c r="O1162" s="36" t="str">
        <f t="shared" si="3"/>
        <v/>
      </c>
      <c r="P1162" s="15"/>
      <c r="Q1162" s="37" t="str">
        <f t="shared" si="4"/>
        <v/>
      </c>
      <c r="R1162" s="37" t="str">
        <f t="shared" si="5"/>
        <v/>
      </c>
      <c r="S1162" s="32" t="str">
        <f t="shared" si="6"/>
        <v/>
      </c>
      <c r="T1162" s="37" t="str">
        <f t="shared" si="7"/>
        <v/>
      </c>
      <c r="U1162" s="37" t="str">
        <f t="array" ref="U1162">IF($F1162="","",IFERROR(INDEX(Config!$F:$F,MATCH($F1162,Config!$D:$D,0)),0))</f>
        <v/>
      </c>
    </row>
    <row r="1163" ht="15.0" customHeight="1">
      <c r="A1163" s="34"/>
      <c r="B1163" s="35"/>
      <c r="C1163" s="15"/>
      <c r="D1163" s="15"/>
      <c r="E1163" s="15"/>
      <c r="F1163" s="15"/>
      <c r="G1163" s="36" t="str">
        <f t="array" ref="G1163">IF($F1163="","",IFERROR(INDEX(Config!$E:$E,MATCH($F1163,Config!$D:$D,0)),0))</f>
        <v/>
      </c>
      <c r="H1163" s="16"/>
      <c r="I1163" s="36" t="str">
        <f t="shared" si="1"/>
        <v/>
      </c>
      <c r="J1163" s="16"/>
      <c r="K1163" s="15"/>
      <c r="L1163" s="15"/>
      <c r="M1163" s="36" t="str">
        <f t="array" ref="M1163">IF($A1163="","",IF($L1163="Atendido",IFERROR($I1163*INDEX(Config!$B:$B,MATCH($C1163,Config!$A:$A,0)),0),0))</f>
        <v/>
      </c>
      <c r="N1163" s="36" t="str">
        <f t="shared" si="2"/>
        <v/>
      </c>
      <c r="O1163" s="36" t="str">
        <f t="shared" si="3"/>
        <v/>
      </c>
      <c r="P1163" s="15"/>
      <c r="Q1163" s="37" t="str">
        <f t="shared" si="4"/>
        <v/>
      </c>
      <c r="R1163" s="37" t="str">
        <f t="shared" si="5"/>
        <v/>
      </c>
      <c r="S1163" s="32" t="str">
        <f t="shared" si="6"/>
        <v/>
      </c>
      <c r="T1163" s="37" t="str">
        <f t="shared" si="7"/>
        <v/>
      </c>
      <c r="U1163" s="37" t="str">
        <f t="array" ref="U1163">IF($F1163="","",IFERROR(INDEX(Config!$F:$F,MATCH($F1163,Config!$D:$D,0)),0))</f>
        <v/>
      </c>
    </row>
    <row r="1164" ht="15.0" customHeight="1">
      <c r="A1164" s="34"/>
      <c r="B1164" s="35"/>
      <c r="C1164" s="15"/>
      <c r="D1164" s="15"/>
      <c r="E1164" s="15"/>
      <c r="F1164" s="15"/>
      <c r="G1164" s="36" t="str">
        <f t="array" ref="G1164">IF($F1164="","",IFERROR(INDEX(Config!$E:$E,MATCH($F1164,Config!$D:$D,0)),0))</f>
        <v/>
      </c>
      <c r="H1164" s="16"/>
      <c r="I1164" s="36" t="str">
        <f t="shared" si="1"/>
        <v/>
      </c>
      <c r="J1164" s="16"/>
      <c r="K1164" s="15"/>
      <c r="L1164" s="15"/>
      <c r="M1164" s="36" t="str">
        <f t="array" ref="M1164">IF($A1164="","",IF($L1164="Atendido",IFERROR($I1164*INDEX(Config!$B:$B,MATCH($C1164,Config!$A:$A,0)),0),0))</f>
        <v/>
      </c>
      <c r="N1164" s="36" t="str">
        <f t="shared" si="2"/>
        <v/>
      </c>
      <c r="O1164" s="36" t="str">
        <f t="shared" si="3"/>
        <v/>
      </c>
      <c r="P1164" s="15"/>
      <c r="Q1164" s="37" t="str">
        <f t="shared" si="4"/>
        <v/>
      </c>
      <c r="R1164" s="37" t="str">
        <f t="shared" si="5"/>
        <v/>
      </c>
      <c r="S1164" s="32" t="str">
        <f t="shared" si="6"/>
        <v/>
      </c>
      <c r="T1164" s="37" t="str">
        <f t="shared" si="7"/>
        <v/>
      </c>
      <c r="U1164" s="37" t="str">
        <f t="array" ref="U1164">IF($F1164="","",IFERROR(INDEX(Config!$F:$F,MATCH($F1164,Config!$D:$D,0)),0))</f>
        <v/>
      </c>
    </row>
    <row r="1165" ht="15.0" customHeight="1">
      <c r="A1165" s="34"/>
      <c r="B1165" s="35"/>
      <c r="C1165" s="15"/>
      <c r="D1165" s="15"/>
      <c r="E1165" s="15"/>
      <c r="F1165" s="15"/>
      <c r="G1165" s="36" t="str">
        <f t="array" ref="G1165">IF($F1165="","",IFERROR(INDEX(Config!$E:$E,MATCH($F1165,Config!$D:$D,0)),0))</f>
        <v/>
      </c>
      <c r="H1165" s="16"/>
      <c r="I1165" s="36" t="str">
        <f t="shared" si="1"/>
        <v/>
      </c>
      <c r="J1165" s="16"/>
      <c r="K1165" s="15"/>
      <c r="L1165" s="15"/>
      <c r="M1165" s="36" t="str">
        <f t="array" ref="M1165">IF($A1165="","",IF($L1165="Atendido",IFERROR($I1165*INDEX(Config!$B:$B,MATCH($C1165,Config!$A:$A,0)),0),0))</f>
        <v/>
      </c>
      <c r="N1165" s="36" t="str">
        <f t="shared" si="2"/>
        <v/>
      </c>
      <c r="O1165" s="36" t="str">
        <f t="shared" si="3"/>
        <v/>
      </c>
      <c r="P1165" s="15"/>
      <c r="Q1165" s="37" t="str">
        <f t="shared" si="4"/>
        <v/>
      </c>
      <c r="R1165" s="37" t="str">
        <f t="shared" si="5"/>
        <v/>
      </c>
      <c r="S1165" s="32" t="str">
        <f t="shared" si="6"/>
        <v/>
      </c>
      <c r="T1165" s="37" t="str">
        <f t="shared" si="7"/>
        <v/>
      </c>
      <c r="U1165" s="37" t="str">
        <f t="array" ref="U1165">IF($F1165="","",IFERROR(INDEX(Config!$F:$F,MATCH($F1165,Config!$D:$D,0)),0))</f>
        <v/>
      </c>
    </row>
    <row r="1166" ht="15.0" customHeight="1">
      <c r="A1166" s="34"/>
      <c r="B1166" s="35"/>
      <c r="C1166" s="15"/>
      <c r="D1166" s="15"/>
      <c r="E1166" s="15"/>
      <c r="F1166" s="15"/>
      <c r="G1166" s="36" t="str">
        <f t="array" ref="G1166">IF($F1166="","",IFERROR(INDEX(Config!$E:$E,MATCH($F1166,Config!$D:$D,0)),0))</f>
        <v/>
      </c>
      <c r="H1166" s="16"/>
      <c r="I1166" s="36" t="str">
        <f t="shared" si="1"/>
        <v/>
      </c>
      <c r="J1166" s="16"/>
      <c r="K1166" s="15"/>
      <c r="L1166" s="15"/>
      <c r="M1166" s="36" t="str">
        <f t="array" ref="M1166">IF($A1166="","",IF($L1166="Atendido",IFERROR($I1166*INDEX(Config!$B:$B,MATCH($C1166,Config!$A:$A,0)),0),0))</f>
        <v/>
      </c>
      <c r="N1166" s="36" t="str">
        <f t="shared" si="2"/>
        <v/>
      </c>
      <c r="O1166" s="36" t="str">
        <f t="shared" si="3"/>
        <v/>
      </c>
      <c r="P1166" s="15"/>
      <c r="Q1166" s="37" t="str">
        <f t="shared" si="4"/>
        <v/>
      </c>
      <c r="R1166" s="37" t="str">
        <f t="shared" si="5"/>
        <v/>
      </c>
      <c r="S1166" s="32" t="str">
        <f t="shared" si="6"/>
        <v/>
      </c>
      <c r="T1166" s="37" t="str">
        <f t="shared" si="7"/>
        <v/>
      </c>
      <c r="U1166" s="37" t="str">
        <f t="array" ref="U1166">IF($F1166="","",IFERROR(INDEX(Config!$F:$F,MATCH($F1166,Config!$D:$D,0)),0))</f>
        <v/>
      </c>
    </row>
    <row r="1167" ht="15.0" customHeight="1">
      <c r="A1167" s="34"/>
      <c r="B1167" s="35"/>
      <c r="C1167" s="15"/>
      <c r="D1167" s="15"/>
      <c r="E1167" s="15"/>
      <c r="F1167" s="15"/>
      <c r="G1167" s="36" t="str">
        <f t="array" ref="G1167">IF($F1167="","",IFERROR(INDEX(Config!$E:$E,MATCH($F1167,Config!$D:$D,0)),0))</f>
        <v/>
      </c>
      <c r="H1167" s="16"/>
      <c r="I1167" s="36" t="str">
        <f t="shared" si="1"/>
        <v/>
      </c>
      <c r="J1167" s="16"/>
      <c r="K1167" s="15"/>
      <c r="L1167" s="15"/>
      <c r="M1167" s="36" t="str">
        <f t="array" ref="M1167">IF($A1167="","",IF($L1167="Atendido",IFERROR($I1167*INDEX(Config!$B:$B,MATCH($C1167,Config!$A:$A,0)),0),0))</f>
        <v/>
      </c>
      <c r="N1167" s="36" t="str">
        <f t="shared" si="2"/>
        <v/>
      </c>
      <c r="O1167" s="36" t="str">
        <f t="shared" si="3"/>
        <v/>
      </c>
      <c r="P1167" s="15"/>
      <c r="Q1167" s="37" t="str">
        <f t="shared" si="4"/>
        <v/>
      </c>
      <c r="R1167" s="37" t="str">
        <f t="shared" si="5"/>
        <v/>
      </c>
      <c r="S1167" s="32" t="str">
        <f t="shared" si="6"/>
        <v/>
      </c>
      <c r="T1167" s="37" t="str">
        <f t="shared" si="7"/>
        <v/>
      </c>
      <c r="U1167" s="37" t="str">
        <f t="array" ref="U1167">IF($F1167="","",IFERROR(INDEX(Config!$F:$F,MATCH($F1167,Config!$D:$D,0)),0))</f>
        <v/>
      </c>
    </row>
    <row r="1168" ht="15.0" customHeight="1">
      <c r="A1168" s="34"/>
      <c r="B1168" s="35"/>
      <c r="C1168" s="15"/>
      <c r="D1168" s="15"/>
      <c r="E1168" s="15"/>
      <c r="F1168" s="15"/>
      <c r="G1168" s="36" t="str">
        <f t="array" ref="G1168">IF($F1168="","",IFERROR(INDEX(Config!$E:$E,MATCH($F1168,Config!$D:$D,0)),0))</f>
        <v/>
      </c>
      <c r="H1168" s="16"/>
      <c r="I1168" s="36" t="str">
        <f t="shared" si="1"/>
        <v/>
      </c>
      <c r="J1168" s="16"/>
      <c r="K1168" s="15"/>
      <c r="L1168" s="15"/>
      <c r="M1168" s="36" t="str">
        <f t="array" ref="M1168">IF($A1168="","",IF($L1168="Atendido",IFERROR($I1168*INDEX(Config!$B:$B,MATCH($C1168,Config!$A:$A,0)),0),0))</f>
        <v/>
      </c>
      <c r="N1168" s="36" t="str">
        <f t="shared" si="2"/>
        <v/>
      </c>
      <c r="O1168" s="36" t="str">
        <f t="shared" si="3"/>
        <v/>
      </c>
      <c r="P1168" s="15"/>
      <c r="Q1168" s="37" t="str">
        <f t="shared" si="4"/>
        <v/>
      </c>
      <c r="R1168" s="37" t="str">
        <f t="shared" si="5"/>
        <v/>
      </c>
      <c r="S1168" s="32" t="str">
        <f t="shared" si="6"/>
        <v/>
      </c>
      <c r="T1168" s="37" t="str">
        <f t="shared" si="7"/>
        <v/>
      </c>
      <c r="U1168" s="37" t="str">
        <f t="array" ref="U1168">IF($F1168="","",IFERROR(INDEX(Config!$F:$F,MATCH($F1168,Config!$D:$D,0)),0))</f>
        <v/>
      </c>
    </row>
    <row r="1169" ht="15.0" customHeight="1">
      <c r="A1169" s="34"/>
      <c r="B1169" s="35"/>
      <c r="C1169" s="15"/>
      <c r="D1169" s="15"/>
      <c r="E1169" s="15"/>
      <c r="F1169" s="15"/>
      <c r="G1169" s="36" t="str">
        <f t="array" ref="G1169">IF($F1169="","",IFERROR(INDEX(Config!$E:$E,MATCH($F1169,Config!$D:$D,0)),0))</f>
        <v/>
      </c>
      <c r="H1169" s="16"/>
      <c r="I1169" s="36" t="str">
        <f t="shared" si="1"/>
        <v/>
      </c>
      <c r="J1169" s="16"/>
      <c r="K1169" s="15"/>
      <c r="L1169" s="15"/>
      <c r="M1169" s="36" t="str">
        <f t="array" ref="M1169">IF($A1169="","",IF($L1169="Atendido",IFERROR($I1169*INDEX(Config!$B:$B,MATCH($C1169,Config!$A:$A,0)),0),0))</f>
        <v/>
      </c>
      <c r="N1169" s="36" t="str">
        <f t="shared" si="2"/>
        <v/>
      </c>
      <c r="O1169" s="36" t="str">
        <f t="shared" si="3"/>
        <v/>
      </c>
      <c r="P1169" s="15"/>
      <c r="Q1169" s="37" t="str">
        <f t="shared" si="4"/>
        <v/>
      </c>
      <c r="R1169" s="37" t="str">
        <f t="shared" si="5"/>
        <v/>
      </c>
      <c r="S1169" s="32" t="str">
        <f t="shared" si="6"/>
        <v/>
      </c>
      <c r="T1169" s="37" t="str">
        <f t="shared" si="7"/>
        <v/>
      </c>
      <c r="U1169" s="37" t="str">
        <f t="array" ref="U1169">IF($F1169="","",IFERROR(INDEX(Config!$F:$F,MATCH($F1169,Config!$D:$D,0)),0))</f>
        <v/>
      </c>
    </row>
    <row r="1170" ht="15.0" customHeight="1">
      <c r="A1170" s="34"/>
      <c r="B1170" s="35"/>
      <c r="C1170" s="15"/>
      <c r="D1170" s="15"/>
      <c r="E1170" s="15"/>
      <c r="F1170" s="15"/>
      <c r="G1170" s="36" t="str">
        <f t="array" ref="G1170">IF($F1170="","",IFERROR(INDEX(Config!$E:$E,MATCH($F1170,Config!$D:$D,0)),0))</f>
        <v/>
      </c>
      <c r="H1170" s="16"/>
      <c r="I1170" s="36" t="str">
        <f t="shared" si="1"/>
        <v/>
      </c>
      <c r="J1170" s="16"/>
      <c r="K1170" s="15"/>
      <c r="L1170" s="15"/>
      <c r="M1170" s="36" t="str">
        <f t="array" ref="M1170">IF($A1170="","",IF($L1170="Atendido",IFERROR($I1170*INDEX(Config!$B:$B,MATCH($C1170,Config!$A:$A,0)),0),0))</f>
        <v/>
      </c>
      <c r="N1170" s="36" t="str">
        <f t="shared" si="2"/>
        <v/>
      </c>
      <c r="O1170" s="36" t="str">
        <f t="shared" si="3"/>
        <v/>
      </c>
      <c r="P1170" s="15"/>
      <c r="Q1170" s="37" t="str">
        <f t="shared" si="4"/>
        <v/>
      </c>
      <c r="R1170" s="37" t="str">
        <f t="shared" si="5"/>
        <v/>
      </c>
      <c r="S1170" s="32" t="str">
        <f t="shared" si="6"/>
        <v/>
      </c>
      <c r="T1170" s="37" t="str">
        <f t="shared" si="7"/>
        <v/>
      </c>
      <c r="U1170" s="37" t="str">
        <f t="array" ref="U1170">IF($F1170="","",IFERROR(INDEX(Config!$F:$F,MATCH($F1170,Config!$D:$D,0)),0))</f>
        <v/>
      </c>
    </row>
    <row r="1171" ht="15.0" customHeight="1">
      <c r="A1171" s="34"/>
      <c r="B1171" s="35"/>
      <c r="C1171" s="15"/>
      <c r="D1171" s="15"/>
      <c r="E1171" s="15"/>
      <c r="F1171" s="15"/>
      <c r="G1171" s="36" t="str">
        <f t="array" ref="G1171">IF($F1171="","",IFERROR(INDEX(Config!$E:$E,MATCH($F1171,Config!$D:$D,0)),0))</f>
        <v/>
      </c>
      <c r="H1171" s="16"/>
      <c r="I1171" s="36" t="str">
        <f t="shared" si="1"/>
        <v/>
      </c>
      <c r="J1171" s="16"/>
      <c r="K1171" s="15"/>
      <c r="L1171" s="15"/>
      <c r="M1171" s="36" t="str">
        <f t="array" ref="M1171">IF($A1171="","",IF($L1171="Atendido",IFERROR($I1171*INDEX(Config!$B:$B,MATCH($C1171,Config!$A:$A,0)),0),0))</f>
        <v/>
      </c>
      <c r="N1171" s="36" t="str">
        <f t="shared" si="2"/>
        <v/>
      </c>
      <c r="O1171" s="36" t="str">
        <f t="shared" si="3"/>
        <v/>
      </c>
      <c r="P1171" s="15"/>
      <c r="Q1171" s="37" t="str">
        <f t="shared" si="4"/>
        <v/>
      </c>
      <c r="R1171" s="37" t="str">
        <f t="shared" si="5"/>
        <v/>
      </c>
      <c r="S1171" s="32" t="str">
        <f t="shared" si="6"/>
        <v/>
      </c>
      <c r="T1171" s="37" t="str">
        <f t="shared" si="7"/>
        <v/>
      </c>
      <c r="U1171" s="37" t="str">
        <f t="array" ref="U1171">IF($F1171="","",IFERROR(INDEX(Config!$F:$F,MATCH($F1171,Config!$D:$D,0)),0))</f>
        <v/>
      </c>
    </row>
    <row r="1172" ht="15.0" customHeight="1">
      <c r="A1172" s="34"/>
      <c r="B1172" s="35"/>
      <c r="C1172" s="15"/>
      <c r="D1172" s="15"/>
      <c r="E1172" s="15"/>
      <c r="F1172" s="15"/>
      <c r="G1172" s="36" t="str">
        <f t="array" ref="G1172">IF($F1172="","",IFERROR(INDEX(Config!$E:$E,MATCH($F1172,Config!$D:$D,0)),0))</f>
        <v/>
      </c>
      <c r="H1172" s="16"/>
      <c r="I1172" s="36" t="str">
        <f t="shared" si="1"/>
        <v/>
      </c>
      <c r="J1172" s="16"/>
      <c r="K1172" s="15"/>
      <c r="L1172" s="15"/>
      <c r="M1172" s="36" t="str">
        <f t="array" ref="M1172">IF($A1172="","",IF($L1172="Atendido",IFERROR($I1172*INDEX(Config!$B:$B,MATCH($C1172,Config!$A:$A,0)),0),0))</f>
        <v/>
      </c>
      <c r="N1172" s="36" t="str">
        <f t="shared" si="2"/>
        <v/>
      </c>
      <c r="O1172" s="36" t="str">
        <f t="shared" si="3"/>
        <v/>
      </c>
      <c r="P1172" s="15"/>
      <c r="Q1172" s="37" t="str">
        <f t="shared" si="4"/>
        <v/>
      </c>
      <c r="R1172" s="37" t="str">
        <f t="shared" si="5"/>
        <v/>
      </c>
      <c r="S1172" s="32" t="str">
        <f t="shared" si="6"/>
        <v/>
      </c>
      <c r="T1172" s="37" t="str">
        <f t="shared" si="7"/>
        <v/>
      </c>
      <c r="U1172" s="37" t="str">
        <f t="array" ref="U1172">IF($F1172="","",IFERROR(INDEX(Config!$F:$F,MATCH($F1172,Config!$D:$D,0)),0))</f>
        <v/>
      </c>
    </row>
    <row r="1173" ht="15.0" customHeight="1">
      <c r="A1173" s="34"/>
      <c r="B1173" s="35"/>
      <c r="C1173" s="15"/>
      <c r="D1173" s="15"/>
      <c r="E1173" s="15"/>
      <c r="F1173" s="15"/>
      <c r="G1173" s="36" t="str">
        <f t="array" ref="G1173">IF($F1173="","",IFERROR(INDEX(Config!$E:$E,MATCH($F1173,Config!$D:$D,0)),0))</f>
        <v/>
      </c>
      <c r="H1173" s="16"/>
      <c r="I1173" s="36" t="str">
        <f t="shared" si="1"/>
        <v/>
      </c>
      <c r="J1173" s="16"/>
      <c r="K1173" s="15"/>
      <c r="L1173" s="15"/>
      <c r="M1173" s="36" t="str">
        <f t="array" ref="M1173">IF($A1173="","",IF($L1173="Atendido",IFERROR($I1173*INDEX(Config!$B:$B,MATCH($C1173,Config!$A:$A,0)),0),0))</f>
        <v/>
      </c>
      <c r="N1173" s="36" t="str">
        <f t="shared" si="2"/>
        <v/>
      </c>
      <c r="O1173" s="36" t="str">
        <f t="shared" si="3"/>
        <v/>
      </c>
      <c r="P1173" s="15"/>
      <c r="Q1173" s="37" t="str">
        <f t="shared" si="4"/>
        <v/>
      </c>
      <c r="R1173" s="37" t="str">
        <f t="shared" si="5"/>
        <v/>
      </c>
      <c r="S1173" s="32" t="str">
        <f t="shared" si="6"/>
        <v/>
      </c>
      <c r="T1173" s="37" t="str">
        <f t="shared" si="7"/>
        <v/>
      </c>
      <c r="U1173" s="37" t="str">
        <f t="array" ref="U1173">IF($F1173="","",IFERROR(INDEX(Config!$F:$F,MATCH($F1173,Config!$D:$D,0)),0))</f>
        <v/>
      </c>
    </row>
    <row r="1174" ht="15.0" customHeight="1">
      <c r="A1174" s="34"/>
      <c r="B1174" s="35"/>
      <c r="C1174" s="15"/>
      <c r="D1174" s="15"/>
      <c r="E1174" s="15"/>
      <c r="F1174" s="15"/>
      <c r="G1174" s="36" t="str">
        <f t="array" ref="G1174">IF($F1174="","",IFERROR(INDEX(Config!$E:$E,MATCH($F1174,Config!$D:$D,0)),0))</f>
        <v/>
      </c>
      <c r="H1174" s="16"/>
      <c r="I1174" s="36" t="str">
        <f t="shared" si="1"/>
        <v/>
      </c>
      <c r="J1174" s="16"/>
      <c r="K1174" s="15"/>
      <c r="L1174" s="15"/>
      <c r="M1174" s="36" t="str">
        <f t="array" ref="M1174">IF($A1174="","",IF($L1174="Atendido",IFERROR($I1174*INDEX(Config!$B:$B,MATCH($C1174,Config!$A:$A,0)),0),0))</f>
        <v/>
      </c>
      <c r="N1174" s="36" t="str">
        <f t="shared" si="2"/>
        <v/>
      </c>
      <c r="O1174" s="36" t="str">
        <f t="shared" si="3"/>
        <v/>
      </c>
      <c r="P1174" s="15"/>
      <c r="Q1174" s="37" t="str">
        <f t="shared" si="4"/>
        <v/>
      </c>
      <c r="R1174" s="37" t="str">
        <f t="shared" si="5"/>
        <v/>
      </c>
      <c r="S1174" s="32" t="str">
        <f t="shared" si="6"/>
        <v/>
      </c>
      <c r="T1174" s="37" t="str">
        <f t="shared" si="7"/>
        <v/>
      </c>
      <c r="U1174" s="37" t="str">
        <f t="array" ref="U1174">IF($F1174="","",IFERROR(INDEX(Config!$F:$F,MATCH($F1174,Config!$D:$D,0)),0))</f>
        <v/>
      </c>
    </row>
    <row r="1175" ht="15.0" customHeight="1">
      <c r="A1175" s="34"/>
      <c r="B1175" s="35"/>
      <c r="C1175" s="15"/>
      <c r="D1175" s="15"/>
      <c r="E1175" s="15"/>
      <c r="F1175" s="15"/>
      <c r="G1175" s="36" t="str">
        <f t="array" ref="G1175">IF($F1175="","",IFERROR(INDEX(Config!$E:$E,MATCH($F1175,Config!$D:$D,0)),0))</f>
        <v/>
      </c>
      <c r="H1175" s="16"/>
      <c r="I1175" s="36" t="str">
        <f t="shared" si="1"/>
        <v/>
      </c>
      <c r="J1175" s="16"/>
      <c r="K1175" s="15"/>
      <c r="L1175" s="15"/>
      <c r="M1175" s="36" t="str">
        <f t="array" ref="M1175">IF($A1175="","",IF($L1175="Atendido",IFERROR($I1175*INDEX(Config!$B:$B,MATCH($C1175,Config!$A:$A,0)),0),0))</f>
        <v/>
      </c>
      <c r="N1175" s="36" t="str">
        <f t="shared" si="2"/>
        <v/>
      </c>
      <c r="O1175" s="36" t="str">
        <f t="shared" si="3"/>
        <v/>
      </c>
      <c r="P1175" s="15"/>
      <c r="Q1175" s="37" t="str">
        <f t="shared" si="4"/>
        <v/>
      </c>
      <c r="R1175" s="37" t="str">
        <f t="shared" si="5"/>
        <v/>
      </c>
      <c r="S1175" s="32" t="str">
        <f t="shared" si="6"/>
        <v/>
      </c>
      <c r="T1175" s="37" t="str">
        <f t="shared" si="7"/>
        <v/>
      </c>
      <c r="U1175" s="37" t="str">
        <f t="array" ref="U1175">IF($F1175="","",IFERROR(INDEX(Config!$F:$F,MATCH($F1175,Config!$D:$D,0)),0))</f>
        <v/>
      </c>
    </row>
    <row r="1176" ht="15.0" customHeight="1">
      <c r="A1176" s="34"/>
      <c r="B1176" s="35"/>
      <c r="C1176" s="15"/>
      <c r="D1176" s="15"/>
      <c r="E1176" s="15"/>
      <c r="F1176" s="15"/>
      <c r="G1176" s="36" t="str">
        <f t="array" ref="G1176">IF($F1176="","",IFERROR(INDEX(Config!$E:$E,MATCH($F1176,Config!$D:$D,0)),0))</f>
        <v/>
      </c>
      <c r="H1176" s="16"/>
      <c r="I1176" s="36" t="str">
        <f t="shared" si="1"/>
        <v/>
      </c>
      <c r="J1176" s="16"/>
      <c r="K1176" s="15"/>
      <c r="L1176" s="15"/>
      <c r="M1176" s="36" t="str">
        <f t="array" ref="M1176">IF($A1176="","",IF($L1176="Atendido",IFERROR($I1176*INDEX(Config!$B:$B,MATCH($C1176,Config!$A:$A,0)),0),0))</f>
        <v/>
      </c>
      <c r="N1176" s="36" t="str">
        <f t="shared" si="2"/>
        <v/>
      </c>
      <c r="O1176" s="36" t="str">
        <f t="shared" si="3"/>
        <v/>
      </c>
      <c r="P1176" s="15"/>
      <c r="Q1176" s="37" t="str">
        <f t="shared" si="4"/>
        <v/>
      </c>
      <c r="R1176" s="37" t="str">
        <f t="shared" si="5"/>
        <v/>
      </c>
      <c r="S1176" s="32" t="str">
        <f t="shared" si="6"/>
        <v/>
      </c>
      <c r="T1176" s="37" t="str">
        <f t="shared" si="7"/>
        <v/>
      </c>
      <c r="U1176" s="37" t="str">
        <f t="array" ref="U1176">IF($F1176="","",IFERROR(INDEX(Config!$F:$F,MATCH($F1176,Config!$D:$D,0)),0))</f>
        <v/>
      </c>
    </row>
    <row r="1177" ht="15.0" customHeight="1">
      <c r="A1177" s="34"/>
      <c r="B1177" s="35"/>
      <c r="C1177" s="15"/>
      <c r="D1177" s="15"/>
      <c r="E1177" s="15"/>
      <c r="F1177" s="15"/>
      <c r="G1177" s="36" t="str">
        <f t="array" ref="G1177">IF($F1177="","",IFERROR(INDEX(Config!$E:$E,MATCH($F1177,Config!$D:$D,0)),0))</f>
        <v/>
      </c>
      <c r="H1177" s="16"/>
      <c r="I1177" s="36" t="str">
        <f t="shared" si="1"/>
        <v/>
      </c>
      <c r="J1177" s="16"/>
      <c r="K1177" s="15"/>
      <c r="L1177" s="15"/>
      <c r="M1177" s="36" t="str">
        <f t="array" ref="M1177">IF($A1177="","",IF($L1177="Atendido",IFERROR($I1177*INDEX(Config!$B:$B,MATCH($C1177,Config!$A:$A,0)),0),0))</f>
        <v/>
      </c>
      <c r="N1177" s="36" t="str">
        <f t="shared" si="2"/>
        <v/>
      </c>
      <c r="O1177" s="36" t="str">
        <f t="shared" si="3"/>
        <v/>
      </c>
      <c r="P1177" s="15"/>
      <c r="Q1177" s="37" t="str">
        <f t="shared" si="4"/>
        <v/>
      </c>
      <c r="R1177" s="37" t="str">
        <f t="shared" si="5"/>
        <v/>
      </c>
      <c r="S1177" s="32" t="str">
        <f t="shared" si="6"/>
        <v/>
      </c>
      <c r="T1177" s="37" t="str">
        <f t="shared" si="7"/>
        <v/>
      </c>
      <c r="U1177" s="37" t="str">
        <f t="array" ref="U1177">IF($F1177="","",IFERROR(INDEX(Config!$F:$F,MATCH($F1177,Config!$D:$D,0)),0))</f>
        <v/>
      </c>
    </row>
    <row r="1178" ht="15.0" customHeight="1">
      <c r="A1178" s="34"/>
      <c r="B1178" s="35"/>
      <c r="C1178" s="15"/>
      <c r="D1178" s="15"/>
      <c r="E1178" s="15"/>
      <c r="F1178" s="15"/>
      <c r="G1178" s="36" t="str">
        <f t="array" ref="G1178">IF($F1178="","",IFERROR(INDEX(Config!$E:$E,MATCH($F1178,Config!$D:$D,0)),0))</f>
        <v/>
      </c>
      <c r="H1178" s="16"/>
      <c r="I1178" s="36" t="str">
        <f t="shared" si="1"/>
        <v/>
      </c>
      <c r="J1178" s="16"/>
      <c r="K1178" s="15"/>
      <c r="L1178" s="15"/>
      <c r="M1178" s="36" t="str">
        <f t="array" ref="M1178">IF($A1178="","",IF($L1178="Atendido",IFERROR($I1178*INDEX(Config!$B:$B,MATCH($C1178,Config!$A:$A,0)),0),0))</f>
        <v/>
      </c>
      <c r="N1178" s="36" t="str">
        <f t="shared" si="2"/>
        <v/>
      </c>
      <c r="O1178" s="36" t="str">
        <f t="shared" si="3"/>
        <v/>
      </c>
      <c r="P1178" s="15"/>
      <c r="Q1178" s="37" t="str">
        <f t="shared" si="4"/>
        <v/>
      </c>
      <c r="R1178" s="37" t="str">
        <f t="shared" si="5"/>
        <v/>
      </c>
      <c r="S1178" s="32" t="str">
        <f t="shared" si="6"/>
        <v/>
      </c>
      <c r="T1178" s="37" t="str">
        <f t="shared" si="7"/>
        <v/>
      </c>
      <c r="U1178" s="37" t="str">
        <f t="array" ref="U1178">IF($F1178="","",IFERROR(INDEX(Config!$F:$F,MATCH($F1178,Config!$D:$D,0)),0))</f>
        <v/>
      </c>
    </row>
    <row r="1179" ht="15.0" customHeight="1">
      <c r="A1179" s="34"/>
      <c r="B1179" s="35"/>
      <c r="C1179" s="15"/>
      <c r="D1179" s="15"/>
      <c r="E1179" s="15"/>
      <c r="F1179" s="15"/>
      <c r="G1179" s="36" t="str">
        <f t="array" ref="G1179">IF($F1179="","",IFERROR(INDEX(Config!$E:$E,MATCH($F1179,Config!$D:$D,0)),0))</f>
        <v/>
      </c>
      <c r="H1179" s="16"/>
      <c r="I1179" s="36" t="str">
        <f t="shared" si="1"/>
        <v/>
      </c>
      <c r="J1179" s="16"/>
      <c r="K1179" s="15"/>
      <c r="L1179" s="15"/>
      <c r="M1179" s="36" t="str">
        <f t="array" ref="M1179">IF($A1179="","",IF($L1179="Atendido",IFERROR($I1179*INDEX(Config!$B:$B,MATCH($C1179,Config!$A:$A,0)),0),0))</f>
        <v/>
      </c>
      <c r="N1179" s="36" t="str">
        <f t="shared" si="2"/>
        <v/>
      </c>
      <c r="O1179" s="36" t="str">
        <f t="shared" si="3"/>
        <v/>
      </c>
      <c r="P1179" s="15"/>
      <c r="Q1179" s="37" t="str">
        <f t="shared" si="4"/>
        <v/>
      </c>
      <c r="R1179" s="37" t="str">
        <f t="shared" si="5"/>
        <v/>
      </c>
      <c r="S1179" s="32" t="str">
        <f t="shared" si="6"/>
        <v/>
      </c>
      <c r="T1179" s="37" t="str">
        <f t="shared" si="7"/>
        <v/>
      </c>
      <c r="U1179" s="37" t="str">
        <f t="array" ref="U1179">IF($F1179="","",IFERROR(INDEX(Config!$F:$F,MATCH($F1179,Config!$D:$D,0)),0))</f>
        <v/>
      </c>
    </row>
    <row r="1180" ht="15.0" customHeight="1">
      <c r="A1180" s="34"/>
      <c r="B1180" s="35"/>
      <c r="C1180" s="15"/>
      <c r="D1180" s="15"/>
      <c r="E1180" s="15"/>
      <c r="F1180" s="15"/>
      <c r="G1180" s="36" t="str">
        <f t="array" ref="G1180">IF($F1180="","",IFERROR(INDEX(Config!$E:$E,MATCH($F1180,Config!$D:$D,0)),0))</f>
        <v/>
      </c>
      <c r="H1180" s="16"/>
      <c r="I1180" s="36" t="str">
        <f t="shared" si="1"/>
        <v/>
      </c>
      <c r="J1180" s="16"/>
      <c r="K1180" s="15"/>
      <c r="L1180" s="15"/>
      <c r="M1180" s="36" t="str">
        <f t="array" ref="M1180">IF($A1180="","",IF($L1180="Atendido",IFERROR($I1180*INDEX(Config!$B:$B,MATCH($C1180,Config!$A:$A,0)),0),0))</f>
        <v/>
      </c>
      <c r="N1180" s="36" t="str">
        <f t="shared" si="2"/>
        <v/>
      </c>
      <c r="O1180" s="36" t="str">
        <f t="shared" si="3"/>
        <v/>
      </c>
      <c r="P1180" s="15"/>
      <c r="Q1180" s="37" t="str">
        <f t="shared" si="4"/>
        <v/>
      </c>
      <c r="R1180" s="37" t="str">
        <f t="shared" si="5"/>
        <v/>
      </c>
      <c r="S1180" s="32" t="str">
        <f t="shared" si="6"/>
        <v/>
      </c>
      <c r="T1180" s="37" t="str">
        <f t="shared" si="7"/>
        <v/>
      </c>
      <c r="U1180" s="37" t="str">
        <f t="array" ref="U1180">IF($F1180="","",IFERROR(INDEX(Config!$F:$F,MATCH($F1180,Config!$D:$D,0)),0))</f>
        <v/>
      </c>
    </row>
    <row r="1181" ht="15.0" customHeight="1">
      <c r="A1181" s="34"/>
      <c r="B1181" s="35"/>
      <c r="C1181" s="15"/>
      <c r="D1181" s="15"/>
      <c r="E1181" s="15"/>
      <c r="F1181" s="15"/>
      <c r="G1181" s="36" t="str">
        <f t="array" ref="G1181">IF($F1181="","",IFERROR(INDEX(Config!$E:$E,MATCH($F1181,Config!$D:$D,0)),0))</f>
        <v/>
      </c>
      <c r="H1181" s="16"/>
      <c r="I1181" s="36" t="str">
        <f t="shared" si="1"/>
        <v/>
      </c>
      <c r="J1181" s="16"/>
      <c r="K1181" s="15"/>
      <c r="L1181" s="15"/>
      <c r="M1181" s="36" t="str">
        <f t="array" ref="M1181">IF($A1181="","",IF($L1181="Atendido",IFERROR($I1181*INDEX(Config!$B:$B,MATCH($C1181,Config!$A:$A,0)),0),0))</f>
        <v/>
      </c>
      <c r="N1181" s="36" t="str">
        <f t="shared" si="2"/>
        <v/>
      </c>
      <c r="O1181" s="36" t="str">
        <f t="shared" si="3"/>
        <v/>
      </c>
      <c r="P1181" s="15"/>
      <c r="Q1181" s="37" t="str">
        <f t="shared" si="4"/>
        <v/>
      </c>
      <c r="R1181" s="37" t="str">
        <f t="shared" si="5"/>
        <v/>
      </c>
      <c r="S1181" s="32" t="str">
        <f t="shared" si="6"/>
        <v/>
      </c>
      <c r="T1181" s="37" t="str">
        <f t="shared" si="7"/>
        <v/>
      </c>
      <c r="U1181" s="37" t="str">
        <f t="array" ref="U1181">IF($F1181="","",IFERROR(INDEX(Config!$F:$F,MATCH($F1181,Config!$D:$D,0)),0))</f>
        <v/>
      </c>
    </row>
    <row r="1182" ht="15.0" customHeight="1">
      <c r="A1182" s="34"/>
      <c r="B1182" s="35"/>
      <c r="C1182" s="15"/>
      <c r="D1182" s="15"/>
      <c r="E1182" s="15"/>
      <c r="F1182" s="15"/>
      <c r="G1182" s="36" t="str">
        <f t="array" ref="G1182">IF($F1182="","",IFERROR(INDEX(Config!$E:$E,MATCH($F1182,Config!$D:$D,0)),0))</f>
        <v/>
      </c>
      <c r="H1182" s="16"/>
      <c r="I1182" s="36" t="str">
        <f t="shared" si="1"/>
        <v/>
      </c>
      <c r="J1182" s="16"/>
      <c r="K1182" s="15"/>
      <c r="L1182" s="15"/>
      <c r="M1182" s="36" t="str">
        <f t="array" ref="M1182">IF($A1182="","",IF($L1182="Atendido",IFERROR($I1182*INDEX(Config!$B:$B,MATCH($C1182,Config!$A:$A,0)),0),0))</f>
        <v/>
      </c>
      <c r="N1182" s="36" t="str">
        <f t="shared" si="2"/>
        <v/>
      </c>
      <c r="O1182" s="36" t="str">
        <f t="shared" si="3"/>
        <v/>
      </c>
      <c r="P1182" s="15"/>
      <c r="Q1182" s="37" t="str">
        <f t="shared" si="4"/>
        <v/>
      </c>
      <c r="R1182" s="37" t="str">
        <f t="shared" si="5"/>
        <v/>
      </c>
      <c r="S1182" s="32" t="str">
        <f t="shared" si="6"/>
        <v/>
      </c>
      <c r="T1182" s="37" t="str">
        <f t="shared" si="7"/>
        <v/>
      </c>
      <c r="U1182" s="37" t="str">
        <f t="array" ref="U1182">IF($F1182="","",IFERROR(INDEX(Config!$F:$F,MATCH($F1182,Config!$D:$D,0)),0))</f>
        <v/>
      </c>
    </row>
    <row r="1183" ht="15.0" customHeight="1">
      <c r="A1183" s="34"/>
      <c r="B1183" s="35"/>
      <c r="C1183" s="15"/>
      <c r="D1183" s="15"/>
      <c r="E1183" s="15"/>
      <c r="F1183" s="15"/>
      <c r="G1183" s="36" t="str">
        <f t="array" ref="G1183">IF($F1183="","",IFERROR(INDEX(Config!$E:$E,MATCH($F1183,Config!$D:$D,0)),0))</f>
        <v/>
      </c>
      <c r="H1183" s="16"/>
      <c r="I1183" s="36" t="str">
        <f t="shared" si="1"/>
        <v/>
      </c>
      <c r="J1183" s="16"/>
      <c r="K1183" s="15"/>
      <c r="L1183" s="15"/>
      <c r="M1183" s="36" t="str">
        <f t="array" ref="M1183">IF($A1183="","",IF($L1183="Atendido",IFERROR($I1183*INDEX(Config!$B:$B,MATCH($C1183,Config!$A:$A,0)),0),0))</f>
        <v/>
      </c>
      <c r="N1183" s="36" t="str">
        <f t="shared" si="2"/>
        <v/>
      </c>
      <c r="O1183" s="36" t="str">
        <f t="shared" si="3"/>
        <v/>
      </c>
      <c r="P1183" s="15"/>
      <c r="Q1183" s="37" t="str">
        <f t="shared" si="4"/>
        <v/>
      </c>
      <c r="R1183" s="37" t="str">
        <f t="shared" si="5"/>
        <v/>
      </c>
      <c r="S1183" s="32" t="str">
        <f t="shared" si="6"/>
        <v/>
      </c>
      <c r="T1183" s="37" t="str">
        <f t="shared" si="7"/>
        <v/>
      </c>
      <c r="U1183" s="37" t="str">
        <f t="array" ref="U1183">IF($F1183="","",IFERROR(INDEX(Config!$F:$F,MATCH($F1183,Config!$D:$D,0)),0))</f>
        <v/>
      </c>
    </row>
    <row r="1184" ht="15.0" customHeight="1">
      <c r="A1184" s="34"/>
      <c r="B1184" s="35"/>
      <c r="C1184" s="15"/>
      <c r="D1184" s="15"/>
      <c r="E1184" s="15"/>
      <c r="F1184" s="15"/>
      <c r="G1184" s="36" t="str">
        <f t="array" ref="G1184">IF($F1184="","",IFERROR(INDEX(Config!$E:$E,MATCH($F1184,Config!$D:$D,0)),0))</f>
        <v/>
      </c>
      <c r="H1184" s="16"/>
      <c r="I1184" s="36" t="str">
        <f t="shared" si="1"/>
        <v/>
      </c>
      <c r="J1184" s="16"/>
      <c r="K1184" s="15"/>
      <c r="L1184" s="15"/>
      <c r="M1184" s="36" t="str">
        <f t="array" ref="M1184">IF($A1184="","",IF($L1184="Atendido",IFERROR($I1184*INDEX(Config!$B:$B,MATCH($C1184,Config!$A:$A,0)),0),0))</f>
        <v/>
      </c>
      <c r="N1184" s="36" t="str">
        <f t="shared" si="2"/>
        <v/>
      </c>
      <c r="O1184" s="36" t="str">
        <f t="shared" si="3"/>
        <v/>
      </c>
      <c r="P1184" s="15"/>
      <c r="Q1184" s="37" t="str">
        <f t="shared" si="4"/>
        <v/>
      </c>
      <c r="R1184" s="37" t="str">
        <f t="shared" si="5"/>
        <v/>
      </c>
      <c r="S1184" s="32" t="str">
        <f t="shared" si="6"/>
        <v/>
      </c>
      <c r="T1184" s="37" t="str">
        <f t="shared" si="7"/>
        <v/>
      </c>
      <c r="U1184" s="37" t="str">
        <f t="array" ref="U1184">IF($F1184="","",IFERROR(INDEX(Config!$F:$F,MATCH($F1184,Config!$D:$D,0)),0))</f>
        <v/>
      </c>
    </row>
    <row r="1185" ht="15.0" customHeight="1">
      <c r="A1185" s="34"/>
      <c r="B1185" s="35"/>
      <c r="C1185" s="15"/>
      <c r="D1185" s="15"/>
      <c r="E1185" s="15"/>
      <c r="F1185" s="15"/>
      <c r="G1185" s="36" t="str">
        <f t="array" ref="G1185">IF($F1185="","",IFERROR(INDEX(Config!$E:$E,MATCH($F1185,Config!$D:$D,0)),0))</f>
        <v/>
      </c>
      <c r="H1185" s="16"/>
      <c r="I1185" s="36" t="str">
        <f t="shared" si="1"/>
        <v/>
      </c>
      <c r="J1185" s="16"/>
      <c r="K1185" s="15"/>
      <c r="L1185" s="15"/>
      <c r="M1185" s="36" t="str">
        <f t="array" ref="M1185">IF($A1185="","",IF($L1185="Atendido",IFERROR($I1185*INDEX(Config!$B:$B,MATCH($C1185,Config!$A:$A,0)),0),0))</f>
        <v/>
      </c>
      <c r="N1185" s="36" t="str">
        <f t="shared" si="2"/>
        <v/>
      </c>
      <c r="O1185" s="36" t="str">
        <f t="shared" si="3"/>
        <v/>
      </c>
      <c r="P1185" s="15"/>
      <c r="Q1185" s="37" t="str">
        <f t="shared" si="4"/>
        <v/>
      </c>
      <c r="R1185" s="37" t="str">
        <f t="shared" si="5"/>
        <v/>
      </c>
      <c r="S1185" s="32" t="str">
        <f t="shared" si="6"/>
        <v/>
      </c>
      <c r="T1185" s="37" t="str">
        <f t="shared" si="7"/>
        <v/>
      </c>
      <c r="U1185" s="37" t="str">
        <f t="array" ref="U1185">IF($F1185="","",IFERROR(INDEX(Config!$F:$F,MATCH($F1185,Config!$D:$D,0)),0))</f>
        <v/>
      </c>
    </row>
    <row r="1186" ht="15.0" customHeight="1">
      <c r="A1186" s="34"/>
      <c r="B1186" s="35"/>
      <c r="C1186" s="15"/>
      <c r="D1186" s="15"/>
      <c r="E1186" s="15"/>
      <c r="F1186" s="15"/>
      <c r="G1186" s="36" t="str">
        <f t="array" ref="G1186">IF($F1186="","",IFERROR(INDEX(Config!$E:$E,MATCH($F1186,Config!$D:$D,0)),0))</f>
        <v/>
      </c>
      <c r="H1186" s="16"/>
      <c r="I1186" s="36" t="str">
        <f t="shared" si="1"/>
        <v/>
      </c>
      <c r="J1186" s="16"/>
      <c r="K1186" s="15"/>
      <c r="L1186" s="15"/>
      <c r="M1186" s="36" t="str">
        <f t="array" ref="M1186">IF($A1186="","",IF($L1186="Atendido",IFERROR($I1186*INDEX(Config!$B:$B,MATCH($C1186,Config!$A:$A,0)),0),0))</f>
        <v/>
      </c>
      <c r="N1186" s="36" t="str">
        <f t="shared" si="2"/>
        <v/>
      </c>
      <c r="O1186" s="36" t="str">
        <f t="shared" si="3"/>
        <v/>
      </c>
      <c r="P1186" s="15"/>
      <c r="Q1186" s="37" t="str">
        <f t="shared" si="4"/>
        <v/>
      </c>
      <c r="R1186" s="37" t="str">
        <f t="shared" si="5"/>
        <v/>
      </c>
      <c r="S1186" s="32" t="str">
        <f t="shared" si="6"/>
        <v/>
      </c>
      <c r="T1186" s="37" t="str">
        <f t="shared" si="7"/>
        <v/>
      </c>
      <c r="U1186" s="37" t="str">
        <f t="array" ref="U1186">IF($F1186="","",IFERROR(INDEX(Config!$F:$F,MATCH($F1186,Config!$D:$D,0)),0))</f>
        <v/>
      </c>
    </row>
    <row r="1187" ht="15.0" customHeight="1">
      <c r="A1187" s="34"/>
      <c r="B1187" s="35"/>
      <c r="C1187" s="15"/>
      <c r="D1187" s="15"/>
      <c r="E1187" s="15"/>
      <c r="F1187" s="15"/>
      <c r="G1187" s="36" t="str">
        <f t="array" ref="G1187">IF($F1187="","",IFERROR(INDEX(Config!$E:$E,MATCH($F1187,Config!$D:$D,0)),0))</f>
        <v/>
      </c>
      <c r="H1187" s="16"/>
      <c r="I1187" s="36" t="str">
        <f t="shared" si="1"/>
        <v/>
      </c>
      <c r="J1187" s="16"/>
      <c r="K1187" s="15"/>
      <c r="L1187" s="15"/>
      <c r="M1187" s="36" t="str">
        <f t="array" ref="M1187">IF($A1187="","",IF($L1187="Atendido",IFERROR($I1187*INDEX(Config!$B:$B,MATCH($C1187,Config!$A:$A,0)),0),0))</f>
        <v/>
      </c>
      <c r="N1187" s="36" t="str">
        <f t="shared" si="2"/>
        <v/>
      </c>
      <c r="O1187" s="36" t="str">
        <f t="shared" si="3"/>
        <v/>
      </c>
      <c r="P1187" s="15"/>
      <c r="Q1187" s="37" t="str">
        <f t="shared" si="4"/>
        <v/>
      </c>
      <c r="R1187" s="37" t="str">
        <f t="shared" si="5"/>
        <v/>
      </c>
      <c r="S1187" s="32" t="str">
        <f t="shared" si="6"/>
        <v/>
      </c>
      <c r="T1187" s="37" t="str">
        <f t="shared" si="7"/>
        <v/>
      </c>
      <c r="U1187" s="37" t="str">
        <f t="array" ref="U1187">IF($F1187="","",IFERROR(INDEX(Config!$F:$F,MATCH($F1187,Config!$D:$D,0)),0))</f>
        <v/>
      </c>
    </row>
    <row r="1188" ht="15.0" customHeight="1">
      <c r="A1188" s="34"/>
      <c r="B1188" s="35"/>
      <c r="C1188" s="15"/>
      <c r="D1188" s="15"/>
      <c r="E1188" s="15"/>
      <c r="F1188" s="15"/>
      <c r="G1188" s="36" t="str">
        <f t="array" ref="G1188">IF($F1188="","",IFERROR(INDEX(Config!$E:$E,MATCH($F1188,Config!$D:$D,0)),0))</f>
        <v/>
      </c>
      <c r="H1188" s="16"/>
      <c r="I1188" s="36" t="str">
        <f t="shared" si="1"/>
        <v/>
      </c>
      <c r="J1188" s="16"/>
      <c r="K1188" s="15"/>
      <c r="L1188" s="15"/>
      <c r="M1188" s="36" t="str">
        <f t="array" ref="M1188">IF($A1188="","",IF($L1188="Atendido",IFERROR($I1188*INDEX(Config!$B:$B,MATCH($C1188,Config!$A:$A,0)),0),0))</f>
        <v/>
      </c>
      <c r="N1188" s="36" t="str">
        <f t="shared" si="2"/>
        <v/>
      </c>
      <c r="O1188" s="36" t="str">
        <f t="shared" si="3"/>
        <v/>
      </c>
      <c r="P1188" s="15"/>
      <c r="Q1188" s="37" t="str">
        <f t="shared" si="4"/>
        <v/>
      </c>
      <c r="R1188" s="37" t="str">
        <f t="shared" si="5"/>
        <v/>
      </c>
      <c r="S1188" s="32" t="str">
        <f t="shared" si="6"/>
        <v/>
      </c>
      <c r="T1188" s="37" t="str">
        <f t="shared" si="7"/>
        <v/>
      </c>
      <c r="U1188" s="37" t="str">
        <f t="array" ref="U1188">IF($F1188="","",IFERROR(INDEX(Config!$F:$F,MATCH($F1188,Config!$D:$D,0)),0))</f>
        <v/>
      </c>
    </row>
    <row r="1189" ht="15.0" customHeight="1">
      <c r="A1189" s="34"/>
      <c r="B1189" s="35"/>
      <c r="C1189" s="15"/>
      <c r="D1189" s="15"/>
      <c r="E1189" s="15"/>
      <c r="F1189" s="15"/>
      <c r="G1189" s="36" t="str">
        <f t="array" ref="G1189">IF($F1189="","",IFERROR(INDEX(Config!$E:$E,MATCH($F1189,Config!$D:$D,0)),0))</f>
        <v/>
      </c>
      <c r="H1189" s="16"/>
      <c r="I1189" s="36" t="str">
        <f t="shared" si="1"/>
        <v/>
      </c>
      <c r="J1189" s="16"/>
      <c r="K1189" s="15"/>
      <c r="L1189" s="15"/>
      <c r="M1189" s="36" t="str">
        <f t="array" ref="M1189">IF($A1189="","",IF($L1189="Atendido",IFERROR($I1189*INDEX(Config!$B:$B,MATCH($C1189,Config!$A:$A,0)),0),0))</f>
        <v/>
      </c>
      <c r="N1189" s="36" t="str">
        <f t="shared" si="2"/>
        <v/>
      </c>
      <c r="O1189" s="36" t="str">
        <f t="shared" si="3"/>
        <v/>
      </c>
      <c r="P1189" s="15"/>
      <c r="Q1189" s="37" t="str">
        <f t="shared" si="4"/>
        <v/>
      </c>
      <c r="R1189" s="37" t="str">
        <f t="shared" si="5"/>
        <v/>
      </c>
      <c r="S1189" s="32" t="str">
        <f t="shared" si="6"/>
        <v/>
      </c>
      <c r="T1189" s="37" t="str">
        <f t="shared" si="7"/>
        <v/>
      </c>
      <c r="U1189" s="37" t="str">
        <f t="array" ref="U1189">IF($F1189="","",IFERROR(INDEX(Config!$F:$F,MATCH($F1189,Config!$D:$D,0)),0))</f>
        <v/>
      </c>
    </row>
    <row r="1190" ht="15.0" customHeight="1">
      <c r="A1190" s="34"/>
      <c r="B1190" s="35"/>
      <c r="C1190" s="15"/>
      <c r="D1190" s="15"/>
      <c r="E1190" s="15"/>
      <c r="F1190" s="15"/>
      <c r="G1190" s="36" t="str">
        <f t="array" ref="G1190">IF($F1190="","",IFERROR(INDEX(Config!$E:$E,MATCH($F1190,Config!$D:$D,0)),0))</f>
        <v/>
      </c>
      <c r="H1190" s="16"/>
      <c r="I1190" s="36" t="str">
        <f t="shared" si="1"/>
        <v/>
      </c>
      <c r="J1190" s="16"/>
      <c r="K1190" s="15"/>
      <c r="L1190" s="15"/>
      <c r="M1190" s="36" t="str">
        <f t="array" ref="M1190">IF($A1190="","",IF($L1190="Atendido",IFERROR($I1190*INDEX(Config!$B:$B,MATCH($C1190,Config!$A:$A,0)),0),0))</f>
        <v/>
      </c>
      <c r="N1190" s="36" t="str">
        <f t="shared" si="2"/>
        <v/>
      </c>
      <c r="O1190" s="36" t="str">
        <f t="shared" si="3"/>
        <v/>
      </c>
      <c r="P1190" s="15"/>
      <c r="Q1190" s="37" t="str">
        <f t="shared" si="4"/>
        <v/>
      </c>
      <c r="R1190" s="37" t="str">
        <f t="shared" si="5"/>
        <v/>
      </c>
      <c r="S1190" s="32" t="str">
        <f t="shared" si="6"/>
        <v/>
      </c>
      <c r="T1190" s="37" t="str">
        <f t="shared" si="7"/>
        <v/>
      </c>
      <c r="U1190" s="37" t="str">
        <f t="array" ref="U1190">IF($F1190="","",IFERROR(INDEX(Config!$F:$F,MATCH($F1190,Config!$D:$D,0)),0))</f>
        <v/>
      </c>
    </row>
    <row r="1191" ht="15.0" customHeight="1">
      <c r="A1191" s="34"/>
      <c r="B1191" s="35"/>
      <c r="C1191" s="15"/>
      <c r="D1191" s="15"/>
      <c r="E1191" s="15"/>
      <c r="F1191" s="15"/>
      <c r="G1191" s="36" t="str">
        <f t="array" ref="G1191">IF($F1191="","",IFERROR(INDEX(Config!$E:$E,MATCH($F1191,Config!$D:$D,0)),0))</f>
        <v/>
      </c>
      <c r="H1191" s="16"/>
      <c r="I1191" s="36" t="str">
        <f t="shared" si="1"/>
        <v/>
      </c>
      <c r="J1191" s="16"/>
      <c r="K1191" s="15"/>
      <c r="L1191" s="15"/>
      <c r="M1191" s="36" t="str">
        <f t="array" ref="M1191">IF($A1191="","",IF($L1191="Atendido",IFERROR($I1191*INDEX(Config!$B:$B,MATCH($C1191,Config!$A:$A,0)),0),0))</f>
        <v/>
      </c>
      <c r="N1191" s="36" t="str">
        <f t="shared" si="2"/>
        <v/>
      </c>
      <c r="O1191" s="36" t="str">
        <f t="shared" si="3"/>
        <v/>
      </c>
      <c r="P1191" s="15"/>
      <c r="Q1191" s="37" t="str">
        <f t="shared" si="4"/>
        <v/>
      </c>
      <c r="R1191" s="37" t="str">
        <f t="shared" si="5"/>
        <v/>
      </c>
      <c r="S1191" s="32" t="str">
        <f t="shared" si="6"/>
        <v/>
      </c>
      <c r="T1191" s="37" t="str">
        <f t="shared" si="7"/>
        <v/>
      </c>
      <c r="U1191" s="37" t="str">
        <f t="array" ref="U1191">IF($F1191="","",IFERROR(INDEX(Config!$F:$F,MATCH($F1191,Config!$D:$D,0)),0))</f>
        <v/>
      </c>
    </row>
    <row r="1192" ht="15.0" customHeight="1">
      <c r="A1192" s="34"/>
      <c r="B1192" s="35"/>
      <c r="C1192" s="15"/>
      <c r="D1192" s="15"/>
      <c r="E1192" s="15"/>
      <c r="F1192" s="15"/>
      <c r="G1192" s="36" t="str">
        <f t="array" ref="G1192">IF($F1192="","",IFERROR(INDEX(Config!$E:$E,MATCH($F1192,Config!$D:$D,0)),0))</f>
        <v/>
      </c>
      <c r="H1192" s="16"/>
      <c r="I1192" s="36" t="str">
        <f t="shared" si="1"/>
        <v/>
      </c>
      <c r="J1192" s="16"/>
      <c r="K1192" s="15"/>
      <c r="L1192" s="15"/>
      <c r="M1192" s="36" t="str">
        <f t="array" ref="M1192">IF($A1192="","",IF($L1192="Atendido",IFERROR($I1192*INDEX(Config!$B:$B,MATCH($C1192,Config!$A:$A,0)),0),0))</f>
        <v/>
      </c>
      <c r="N1192" s="36" t="str">
        <f t="shared" si="2"/>
        <v/>
      </c>
      <c r="O1192" s="36" t="str">
        <f t="shared" si="3"/>
        <v/>
      </c>
      <c r="P1192" s="15"/>
      <c r="Q1192" s="37" t="str">
        <f t="shared" si="4"/>
        <v/>
      </c>
      <c r="R1192" s="37" t="str">
        <f t="shared" si="5"/>
        <v/>
      </c>
      <c r="S1192" s="32" t="str">
        <f t="shared" si="6"/>
        <v/>
      </c>
      <c r="T1192" s="37" t="str">
        <f t="shared" si="7"/>
        <v/>
      </c>
      <c r="U1192" s="37" t="str">
        <f t="array" ref="U1192">IF($F1192="","",IFERROR(INDEX(Config!$F:$F,MATCH($F1192,Config!$D:$D,0)),0))</f>
        <v/>
      </c>
    </row>
    <row r="1193" ht="15.0" customHeight="1">
      <c r="A1193" s="34"/>
      <c r="B1193" s="35"/>
      <c r="C1193" s="15"/>
      <c r="D1193" s="15"/>
      <c r="E1193" s="15"/>
      <c r="F1193" s="15"/>
      <c r="G1193" s="36" t="str">
        <f t="array" ref="G1193">IF($F1193="","",IFERROR(INDEX(Config!$E:$E,MATCH($F1193,Config!$D:$D,0)),0))</f>
        <v/>
      </c>
      <c r="H1193" s="16"/>
      <c r="I1193" s="36" t="str">
        <f t="shared" si="1"/>
        <v/>
      </c>
      <c r="J1193" s="16"/>
      <c r="K1193" s="15"/>
      <c r="L1193" s="15"/>
      <c r="M1193" s="36" t="str">
        <f t="array" ref="M1193">IF($A1193="","",IF($L1193="Atendido",IFERROR($I1193*INDEX(Config!$B:$B,MATCH($C1193,Config!$A:$A,0)),0),0))</f>
        <v/>
      </c>
      <c r="N1193" s="36" t="str">
        <f t="shared" si="2"/>
        <v/>
      </c>
      <c r="O1193" s="36" t="str">
        <f t="shared" si="3"/>
        <v/>
      </c>
      <c r="P1193" s="15"/>
      <c r="Q1193" s="37" t="str">
        <f t="shared" si="4"/>
        <v/>
      </c>
      <c r="R1193" s="37" t="str">
        <f t="shared" si="5"/>
        <v/>
      </c>
      <c r="S1193" s="32" t="str">
        <f t="shared" si="6"/>
        <v/>
      </c>
      <c r="T1193" s="37" t="str">
        <f t="shared" si="7"/>
        <v/>
      </c>
      <c r="U1193" s="37" t="str">
        <f t="array" ref="U1193">IF($F1193="","",IFERROR(INDEX(Config!$F:$F,MATCH($F1193,Config!$D:$D,0)),0))</f>
        <v/>
      </c>
    </row>
    <row r="1194" ht="15.0" customHeight="1">
      <c r="A1194" s="34"/>
      <c r="B1194" s="35"/>
      <c r="C1194" s="15"/>
      <c r="D1194" s="15"/>
      <c r="E1194" s="15"/>
      <c r="F1194" s="15"/>
      <c r="G1194" s="36" t="str">
        <f t="array" ref="G1194">IF($F1194="","",IFERROR(INDEX(Config!$E:$E,MATCH($F1194,Config!$D:$D,0)),0))</f>
        <v/>
      </c>
      <c r="H1194" s="16"/>
      <c r="I1194" s="36" t="str">
        <f t="shared" si="1"/>
        <v/>
      </c>
      <c r="J1194" s="16"/>
      <c r="K1194" s="15"/>
      <c r="L1194" s="15"/>
      <c r="M1194" s="36" t="str">
        <f t="array" ref="M1194">IF($A1194="","",IF($L1194="Atendido",IFERROR($I1194*INDEX(Config!$B:$B,MATCH($C1194,Config!$A:$A,0)),0),0))</f>
        <v/>
      </c>
      <c r="N1194" s="36" t="str">
        <f t="shared" si="2"/>
        <v/>
      </c>
      <c r="O1194" s="36" t="str">
        <f t="shared" si="3"/>
        <v/>
      </c>
      <c r="P1194" s="15"/>
      <c r="Q1194" s="37" t="str">
        <f t="shared" si="4"/>
        <v/>
      </c>
      <c r="R1194" s="37" t="str">
        <f t="shared" si="5"/>
        <v/>
      </c>
      <c r="S1194" s="32" t="str">
        <f t="shared" si="6"/>
        <v/>
      </c>
      <c r="T1194" s="37" t="str">
        <f t="shared" si="7"/>
        <v/>
      </c>
      <c r="U1194" s="37" t="str">
        <f t="array" ref="U1194">IF($F1194="","",IFERROR(INDEX(Config!$F:$F,MATCH($F1194,Config!$D:$D,0)),0))</f>
        <v/>
      </c>
    </row>
    <row r="1195" ht="15.0" customHeight="1">
      <c r="A1195" s="34"/>
      <c r="B1195" s="35"/>
      <c r="C1195" s="15"/>
      <c r="D1195" s="15"/>
      <c r="E1195" s="15"/>
      <c r="F1195" s="15"/>
      <c r="G1195" s="36" t="str">
        <f t="array" ref="G1195">IF($F1195="","",IFERROR(INDEX(Config!$E:$E,MATCH($F1195,Config!$D:$D,0)),0))</f>
        <v/>
      </c>
      <c r="H1195" s="16"/>
      <c r="I1195" s="36" t="str">
        <f t="shared" si="1"/>
        <v/>
      </c>
      <c r="J1195" s="16"/>
      <c r="K1195" s="15"/>
      <c r="L1195" s="15"/>
      <c r="M1195" s="36" t="str">
        <f t="array" ref="M1195">IF($A1195="","",IF($L1195="Atendido",IFERROR($I1195*INDEX(Config!$B:$B,MATCH($C1195,Config!$A:$A,0)),0),0))</f>
        <v/>
      </c>
      <c r="N1195" s="36" t="str">
        <f t="shared" si="2"/>
        <v/>
      </c>
      <c r="O1195" s="36" t="str">
        <f t="shared" si="3"/>
        <v/>
      </c>
      <c r="P1195" s="15"/>
      <c r="Q1195" s="37" t="str">
        <f t="shared" si="4"/>
        <v/>
      </c>
      <c r="R1195" s="37" t="str">
        <f t="shared" si="5"/>
        <v/>
      </c>
      <c r="S1195" s="32" t="str">
        <f t="shared" si="6"/>
        <v/>
      </c>
      <c r="T1195" s="37" t="str">
        <f t="shared" si="7"/>
        <v/>
      </c>
      <c r="U1195" s="37" t="str">
        <f t="array" ref="U1195">IF($F1195="","",IFERROR(INDEX(Config!$F:$F,MATCH($F1195,Config!$D:$D,0)),0))</f>
        <v/>
      </c>
    </row>
    <row r="1196" ht="15.0" customHeight="1">
      <c r="A1196" s="34"/>
      <c r="B1196" s="35"/>
      <c r="C1196" s="15"/>
      <c r="D1196" s="15"/>
      <c r="E1196" s="15"/>
      <c r="F1196" s="15"/>
      <c r="G1196" s="36" t="str">
        <f t="array" ref="G1196">IF($F1196="","",IFERROR(INDEX(Config!$E:$E,MATCH($F1196,Config!$D:$D,0)),0))</f>
        <v/>
      </c>
      <c r="H1196" s="16"/>
      <c r="I1196" s="36" t="str">
        <f t="shared" si="1"/>
        <v/>
      </c>
      <c r="J1196" s="16"/>
      <c r="K1196" s="15"/>
      <c r="L1196" s="15"/>
      <c r="M1196" s="36" t="str">
        <f t="array" ref="M1196">IF($A1196="","",IF($L1196="Atendido",IFERROR($I1196*INDEX(Config!$B:$B,MATCH($C1196,Config!$A:$A,0)),0),0))</f>
        <v/>
      </c>
      <c r="N1196" s="36" t="str">
        <f t="shared" si="2"/>
        <v/>
      </c>
      <c r="O1196" s="36" t="str">
        <f t="shared" si="3"/>
        <v/>
      </c>
      <c r="P1196" s="15"/>
      <c r="Q1196" s="37" t="str">
        <f t="shared" si="4"/>
        <v/>
      </c>
      <c r="R1196" s="37" t="str">
        <f t="shared" si="5"/>
        <v/>
      </c>
      <c r="S1196" s="32" t="str">
        <f t="shared" si="6"/>
        <v/>
      </c>
      <c r="T1196" s="37" t="str">
        <f t="shared" si="7"/>
        <v/>
      </c>
      <c r="U1196" s="37" t="str">
        <f t="array" ref="U1196">IF($F1196="","",IFERROR(INDEX(Config!$F:$F,MATCH($F1196,Config!$D:$D,0)),0))</f>
        <v/>
      </c>
    </row>
    <row r="1197" ht="15.0" customHeight="1">
      <c r="A1197" s="34"/>
      <c r="B1197" s="35"/>
      <c r="C1197" s="15"/>
      <c r="D1197" s="15"/>
      <c r="E1197" s="15"/>
      <c r="F1197" s="15"/>
      <c r="G1197" s="36" t="str">
        <f t="array" ref="G1197">IF($F1197="","",IFERROR(INDEX(Config!$E:$E,MATCH($F1197,Config!$D:$D,0)),0))</f>
        <v/>
      </c>
      <c r="H1197" s="16"/>
      <c r="I1197" s="36" t="str">
        <f t="shared" si="1"/>
        <v/>
      </c>
      <c r="J1197" s="16"/>
      <c r="K1197" s="15"/>
      <c r="L1197" s="15"/>
      <c r="M1197" s="36" t="str">
        <f t="array" ref="M1197">IF($A1197="","",IF($L1197="Atendido",IFERROR($I1197*INDEX(Config!$B:$B,MATCH($C1197,Config!$A:$A,0)),0),0))</f>
        <v/>
      </c>
      <c r="N1197" s="36" t="str">
        <f t="shared" si="2"/>
        <v/>
      </c>
      <c r="O1197" s="36" t="str">
        <f t="shared" si="3"/>
        <v/>
      </c>
      <c r="P1197" s="15"/>
      <c r="Q1197" s="37" t="str">
        <f t="shared" si="4"/>
        <v/>
      </c>
      <c r="R1197" s="37" t="str">
        <f t="shared" si="5"/>
        <v/>
      </c>
      <c r="S1197" s="32" t="str">
        <f t="shared" si="6"/>
        <v/>
      </c>
      <c r="T1197" s="37" t="str">
        <f t="shared" si="7"/>
        <v/>
      </c>
      <c r="U1197" s="37" t="str">
        <f t="array" ref="U1197">IF($F1197="","",IFERROR(INDEX(Config!$F:$F,MATCH($F1197,Config!$D:$D,0)),0))</f>
        <v/>
      </c>
    </row>
    <row r="1198" ht="15.0" customHeight="1">
      <c r="A1198" s="34"/>
      <c r="B1198" s="35"/>
      <c r="C1198" s="15"/>
      <c r="D1198" s="15"/>
      <c r="E1198" s="15"/>
      <c r="F1198" s="15"/>
      <c r="G1198" s="36" t="str">
        <f t="array" ref="G1198">IF($F1198="","",IFERROR(INDEX(Config!$E:$E,MATCH($F1198,Config!$D:$D,0)),0))</f>
        <v/>
      </c>
      <c r="H1198" s="16"/>
      <c r="I1198" s="36" t="str">
        <f t="shared" si="1"/>
        <v/>
      </c>
      <c r="J1198" s="16"/>
      <c r="K1198" s="15"/>
      <c r="L1198" s="15"/>
      <c r="M1198" s="36" t="str">
        <f t="array" ref="M1198">IF($A1198="","",IF($L1198="Atendido",IFERROR($I1198*INDEX(Config!$B:$B,MATCH($C1198,Config!$A:$A,0)),0),0))</f>
        <v/>
      </c>
      <c r="N1198" s="36" t="str">
        <f t="shared" si="2"/>
        <v/>
      </c>
      <c r="O1198" s="36" t="str">
        <f t="shared" si="3"/>
        <v/>
      </c>
      <c r="P1198" s="15"/>
      <c r="Q1198" s="37" t="str">
        <f t="shared" si="4"/>
        <v/>
      </c>
      <c r="R1198" s="37" t="str">
        <f t="shared" si="5"/>
        <v/>
      </c>
      <c r="S1198" s="32" t="str">
        <f t="shared" si="6"/>
        <v/>
      </c>
      <c r="T1198" s="37" t="str">
        <f t="shared" si="7"/>
        <v/>
      </c>
      <c r="U1198" s="37" t="str">
        <f t="array" ref="U1198">IF($F1198="","",IFERROR(INDEX(Config!$F:$F,MATCH($F1198,Config!$D:$D,0)),0))</f>
        <v/>
      </c>
    </row>
    <row r="1199" ht="15.0" customHeight="1">
      <c r="A1199" s="34"/>
      <c r="B1199" s="35"/>
      <c r="C1199" s="15"/>
      <c r="D1199" s="15"/>
      <c r="E1199" s="15"/>
      <c r="F1199" s="15"/>
      <c r="G1199" s="36" t="str">
        <f t="array" ref="G1199">IF($F1199="","",IFERROR(INDEX(Config!$E:$E,MATCH($F1199,Config!$D:$D,0)),0))</f>
        <v/>
      </c>
      <c r="H1199" s="16"/>
      <c r="I1199" s="36" t="str">
        <f t="shared" si="1"/>
        <v/>
      </c>
      <c r="J1199" s="16"/>
      <c r="K1199" s="15"/>
      <c r="L1199" s="15"/>
      <c r="M1199" s="36" t="str">
        <f t="array" ref="M1199">IF($A1199="","",IF($L1199="Atendido",IFERROR($I1199*INDEX(Config!$B:$B,MATCH($C1199,Config!$A:$A,0)),0),0))</f>
        <v/>
      </c>
      <c r="N1199" s="36" t="str">
        <f t="shared" si="2"/>
        <v/>
      </c>
      <c r="O1199" s="36" t="str">
        <f t="shared" si="3"/>
        <v/>
      </c>
      <c r="P1199" s="15"/>
      <c r="Q1199" s="37" t="str">
        <f t="shared" si="4"/>
        <v/>
      </c>
      <c r="R1199" s="37" t="str">
        <f t="shared" si="5"/>
        <v/>
      </c>
      <c r="S1199" s="32" t="str">
        <f t="shared" si="6"/>
        <v/>
      </c>
      <c r="T1199" s="37" t="str">
        <f t="shared" si="7"/>
        <v/>
      </c>
      <c r="U1199" s="37" t="str">
        <f t="array" ref="U1199">IF($F1199="","",IFERROR(INDEX(Config!$F:$F,MATCH($F1199,Config!$D:$D,0)),0))</f>
        <v/>
      </c>
    </row>
    <row r="1200" ht="15.0" customHeight="1">
      <c r="A1200" s="34"/>
      <c r="B1200" s="35"/>
      <c r="C1200" s="15"/>
      <c r="D1200" s="15"/>
      <c r="E1200" s="15"/>
      <c r="F1200" s="15"/>
      <c r="G1200" s="36" t="str">
        <f t="array" ref="G1200">IF($F1200="","",IFERROR(INDEX(Config!$E:$E,MATCH($F1200,Config!$D:$D,0)),0))</f>
        <v/>
      </c>
      <c r="H1200" s="16"/>
      <c r="I1200" s="36" t="str">
        <f t="shared" si="1"/>
        <v/>
      </c>
      <c r="J1200" s="16"/>
      <c r="K1200" s="15"/>
      <c r="L1200" s="15"/>
      <c r="M1200" s="36" t="str">
        <f t="array" ref="M1200">IF($A1200="","",IF($L1200="Atendido",IFERROR($I1200*INDEX(Config!$B:$B,MATCH($C1200,Config!$A:$A,0)),0),0))</f>
        <v/>
      </c>
      <c r="N1200" s="36" t="str">
        <f t="shared" si="2"/>
        <v/>
      </c>
      <c r="O1200" s="36" t="str">
        <f t="shared" si="3"/>
        <v/>
      </c>
      <c r="P1200" s="15"/>
      <c r="Q1200" s="37" t="str">
        <f t="shared" si="4"/>
        <v/>
      </c>
      <c r="R1200" s="37" t="str">
        <f t="shared" si="5"/>
        <v/>
      </c>
      <c r="S1200" s="32" t="str">
        <f t="shared" si="6"/>
        <v/>
      </c>
      <c r="T1200" s="37" t="str">
        <f t="shared" si="7"/>
        <v/>
      </c>
      <c r="U1200" s="37" t="str">
        <f t="array" ref="U1200">IF($F1200="","",IFERROR(INDEX(Config!$F:$F,MATCH($F1200,Config!$D:$D,0)),0))</f>
        <v/>
      </c>
    </row>
    <row r="1201" ht="15.0" customHeight="1">
      <c r="A1201" s="34"/>
      <c r="B1201" s="35"/>
      <c r="C1201" s="15"/>
      <c r="D1201" s="15"/>
      <c r="E1201" s="15"/>
      <c r="F1201" s="15"/>
      <c r="G1201" s="36" t="str">
        <f t="array" ref="G1201">IF($F1201="","",IFERROR(INDEX(Config!$E:$E,MATCH($F1201,Config!$D:$D,0)),0))</f>
        <v/>
      </c>
      <c r="H1201" s="16"/>
      <c r="I1201" s="36" t="str">
        <f t="shared" si="1"/>
        <v/>
      </c>
      <c r="J1201" s="16"/>
      <c r="K1201" s="15"/>
      <c r="L1201" s="15"/>
      <c r="M1201" s="36" t="str">
        <f t="array" ref="M1201">IF($A1201="","",IF($L1201="Atendido",IFERROR($I1201*INDEX(Config!$B:$B,MATCH($C1201,Config!$A:$A,0)),0),0))</f>
        <v/>
      </c>
      <c r="N1201" s="36" t="str">
        <f t="shared" si="2"/>
        <v/>
      </c>
      <c r="O1201" s="36" t="str">
        <f t="shared" si="3"/>
        <v/>
      </c>
      <c r="P1201" s="15"/>
      <c r="Q1201" s="37" t="str">
        <f t="shared" si="4"/>
        <v/>
      </c>
      <c r="R1201" s="37" t="str">
        <f t="shared" si="5"/>
        <v/>
      </c>
      <c r="S1201" s="32" t="str">
        <f t="shared" si="6"/>
        <v/>
      </c>
      <c r="T1201" s="37" t="str">
        <f t="shared" si="7"/>
        <v/>
      </c>
      <c r="U1201" s="37" t="str">
        <f t="array" ref="U1201">IF($F1201="","",IFERROR(INDEX(Config!$F:$F,MATCH($F1201,Config!$D:$D,0)),0))</f>
        <v/>
      </c>
    </row>
    <row r="1202" ht="15.0" customHeight="1">
      <c r="A1202" s="34"/>
      <c r="B1202" s="35"/>
      <c r="C1202" s="15"/>
      <c r="D1202" s="15"/>
      <c r="E1202" s="15"/>
      <c r="F1202" s="15"/>
      <c r="G1202" s="36" t="str">
        <f t="array" ref="G1202">IF($F1202="","",IFERROR(INDEX(Config!$E:$E,MATCH($F1202,Config!$D:$D,0)),0))</f>
        <v/>
      </c>
      <c r="H1202" s="16"/>
      <c r="I1202" s="36" t="str">
        <f t="shared" si="1"/>
        <v/>
      </c>
      <c r="J1202" s="16"/>
      <c r="K1202" s="15"/>
      <c r="L1202" s="15"/>
      <c r="M1202" s="36" t="str">
        <f t="array" ref="M1202">IF($A1202="","",IF($L1202="Atendido",IFERROR($I1202*INDEX(Config!$B:$B,MATCH($C1202,Config!$A:$A,0)),0),0))</f>
        <v/>
      </c>
      <c r="N1202" s="36" t="str">
        <f t="shared" si="2"/>
        <v/>
      </c>
      <c r="O1202" s="36" t="str">
        <f t="shared" si="3"/>
        <v/>
      </c>
      <c r="P1202" s="15"/>
      <c r="Q1202" s="37" t="str">
        <f t="shared" si="4"/>
        <v/>
      </c>
      <c r="R1202" s="37" t="str">
        <f t="shared" si="5"/>
        <v/>
      </c>
      <c r="S1202" s="32" t="str">
        <f t="shared" si="6"/>
        <v/>
      </c>
      <c r="T1202" s="37" t="str">
        <f t="shared" si="7"/>
        <v/>
      </c>
      <c r="U1202" s="37" t="str">
        <f t="array" ref="U1202">IF($F1202="","",IFERROR(INDEX(Config!$F:$F,MATCH($F1202,Config!$D:$D,0)),0))</f>
        <v/>
      </c>
    </row>
    <row r="1203" ht="15.0" customHeight="1">
      <c r="A1203" s="34"/>
      <c r="B1203" s="35"/>
      <c r="C1203" s="15"/>
      <c r="D1203" s="15"/>
      <c r="E1203" s="15"/>
      <c r="F1203" s="15"/>
      <c r="G1203" s="36" t="str">
        <f t="array" ref="G1203">IF($F1203="","",IFERROR(INDEX(Config!$E:$E,MATCH($F1203,Config!$D:$D,0)),0))</f>
        <v/>
      </c>
      <c r="H1203" s="16"/>
      <c r="I1203" s="36" t="str">
        <f t="shared" si="1"/>
        <v/>
      </c>
      <c r="J1203" s="16"/>
      <c r="K1203" s="15"/>
      <c r="L1203" s="15"/>
      <c r="M1203" s="36" t="str">
        <f t="array" ref="M1203">IF($A1203="","",IF($L1203="Atendido",IFERROR($I1203*INDEX(Config!$B:$B,MATCH($C1203,Config!$A:$A,0)),0),0))</f>
        <v/>
      </c>
      <c r="N1203" s="36" t="str">
        <f t="shared" si="2"/>
        <v/>
      </c>
      <c r="O1203" s="36" t="str">
        <f t="shared" si="3"/>
        <v/>
      </c>
      <c r="P1203" s="15"/>
      <c r="Q1203" s="37" t="str">
        <f t="shared" si="4"/>
        <v/>
      </c>
      <c r="R1203" s="37" t="str">
        <f t="shared" si="5"/>
        <v/>
      </c>
      <c r="S1203" s="32" t="str">
        <f t="shared" si="6"/>
        <v/>
      </c>
      <c r="T1203" s="37" t="str">
        <f t="shared" si="7"/>
        <v/>
      </c>
      <c r="U1203" s="37" t="str">
        <f t="array" ref="U1203">IF($F1203="","",IFERROR(INDEX(Config!$F:$F,MATCH($F1203,Config!$D:$D,0)),0))</f>
        <v/>
      </c>
    </row>
    <row r="1204" ht="15.0" customHeight="1">
      <c r="A1204" s="34"/>
      <c r="B1204" s="35"/>
      <c r="C1204" s="15"/>
      <c r="D1204" s="15"/>
      <c r="E1204" s="15"/>
      <c r="F1204" s="15"/>
      <c r="G1204" s="36" t="str">
        <f t="array" ref="G1204">IF($F1204="","",IFERROR(INDEX(Config!$E:$E,MATCH($F1204,Config!$D:$D,0)),0))</f>
        <v/>
      </c>
      <c r="H1204" s="16"/>
      <c r="I1204" s="36" t="str">
        <f t="shared" si="1"/>
        <v/>
      </c>
      <c r="J1204" s="16"/>
      <c r="K1204" s="15"/>
      <c r="L1204" s="15"/>
      <c r="M1204" s="36" t="str">
        <f t="array" ref="M1204">IF($A1204="","",IF($L1204="Atendido",IFERROR($I1204*INDEX(Config!$B:$B,MATCH($C1204,Config!$A:$A,0)),0),0))</f>
        <v/>
      </c>
      <c r="N1204" s="36" t="str">
        <f t="shared" si="2"/>
        <v/>
      </c>
      <c r="O1204" s="36" t="str">
        <f t="shared" si="3"/>
        <v/>
      </c>
      <c r="P1204" s="15"/>
      <c r="Q1204" s="37" t="str">
        <f t="shared" si="4"/>
        <v/>
      </c>
      <c r="R1204" s="37" t="str">
        <f t="shared" si="5"/>
        <v/>
      </c>
      <c r="S1204" s="32" t="str">
        <f t="shared" si="6"/>
        <v/>
      </c>
      <c r="T1204" s="37" t="str">
        <f t="shared" si="7"/>
        <v/>
      </c>
      <c r="U1204" s="37" t="str">
        <f t="array" ref="U1204">IF($F1204="","",IFERROR(INDEX(Config!$F:$F,MATCH($F1204,Config!$D:$D,0)),0))</f>
        <v/>
      </c>
    </row>
    <row r="1205" ht="15.0" customHeight="1">
      <c r="A1205" s="34"/>
      <c r="B1205" s="35"/>
      <c r="C1205" s="15"/>
      <c r="D1205" s="15"/>
      <c r="E1205" s="15"/>
      <c r="F1205" s="15"/>
      <c r="G1205" s="36" t="str">
        <f t="array" ref="G1205">IF($F1205="","",IFERROR(INDEX(Config!$E:$E,MATCH($F1205,Config!$D:$D,0)),0))</f>
        <v/>
      </c>
      <c r="H1205" s="16"/>
      <c r="I1205" s="36" t="str">
        <f t="shared" si="1"/>
        <v/>
      </c>
      <c r="J1205" s="16"/>
      <c r="K1205" s="15"/>
      <c r="L1205" s="15"/>
      <c r="M1205" s="36" t="str">
        <f t="array" ref="M1205">IF($A1205="","",IF($L1205="Atendido",IFERROR($I1205*INDEX(Config!$B:$B,MATCH($C1205,Config!$A:$A,0)),0),0))</f>
        <v/>
      </c>
      <c r="N1205" s="36" t="str">
        <f t="shared" si="2"/>
        <v/>
      </c>
      <c r="O1205" s="36" t="str">
        <f t="shared" si="3"/>
        <v/>
      </c>
      <c r="P1205" s="15"/>
      <c r="Q1205" s="37" t="str">
        <f t="shared" si="4"/>
        <v/>
      </c>
      <c r="R1205" s="37" t="str">
        <f t="shared" si="5"/>
        <v/>
      </c>
      <c r="S1205" s="32" t="str">
        <f t="shared" si="6"/>
        <v/>
      </c>
      <c r="T1205" s="37" t="str">
        <f t="shared" si="7"/>
        <v/>
      </c>
      <c r="U1205" s="37" t="str">
        <f t="array" ref="U1205">IF($F1205="","",IFERROR(INDEX(Config!$F:$F,MATCH($F1205,Config!$D:$D,0)),0))</f>
        <v/>
      </c>
    </row>
    <row r="1206" ht="15.0" customHeight="1">
      <c r="A1206" s="34"/>
      <c r="B1206" s="35"/>
      <c r="C1206" s="15"/>
      <c r="D1206" s="15"/>
      <c r="E1206" s="15"/>
      <c r="F1206" s="15"/>
      <c r="G1206" s="36" t="str">
        <f t="array" ref="G1206">IF($F1206="","",IFERROR(INDEX(Config!$E:$E,MATCH($F1206,Config!$D:$D,0)),0))</f>
        <v/>
      </c>
      <c r="H1206" s="16"/>
      <c r="I1206" s="36" t="str">
        <f t="shared" si="1"/>
        <v/>
      </c>
      <c r="J1206" s="16"/>
      <c r="K1206" s="15"/>
      <c r="L1206" s="15"/>
      <c r="M1206" s="36" t="str">
        <f t="array" ref="M1206">IF($A1206="","",IF($L1206="Atendido",IFERROR($I1206*INDEX(Config!$B:$B,MATCH($C1206,Config!$A:$A,0)),0),0))</f>
        <v/>
      </c>
      <c r="N1206" s="36" t="str">
        <f t="shared" si="2"/>
        <v/>
      </c>
      <c r="O1206" s="36" t="str">
        <f t="shared" si="3"/>
        <v/>
      </c>
      <c r="P1206" s="15"/>
      <c r="Q1206" s="37" t="str">
        <f t="shared" si="4"/>
        <v/>
      </c>
      <c r="R1206" s="37" t="str">
        <f t="shared" si="5"/>
        <v/>
      </c>
      <c r="S1206" s="32" t="str">
        <f t="shared" si="6"/>
        <v/>
      </c>
      <c r="T1206" s="37" t="str">
        <f t="shared" si="7"/>
        <v/>
      </c>
      <c r="U1206" s="37" t="str">
        <f t="array" ref="U1206">IF($F1206="","",IFERROR(INDEX(Config!$F:$F,MATCH($F1206,Config!$D:$D,0)),0))</f>
        <v/>
      </c>
    </row>
    <row r="1207" ht="15.0" customHeight="1">
      <c r="A1207" s="34"/>
      <c r="B1207" s="35"/>
      <c r="C1207" s="15"/>
      <c r="D1207" s="15"/>
      <c r="E1207" s="15"/>
      <c r="F1207" s="15"/>
      <c r="G1207" s="36" t="str">
        <f t="array" ref="G1207">IF($F1207="","",IFERROR(INDEX(Config!$E:$E,MATCH($F1207,Config!$D:$D,0)),0))</f>
        <v/>
      </c>
      <c r="H1207" s="16"/>
      <c r="I1207" s="36" t="str">
        <f t="shared" si="1"/>
        <v/>
      </c>
      <c r="J1207" s="16"/>
      <c r="K1207" s="15"/>
      <c r="L1207" s="15"/>
      <c r="M1207" s="36" t="str">
        <f t="array" ref="M1207">IF($A1207="","",IF($L1207="Atendido",IFERROR($I1207*INDEX(Config!$B:$B,MATCH($C1207,Config!$A:$A,0)),0),0))</f>
        <v/>
      </c>
      <c r="N1207" s="36" t="str">
        <f t="shared" si="2"/>
        <v/>
      </c>
      <c r="O1207" s="36" t="str">
        <f t="shared" si="3"/>
        <v/>
      </c>
      <c r="P1207" s="15"/>
      <c r="Q1207" s="37" t="str">
        <f t="shared" si="4"/>
        <v/>
      </c>
      <c r="R1207" s="37" t="str">
        <f t="shared" si="5"/>
        <v/>
      </c>
      <c r="S1207" s="32" t="str">
        <f t="shared" si="6"/>
        <v/>
      </c>
      <c r="T1207" s="37" t="str">
        <f t="shared" si="7"/>
        <v/>
      </c>
      <c r="U1207" s="37" t="str">
        <f t="array" ref="U1207">IF($F1207="","",IFERROR(INDEX(Config!$F:$F,MATCH($F1207,Config!$D:$D,0)),0))</f>
        <v/>
      </c>
    </row>
    <row r="1208" ht="15.0" customHeight="1">
      <c r="A1208" s="34"/>
      <c r="B1208" s="35"/>
      <c r="C1208" s="15"/>
      <c r="D1208" s="15"/>
      <c r="E1208" s="15"/>
      <c r="F1208" s="15"/>
      <c r="G1208" s="36" t="str">
        <f t="array" ref="G1208">IF($F1208="","",IFERROR(INDEX(Config!$E:$E,MATCH($F1208,Config!$D:$D,0)),0))</f>
        <v/>
      </c>
      <c r="H1208" s="16"/>
      <c r="I1208" s="36" t="str">
        <f t="shared" si="1"/>
        <v/>
      </c>
      <c r="J1208" s="16"/>
      <c r="K1208" s="15"/>
      <c r="L1208" s="15"/>
      <c r="M1208" s="36" t="str">
        <f t="array" ref="M1208">IF($A1208="","",IF($L1208="Atendido",IFERROR($I1208*INDEX(Config!$B:$B,MATCH($C1208,Config!$A:$A,0)),0),0))</f>
        <v/>
      </c>
      <c r="N1208" s="36" t="str">
        <f t="shared" si="2"/>
        <v/>
      </c>
      <c r="O1208" s="36" t="str">
        <f t="shared" si="3"/>
        <v/>
      </c>
      <c r="P1208" s="15"/>
      <c r="Q1208" s="37" t="str">
        <f t="shared" si="4"/>
        <v/>
      </c>
      <c r="R1208" s="37" t="str">
        <f t="shared" si="5"/>
        <v/>
      </c>
      <c r="S1208" s="32" t="str">
        <f t="shared" si="6"/>
        <v/>
      </c>
      <c r="T1208" s="37" t="str">
        <f t="shared" si="7"/>
        <v/>
      </c>
      <c r="U1208" s="37" t="str">
        <f t="array" ref="U1208">IF($F1208="","",IFERROR(INDEX(Config!$F:$F,MATCH($F1208,Config!$D:$D,0)),0))</f>
        <v/>
      </c>
    </row>
    <row r="1209" ht="15.0" customHeight="1">
      <c r="A1209" s="34"/>
      <c r="B1209" s="35"/>
      <c r="C1209" s="15"/>
      <c r="D1209" s="15"/>
      <c r="E1209" s="15"/>
      <c r="F1209" s="15"/>
      <c r="G1209" s="36" t="str">
        <f t="array" ref="G1209">IF($F1209="","",IFERROR(INDEX(Config!$E:$E,MATCH($F1209,Config!$D:$D,0)),0))</f>
        <v/>
      </c>
      <c r="H1209" s="16"/>
      <c r="I1209" s="36" t="str">
        <f t="shared" si="1"/>
        <v/>
      </c>
      <c r="J1209" s="16"/>
      <c r="K1209" s="15"/>
      <c r="L1209" s="15"/>
      <c r="M1209" s="36" t="str">
        <f t="array" ref="M1209">IF($A1209="","",IF($L1209="Atendido",IFERROR($I1209*INDEX(Config!$B:$B,MATCH($C1209,Config!$A:$A,0)),0),0))</f>
        <v/>
      </c>
      <c r="N1209" s="36" t="str">
        <f t="shared" si="2"/>
        <v/>
      </c>
      <c r="O1209" s="36" t="str">
        <f t="shared" si="3"/>
        <v/>
      </c>
      <c r="P1209" s="15"/>
      <c r="Q1209" s="37" t="str">
        <f t="shared" si="4"/>
        <v/>
      </c>
      <c r="R1209" s="37" t="str">
        <f t="shared" si="5"/>
        <v/>
      </c>
      <c r="S1209" s="32" t="str">
        <f t="shared" si="6"/>
        <v/>
      </c>
      <c r="T1209" s="37" t="str">
        <f t="shared" si="7"/>
        <v/>
      </c>
      <c r="U1209" s="37" t="str">
        <f t="array" ref="U1209">IF($F1209="","",IFERROR(INDEX(Config!$F:$F,MATCH($F1209,Config!$D:$D,0)),0))</f>
        <v/>
      </c>
    </row>
    <row r="1210" ht="15.0" customHeight="1">
      <c r="A1210" s="34"/>
      <c r="B1210" s="35"/>
      <c r="C1210" s="15"/>
      <c r="D1210" s="15"/>
      <c r="E1210" s="15"/>
      <c r="F1210" s="15"/>
      <c r="G1210" s="36" t="str">
        <f t="array" ref="G1210">IF($F1210="","",IFERROR(INDEX(Config!$E:$E,MATCH($F1210,Config!$D:$D,0)),0))</f>
        <v/>
      </c>
      <c r="H1210" s="16"/>
      <c r="I1210" s="36" t="str">
        <f t="shared" si="1"/>
        <v/>
      </c>
      <c r="J1210" s="16"/>
      <c r="K1210" s="15"/>
      <c r="L1210" s="15"/>
      <c r="M1210" s="36" t="str">
        <f t="array" ref="M1210">IF($A1210="","",IF($L1210="Atendido",IFERROR($I1210*INDEX(Config!$B:$B,MATCH($C1210,Config!$A:$A,0)),0),0))</f>
        <v/>
      </c>
      <c r="N1210" s="36" t="str">
        <f t="shared" si="2"/>
        <v/>
      </c>
      <c r="O1210" s="36" t="str">
        <f t="shared" si="3"/>
        <v/>
      </c>
      <c r="P1210" s="15"/>
      <c r="Q1210" s="37" t="str">
        <f t="shared" si="4"/>
        <v/>
      </c>
      <c r="R1210" s="37" t="str">
        <f t="shared" si="5"/>
        <v/>
      </c>
      <c r="S1210" s="32" t="str">
        <f t="shared" si="6"/>
        <v/>
      </c>
      <c r="T1210" s="37" t="str">
        <f t="shared" si="7"/>
        <v/>
      </c>
      <c r="U1210" s="37" t="str">
        <f t="array" ref="U1210">IF($F1210="","",IFERROR(INDEX(Config!$F:$F,MATCH($F1210,Config!$D:$D,0)),0))</f>
        <v/>
      </c>
    </row>
    <row r="1211" ht="15.0" customHeight="1">
      <c r="A1211" s="34"/>
      <c r="B1211" s="35"/>
      <c r="C1211" s="15"/>
      <c r="D1211" s="15"/>
      <c r="E1211" s="15"/>
      <c r="F1211" s="15"/>
      <c r="G1211" s="36" t="str">
        <f t="array" ref="G1211">IF($F1211="","",IFERROR(INDEX(Config!$E:$E,MATCH($F1211,Config!$D:$D,0)),0))</f>
        <v/>
      </c>
      <c r="H1211" s="16"/>
      <c r="I1211" s="36" t="str">
        <f t="shared" si="1"/>
        <v/>
      </c>
      <c r="J1211" s="16"/>
      <c r="K1211" s="15"/>
      <c r="L1211" s="15"/>
      <c r="M1211" s="36" t="str">
        <f t="array" ref="M1211">IF($A1211="","",IF($L1211="Atendido",IFERROR($I1211*INDEX(Config!$B:$B,MATCH($C1211,Config!$A:$A,0)),0),0))</f>
        <v/>
      </c>
      <c r="N1211" s="36" t="str">
        <f t="shared" si="2"/>
        <v/>
      </c>
      <c r="O1211" s="36" t="str">
        <f t="shared" si="3"/>
        <v/>
      </c>
      <c r="P1211" s="15"/>
      <c r="Q1211" s="37" t="str">
        <f t="shared" si="4"/>
        <v/>
      </c>
      <c r="R1211" s="37" t="str">
        <f t="shared" si="5"/>
        <v/>
      </c>
      <c r="S1211" s="32" t="str">
        <f t="shared" si="6"/>
        <v/>
      </c>
      <c r="T1211" s="37" t="str">
        <f t="shared" si="7"/>
        <v/>
      </c>
      <c r="U1211" s="37" t="str">
        <f t="array" ref="U1211">IF($F1211="","",IFERROR(INDEX(Config!$F:$F,MATCH($F1211,Config!$D:$D,0)),0))</f>
        <v/>
      </c>
    </row>
    <row r="1212" ht="15.0" customHeight="1">
      <c r="A1212" s="34"/>
      <c r="B1212" s="35"/>
      <c r="C1212" s="15"/>
      <c r="D1212" s="15"/>
      <c r="E1212" s="15"/>
      <c r="F1212" s="15"/>
      <c r="G1212" s="36" t="str">
        <f t="array" ref="G1212">IF($F1212="","",IFERROR(INDEX(Config!$E:$E,MATCH($F1212,Config!$D:$D,0)),0))</f>
        <v/>
      </c>
      <c r="H1212" s="16"/>
      <c r="I1212" s="36" t="str">
        <f t="shared" si="1"/>
        <v/>
      </c>
      <c r="J1212" s="16"/>
      <c r="K1212" s="15"/>
      <c r="L1212" s="15"/>
      <c r="M1212" s="36" t="str">
        <f t="array" ref="M1212">IF($A1212="","",IF($L1212="Atendido",IFERROR($I1212*INDEX(Config!$B:$B,MATCH($C1212,Config!$A:$A,0)),0),0))</f>
        <v/>
      </c>
      <c r="N1212" s="36" t="str">
        <f t="shared" si="2"/>
        <v/>
      </c>
      <c r="O1212" s="36" t="str">
        <f t="shared" si="3"/>
        <v/>
      </c>
      <c r="P1212" s="15"/>
      <c r="Q1212" s="37" t="str">
        <f t="shared" si="4"/>
        <v/>
      </c>
      <c r="R1212" s="37" t="str">
        <f t="shared" si="5"/>
        <v/>
      </c>
      <c r="S1212" s="32" t="str">
        <f t="shared" si="6"/>
        <v/>
      </c>
      <c r="T1212" s="37" t="str">
        <f t="shared" si="7"/>
        <v/>
      </c>
      <c r="U1212" s="37" t="str">
        <f t="array" ref="U1212">IF($F1212="","",IFERROR(INDEX(Config!$F:$F,MATCH($F1212,Config!$D:$D,0)),0))</f>
        <v/>
      </c>
    </row>
    <row r="1213" ht="15.0" customHeight="1">
      <c r="A1213" s="34"/>
      <c r="B1213" s="35"/>
      <c r="C1213" s="15"/>
      <c r="D1213" s="15"/>
      <c r="E1213" s="15"/>
      <c r="F1213" s="15"/>
      <c r="G1213" s="36" t="str">
        <f t="array" ref="G1213">IF($F1213="","",IFERROR(INDEX(Config!$E:$E,MATCH($F1213,Config!$D:$D,0)),0))</f>
        <v/>
      </c>
      <c r="H1213" s="16"/>
      <c r="I1213" s="36" t="str">
        <f t="shared" si="1"/>
        <v/>
      </c>
      <c r="J1213" s="16"/>
      <c r="K1213" s="15"/>
      <c r="L1213" s="15"/>
      <c r="M1213" s="36" t="str">
        <f t="array" ref="M1213">IF($A1213="","",IF($L1213="Atendido",IFERROR($I1213*INDEX(Config!$B:$B,MATCH($C1213,Config!$A:$A,0)),0),0))</f>
        <v/>
      </c>
      <c r="N1213" s="36" t="str">
        <f t="shared" si="2"/>
        <v/>
      </c>
      <c r="O1213" s="36" t="str">
        <f t="shared" si="3"/>
        <v/>
      </c>
      <c r="P1213" s="15"/>
      <c r="Q1213" s="37" t="str">
        <f t="shared" si="4"/>
        <v/>
      </c>
      <c r="R1213" s="37" t="str">
        <f t="shared" si="5"/>
        <v/>
      </c>
      <c r="S1213" s="32" t="str">
        <f t="shared" si="6"/>
        <v/>
      </c>
      <c r="T1213" s="37" t="str">
        <f t="shared" si="7"/>
        <v/>
      </c>
      <c r="U1213" s="37" t="str">
        <f t="array" ref="U1213">IF($F1213="","",IFERROR(INDEX(Config!$F:$F,MATCH($F1213,Config!$D:$D,0)),0))</f>
        <v/>
      </c>
    </row>
    <row r="1214" ht="15.0" customHeight="1">
      <c r="A1214" s="34"/>
      <c r="B1214" s="35"/>
      <c r="C1214" s="15"/>
      <c r="D1214" s="15"/>
      <c r="E1214" s="15"/>
      <c r="F1214" s="15"/>
      <c r="G1214" s="36" t="str">
        <f t="array" ref="G1214">IF($F1214="","",IFERROR(INDEX(Config!$E:$E,MATCH($F1214,Config!$D:$D,0)),0))</f>
        <v/>
      </c>
      <c r="H1214" s="16"/>
      <c r="I1214" s="36" t="str">
        <f t="shared" si="1"/>
        <v/>
      </c>
      <c r="J1214" s="16"/>
      <c r="K1214" s="15"/>
      <c r="L1214" s="15"/>
      <c r="M1214" s="36" t="str">
        <f t="array" ref="M1214">IF($A1214="","",IF($L1214="Atendido",IFERROR($I1214*INDEX(Config!$B:$B,MATCH($C1214,Config!$A:$A,0)),0),0))</f>
        <v/>
      </c>
      <c r="N1214" s="36" t="str">
        <f t="shared" si="2"/>
        <v/>
      </c>
      <c r="O1214" s="36" t="str">
        <f t="shared" si="3"/>
        <v/>
      </c>
      <c r="P1214" s="15"/>
      <c r="Q1214" s="37" t="str">
        <f t="shared" si="4"/>
        <v/>
      </c>
      <c r="R1214" s="37" t="str">
        <f t="shared" si="5"/>
        <v/>
      </c>
      <c r="S1214" s="32" t="str">
        <f t="shared" si="6"/>
        <v/>
      </c>
      <c r="T1214" s="37" t="str">
        <f t="shared" si="7"/>
        <v/>
      </c>
      <c r="U1214" s="37" t="str">
        <f t="array" ref="U1214">IF($F1214="","",IFERROR(INDEX(Config!$F:$F,MATCH($F1214,Config!$D:$D,0)),0))</f>
        <v/>
      </c>
    </row>
    <row r="1215" ht="15.0" customHeight="1">
      <c r="A1215" s="34"/>
      <c r="B1215" s="35"/>
      <c r="C1215" s="15"/>
      <c r="D1215" s="15"/>
      <c r="E1215" s="15"/>
      <c r="F1215" s="15"/>
      <c r="G1215" s="36" t="str">
        <f t="array" ref="G1215">IF($F1215="","",IFERROR(INDEX(Config!$E:$E,MATCH($F1215,Config!$D:$D,0)),0))</f>
        <v/>
      </c>
      <c r="H1215" s="16"/>
      <c r="I1215" s="36" t="str">
        <f t="shared" si="1"/>
        <v/>
      </c>
      <c r="J1215" s="16"/>
      <c r="K1215" s="15"/>
      <c r="L1215" s="15"/>
      <c r="M1215" s="36" t="str">
        <f t="array" ref="M1215">IF($A1215="","",IF($L1215="Atendido",IFERROR($I1215*INDEX(Config!$B:$B,MATCH($C1215,Config!$A:$A,0)),0),0))</f>
        <v/>
      </c>
      <c r="N1215" s="36" t="str">
        <f t="shared" si="2"/>
        <v/>
      </c>
      <c r="O1215" s="36" t="str">
        <f t="shared" si="3"/>
        <v/>
      </c>
      <c r="P1215" s="15"/>
      <c r="Q1215" s="37" t="str">
        <f t="shared" si="4"/>
        <v/>
      </c>
      <c r="R1215" s="37" t="str">
        <f t="shared" si="5"/>
        <v/>
      </c>
      <c r="S1215" s="32" t="str">
        <f t="shared" si="6"/>
        <v/>
      </c>
      <c r="T1215" s="37" t="str">
        <f t="shared" si="7"/>
        <v/>
      </c>
      <c r="U1215" s="37" t="str">
        <f t="array" ref="U1215">IF($F1215="","",IFERROR(INDEX(Config!$F:$F,MATCH($F1215,Config!$D:$D,0)),0))</f>
        <v/>
      </c>
    </row>
    <row r="1216" ht="15.0" customHeight="1">
      <c r="A1216" s="34"/>
      <c r="B1216" s="35"/>
      <c r="C1216" s="15"/>
      <c r="D1216" s="15"/>
      <c r="E1216" s="15"/>
      <c r="F1216" s="15"/>
      <c r="G1216" s="36" t="str">
        <f t="array" ref="G1216">IF($F1216="","",IFERROR(INDEX(Config!$E:$E,MATCH($F1216,Config!$D:$D,0)),0))</f>
        <v/>
      </c>
      <c r="H1216" s="16"/>
      <c r="I1216" s="36" t="str">
        <f t="shared" si="1"/>
        <v/>
      </c>
      <c r="J1216" s="16"/>
      <c r="K1216" s="15"/>
      <c r="L1216" s="15"/>
      <c r="M1216" s="36" t="str">
        <f t="array" ref="M1216">IF($A1216="","",IF($L1216="Atendido",IFERROR($I1216*INDEX(Config!$B:$B,MATCH($C1216,Config!$A:$A,0)),0),0))</f>
        <v/>
      </c>
      <c r="N1216" s="36" t="str">
        <f t="shared" si="2"/>
        <v/>
      </c>
      <c r="O1216" s="36" t="str">
        <f t="shared" si="3"/>
        <v/>
      </c>
      <c r="P1216" s="15"/>
      <c r="Q1216" s="37" t="str">
        <f t="shared" si="4"/>
        <v/>
      </c>
      <c r="R1216" s="37" t="str">
        <f t="shared" si="5"/>
        <v/>
      </c>
      <c r="S1216" s="32" t="str">
        <f t="shared" si="6"/>
        <v/>
      </c>
      <c r="T1216" s="37" t="str">
        <f t="shared" si="7"/>
        <v/>
      </c>
      <c r="U1216" s="37" t="str">
        <f t="array" ref="U1216">IF($F1216="","",IFERROR(INDEX(Config!$F:$F,MATCH($F1216,Config!$D:$D,0)),0))</f>
        <v/>
      </c>
    </row>
    <row r="1217" ht="15.0" customHeight="1">
      <c r="A1217" s="34"/>
      <c r="B1217" s="35"/>
      <c r="C1217" s="15"/>
      <c r="D1217" s="15"/>
      <c r="E1217" s="15"/>
      <c r="F1217" s="15"/>
      <c r="G1217" s="36" t="str">
        <f t="array" ref="G1217">IF($F1217="","",IFERROR(INDEX(Config!$E:$E,MATCH($F1217,Config!$D:$D,0)),0))</f>
        <v/>
      </c>
      <c r="H1217" s="16"/>
      <c r="I1217" s="36" t="str">
        <f t="shared" si="1"/>
        <v/>
      </c>
      <c r="J1217" s="16"/>
      <c r="K1217" s="15"/>
      <c r="L1217" s="15"/>
      <c r="M1217" s="36" t="str">
        <f t="array" ref="M1217">IF($A1217="","",IF($L1217="Atendido",IFERROR($I1217*INDEX(Config!$B:$B,MATCH($C1217,Config!$A:$A,0)),0),0))</f>
        <v/>
      </c>
      <c r="N1217" s="36" t="str">
        <f t="shared" si="2"/>
        <v/>
      </c>
      <c r="O1217" s="36" t="str">
        <f t="shared" si="3"/>
        <v/>
      </c>
      <c r="P1217" s="15"/>
      <c r="Q1217" s="37" t="str">
        <f t="shared" si="4"/>
        <v/>
      </c>
      <c r="R1217" s="37" t="str">
        <f t="shared" si="5"/>
        <v/>
      </c>
      <c r="S1217" s="32" t="str">
        <f t="shared" si="6"/>
        <v/>
      </c>
      <c r="T1217" s="37" t="str">
        <f t="shared" si="7"/>
        <v/>
      </c>
      <c r="U1217" s="37" t="str">
        <f t="array" ref="U1217">IF($F1217="","",IFERROR(INDEX(Config!$F:$F,MATCH($F1217,Config!$D:$D,0)),0))</f>
        <v/>
      </c>
    </row>
    <row r="1218" ht="15.0" customHeight="1">
      <c r="A1218" s="34"/>
      <c r="B1218" s="35"/>
      <c r="C1218" s="15"/>
      <c r="D1218" s="15"/>
      <c r="E1218" s="15"/>
      <c r="F1218" s="15"/>
      <c r="G1218" s="36" t="str">
        <f t="array" ref="G1218">IF($F1218="","",IFERROR(INDEX(Config!$E:$E,MATCH($F1218,Config!$D:$D,0)),0))</f>
        <v/>
      </c>
      <c r="H1218" s="16"/>
      <c r="I1218" s="36" t="str">
        <f t="shared" si="1"/>
        <v/>
      </c>
      <c r="J1218" s="16"/>
      <c r="K1218" s="15"/>
      <c r="L1218" s="15"/>
      <c r="M1218" s="36" t="str">
        <f t="array" ref="M1218">IF($A1218="","",IF($L1218="Atendido",IFERROR($I1218*INDEX(Config!$B:$B,MATCH($C1218,Config!$A:$A,0)),0),0))</f>
        <v/>
      </c>
      <c r="N1218" s="36" t="str">
        <f t="shared" si="2"/>
        <v/>
      </c>
      <c r="O1218" s="36" t="str">
        <f t="shared" si="3"/>
        <v/>
      </c>
      <c r="P1218" s="15"/>
      <c r="Q1218" s="37" t="str">
        <f t="shared" si="4"/>
        <v/>
      </c>
      <c r="R1218" s="37" t="str">
        <f t="shared" si="5"/>
        <v/>
      </c>
      <c r="S1218" s="32" t="str">
        <f t="shared" si="6"/>
        <v/>
      </c>
      <c r="T1218" s="37" t="str">
        <f t="shared" si="7"/>
        <v/>
      </c>
      <c r="U1218" s="37" t="str">
        <f t="array" ref="U1218">IF($F1218="","",IFERROR(INDEX(Config!$F:$F,MATCH($F1218,Config!$D:$D,0)),0))</f>
        <v/>
      </c>
    </row>
    <row r="1219" ht="15.0" customHeight="1">
      <c r="A1219" s="34"/>
      <c r="B1219" s="35"/>
      <c r="C1219" s="15"/>
      <c r="D1219" s="15"/>
      <c r="E1219" s="15"/>
      <c r="F1219" s="15"/>
      <c r="G1219" s="36" t="str">
        <f t="array" ref="G1219">IF($F1219="","",IFERROR(INDEX(Config!$E:$E,MATCH($F1219,Config!$D:$D,0)),0))</f>
        <v/>
      </c>
      <c r="H1219" s="16"/>
      <c r="I1219" s="36" t="str">
        <f t="shared" si="1"/>
        <v/>
      </c>
      <c r="J1219" s="16"/>
      <c r="K1219" s="15"/>
      <c r="L1219" s="15"/>
      <c r="M1219" s="36" t="str">
        <f t="array" ref="M1219">IF($A1219="","",IF($L1219="Atendido",IFERROR($I1219*INDEX(Config!$B:$B,MATCH($C1219,Config!$A:$A,0)),0),0))</f>
        <v/>
      </c>
      <c r="N1219" s="36" t="str">
        <f t="shared" si="2"/>
        <v/>
      </c>
      <c r="O1219" s="36" t="str">
        <f t="shared" si="3"/>
        <v/>
      </c>
      <c r="P1219" s="15"/>
      <c r="Q1219" s="37" t="str">
        <f t="shared" si="4"/>
        <v/>
      </c>
      <c r="R1219" s="37" t="str">
        <f t="shared" si="5"/>
        <v/>
      </c>
      <c r="S1219" s="32" t="str">
        <f t="shared" si="6"/>
        <v/>
      </c>
      <c r="T1219" s="37" t="str">
        <f t="shared" si="7"/>
        <v/>
      </c>
      <c r="U1219" s="37" t="str">
        <f t="array" ref="U1219">IF($F1219="","",IFERROR(INDEX(Config!$F:$F,MATCH($F1219,Config!$D:$D,0)),0))</f>
        <v/>
      </c>
    </row>
    <row r="1220" ht="15.0" customHeight="1">
      <c r="A1220" s="34"/>
      <c r="B1220" s="35"/>
      <c r="C1220" s="15"/>
      <c r="D1220" s="15"/>
      <c r="E1220" s="15"/>
      <c r="F1220" s="15"/>
      <c r="G1220" s="36" t="str">
        <f t="array" ref="G1220">IF($F1220="","",IFERROR(INDEX(Config!$E:$E,MATCH($F1220,Config!$D:$D,0)),0))</f>
        <v/>
      </c>
      <c r="H1220" s="16"/>
      <c r="I1220" s="36" t="str">
        <f t="shared" si="1"/>
        <v/>
      </c>
      <c r="J1220" s="16"/>
      <c r="K1220" s="15"/>
      <c r="L1220" s="15"/>
      <c r="M1220" s="36" t="str">
        <f t="array" ref="M1220">IF($A1220="","",IF($L1220="Atendido",IFERROR($I1220*INDEX(Config!$B:$B,MATCH($C1220,Config!$A:$A,0)),0),0))</f>
        <v/>
      </c>
      <c r="N1220" s="36" t="str">
        <f t="shared" si="2"/>
        <v/>
      </c>
      <c r="O1220" s="36" t="str">
        <f t="shared" si="3"/>
        <v/>
      </c>
      <c r="P1220" s="15"/>
      <c r="Q1220" s="37" t="str">
        <f t="shared" si="4"/>
        <v/>
      </c>
      <c r="R1220" s="37" t="str">
        <f t="shared" si="5"/>
        <v/>
      </c>
      <c r="S1220" s="32" t="str">
        <f t="shared" si="6"/>
        <v/>
      </c>
      <c r="T1220" s="37" t="str">
        <f t="shared" si="7"/>
        <v/>
      </c>
      <c r="U1220" s="37" t="str">
        <f t="array" ref="U1220">IF($F1220="","",IFERROR(INDEX(Config!$F:$F,MATCH($F1220,Config!$D:$D,0)),0))</f>
        <v/>
      </c>
    </row>
    <row r="1221" ht="15.0" customHeight="1">
      <c r="A1221" s="34"/>
      <c r="B1221" s="35"/>
      <c r="C1221" s="15"/>
      <c r="D1221" s="15"/>
      <c r="E1221" s="15"/>
      <c r="F1221" s="15"/>
      <c r="G1221" s="36" t="str">
        <f t="array" ref="G1221">IF($F1221="","",IFERROR(INDEX(Config!$E:$E,MATCH($F1221,Config!$D:$D,0)),0))</f>
        <v/>
      </c>
      <c r="H1221" s="16"/>
      <c r="I1221" s="36" t="str">
        <f t="shared" si="1"/>
        <v/>
      </c>
      <c r="J1221" s="16"/>
      <c r="K1221" s="15"/>
      <c r="L1221" s="15"/>
      <c r="M1221" s="36" t="str">
        <f t="array" ref="M1221">IF($A1221="","",IF($L1221="Atendido",IFERROR($I1221*INDEX(Config!$B:$B,MATCH($C1221,Config!$A:$A,0)),0),0))</f>
        <v/>
      </c>
      <c r="N1221" s="36" t="str">
        <f t="shared" si="2"/>
        <v/>
      </c>
      <c r="O1221" s="36" t="str">
        <f t="shared" si="3"/>
        <v/>
      </c>
      <c r="P1221" s="15"/>
      <c r="Q1221" s="37" t="str">
        <f t="shared" si="4"/>
        <v/>
      </c>
      <c r="R1221" s="37" t="str">
        <f t="shared" si="5"/>
        <v/>
      </c>
      <c r="S1221" s="32" t="str">
        <f t="shared" si="6"/>
        <v/>
      </c>
      <c r="T1221" s="37" t="str">
        <f t="shared" si="7"/>
        <v/>
      </c>
      <c r="U1221" s="37" t="str">
        <f t="array" ref="U1221">IF($F1221="","",IFERROR(INDEX(Config!$F:$F,MATCH($F1221,Config!$D:$D,0)),0))</f>
        <v/>
      </c>
    </row>
    <row r="1222" ht="15.0" customHeight="1">
      <c r="A1222" s="34"/>
      <c r="B1222" s="35"/>
      <c r="C1222" s="15"/>
      <c r="D1222" s="15"/>
      <c r="E1222" s="15"/>
      <c r="F1222" s="15"/>
      <c r="G1222" s="36" t="str">
        <f t="array" ref="G1222">IF($F1222="","",IFERROR(INDEX(Config!$E:$E,MATCH($F1222,Config!$D:$D,0)),0))</f>
        <v/>
      </c>
      <c r="H1222" s="16"/>
      <c r="I1222" s="36" t="str">
        <f t="shared" si="1"/>
        <v/>
      </c>
      <c r="J1222" s="16"/>
      <c r="K1222" s="15"/>
      <c r="L1222" s="15"/>
      <c r="M1222" s="36" t="str">
        <f t="array" ref="M1222">IF($A1222="","",IF($L1222="Atendido",IFERROR($I1222*INDEX(Config!$B:$B,MATCH($C1222,Config!$A:$A,0)),0),0))</f>
        <v/>
      </c>
      <c r="N1222" s="36" t="str">
        <f t="shared" si="2"/>
        <v/>
      </c>
      <c r="O1222" s="36" t="str">
        <f t="shared" si="3"/>
        <v/>
      </c>
      <c r="P1222" s="15"/>
      <c r="Q1222" s="37" t="str">
        <f t="shared" si="4"/>
        <v/>
      </c>
      <c r="R1222" s="37" t="str">
        <f t="shared" si="5"/>
        <v/>
      </c>
      <c r="S1222" s="32" t="str">
        <f t="shared" si="6"/>
        <v/>
      </c>
      <c r="T1222" s="37" t="str">
        <f t="shared" si="7"/>
        <v/>
      </c>
      <c r="U1222" s="37" t="str">
        <f t="array" ref="U1222">IF($F1222="","",IFERROR(INDEX(Config!$F:$F,MATCH($F1222,Config!$D:$D,0)),0))</f>
        <v/>
      </c>
    </row>
    <row r="1223" ht="15.0" customHeight="1">
      <c r="A1223" s="34"/>
      <c r="B1223" s="35"/>
      <c r="C1223" s="15"/>
      <c r="D1223" s="15"/>
      <c r="E1223" s="15"/>
      <c r="F1223" s="15"/>
      <c r="G1223" s="36" t="str">
        <f t="array" ref="G1223">IF($F1223="","",IFERROR(INDEX(Config!$E:$E,MATCH($F1223,Config!$D:$D,0)),0))</f>
        <v/>
      </c>
      <c r="H1223" s="16"/>
      <c r="I1223" s="36" t="str">
        <f t="shared" si="1"/>
        <v/>
      </c>
      <c r="J1223" s="16"/>
      <c r="K1223" s="15"/>
      <c r="L1223" s="15"/>
      <c r="M1223" s="36" t="str">
        <f t="array" ref="M1223">IF($A1223="","",IF($L1223="Atendido",IFERROR($I1223*INDEX(Config!$B:$B,MATCH($C1223,Config!$A:$A,0)),0),0))</f>
        <v/>
      </c>
      <c r="N1223" s="36" t="str">
        <f t="shared" si="2"/>
        <v/>
      </c>
      <c r="O1223" s="36" t="str">
        <f t="shared" si="3"/>
        <v/>
      </c>
      <c r="P1223" s="15"/>
      <c r="Q1223" s="37" t="str">
        <f t="shared" si="4"/>
        <v/>
      </c>
      <c r="R1223" s="37" t="str">
        <f t="shared" si="5"/>
        <v/>
      </c>
      <c r="S1223" s="32" t="str">
        <f t="shared" si="6"/>
        <v/>
      </c>
      <c r="T1223" s="37" t="str">
        <f t="shared" si="7"/>
        <v/>
      </c>
      <c r="U1223" s="37" t="str">
        <f t="array" ref="U1223">IF($F1223="","",IFERROR(INDEX(Config!$F:$F,MATCH($F1223,Config!$D:$D,0)),0))</f>
        <v/>
      </c>
    </row>
    <row r="1224" ht="15.0" customHeight="1">
      <c r="A1224" s="34"/>
      <c r="B1224" s="35"/>
      <c r="C1224" s="15"/>
      <c r="D1224" s="15"/>
      <c r="E1224" s="15"/>
      <c r="F1224" s="15"/>
      <c r="G1224" s="36" t="str">
        <f t="array" ref="G1224">IF($F1224="","",IFERROR(INDEX(Config!$E:$E,MATCH($F1224,Config!$D:$D,0)),0))</f>
        <v/>
      </c>
      <c r="H1224" s="16"/>
      <c r="I1224" s="36" t="str">
        <f t="shared" si="1"/>
        <v/>
      </c>
      <c r="J1224" s="16"/>
      <c r="K1224" s="15"/>
      <c r="L1224" s="15"/>
      <c r="M1224" s="36" t="str">
        <f t="array" ref="M1224">IF($A1224="","",IF($L1224="Atendido",IFERROR($I1224*INDEX(Config!$B:$B,MATCH($C1224,Config!$A:$A,0)),0),0))</f>
        <v/>
      </c>
      <c r="N1224" s="36" t="str">
        <f t="shared" si="2"/>
        <v/>
      </c>
      <c r="O1224" s="36" t="str">
        <f t="shared" si="3"/>
        <v/>
      </c>
      <c r="P1224" s="15"/>
      <c r="Q1224" s="37" t="str">
        <f t="shared" si="4"/>
        <v/>
      </c>
      <c r="R1224" s="37" t="str">
        <f t="shared" si="5"/>
        <v/>
      </c>
      <c r="S1224" s="32" t="str">
        <f t="shared" si="6"/>
        <v/>
      </c>
      <c r="T1224" s="37" t="str">
        <f t="shared" si="7"/>
        <v/>
      </c>
      <c r="U1224" s="37" t="str">
        <f t="array" ref="U1224">IF($F1224="","",IFERROR(INDEX(Config!$F:$F,MATCH($F1224,Config!$D:$D,0)),0))</f>
        <v/>
      </c>
    </row>
    <row r="1225" ht="15.0" customHeight="1">
      <c r="A1225" s="34"/>
      <c r="B1225" s="35"/>
      <c r="C1225" s="15"/>
      <c r="D1225" s="15"/>
      <c r="E1225" s="15"/>
      <c r="F1225" s="15"/>
      <c r="G1225" s="36" t="str">
        <f t="array" ref="G1225">IF($F1225="","",IFERROR(INDEX(Config!$E:$E,MATCH($F1225,Config!$D:$D,0)),0))</f>
        <v/>
      </c>
      <c r="H1225" s="16"/>
      <c r="I1225" s="36" t="str">
        <f t="shared" si="1"/>
        <v/>
      </c>
      <c r="J1225" s="16"/>
      <c r="K1225" s="15"/>
      <c r="L1225" s="15"/>
      <c r="M1225" s="36" t="str">
        <f t="array" ref="M1225">IF($A1225="","",IF($L1225="Atendido",IFERROR($I1225*INDEX(Config!$B:$B,MATCH($C1225,Config!$A:$A,0)),0),0))</f>
        <v/>
      </c>
      <c r="N1225" s="36" t="str">
        <f t="shared" si="2"/>
        <v/>
      </c>
      <c r="O1225" s="36" t="str">
        <f t="shared" si="3"/>
        <v/>
      </c>
      <c r="P1225" s="15"/>
      <c r="Q1225" s="37" t="str">
        <f t="shared" si="4"/>
        <v/>
      </c>
      <c r="R1225" s="37" t="str">
        <f t="shared" si="5"/>
        <v/>
      </c>
      <c r="S1225" s="32" t="str">
        <f t="shared" si="6"/>
        <v/>
      </c>
      <c r="T1225" s="37" t="str">
        <f t="shared" si="7"/>
        <v/>
      </c>
      <c r="U1225" s="37" t="str">
        <f t="array" ref="U1225">IF($F1225="","",IFERROR(INDEX(Config!$F:$F,MATCH($F1225,Config!$D:$D,0)),0))</f>
        <v/>
      </c>
    </row>
    <row r="1226" ht="15.0" customHeight="1">
      <c r="A1226" s="34"/>
      <c r="B1226" s="35"/>
      <c r="C1226" s="15"/>
      <c r="D1226" s="15"/>
      <c r="E1226" s="15"/>
      <c r="F1226" s="15"/>
      <c r="G1226" s="36" t="str">
        <f t="array" ref="G1226">IF($F1226="","",IFERROR(INDEX(Config!$E:$E,MATCH($F1226,Config!$D:$D,0)),0))</f>
        <v/>
      </c>
      <c r="H1226" s="16"/>
      <c r="I1226" s="36" t="str">
        <f t="shared" si="1"/>
        <v/>
      </c>
      <c r="J1226" s="16"/>
      <c r="K1226" s="15"/>
      <c r="L1226" s="15"/>
      <c r="M1226" s="36" t="str">
        <f t="array" ref="M1226">IF($A1226="","",IF($L1226="Atendido",IFERROR($I1226*INDEX(Config!$B:$B,MATCH($C1226,Config!$A:$A,0)),0),0))</f>
        <v/>
      </c>
      <c r="N1226" s="36" t="str">
        <f t="shared" si="2"/>
        <v/>
      </c>
      <c r="O1226" s="36" t="str">
        <f t="shared" si="3"/>
        <v/>
      </c>
      <c r="P1226" s="15"/>
      <c r="Q1226" s="37" t="str">
        <f t="shared" si="4"/>
        <v/>
      </c>
      <c r="R1226" s="37" t="str">
        <f t="shared" si="5"/>
        <v/>
      </c>
      <c r="S1226" s="32" t="str">
        <f t="shared" si="6"/>
        <v/>
      </c>
      <c r="T1226" s="37" t="str">
        <f t="shared" si="7"/>
        <v/>
      </c>
      <c r="U1226" s="37" t="str">
        <f t="array" ref="U1226">IF($F1226="","",IFERROR(INDEX(Config!$F:$F,MATCH($F1226,Config!$D:$D,0)),0))</f>
        <v/>
      </c>
    </row>
    <row r="1227" ht="15.0" customHeight="1">
      <c r="A1227" s="34"/>
      <c r="B1227" s="35"/>
      <c r="C1227" s="15"/>
      <c r="D1227" s="15"/>
      <c r="E1227" s="15"/>
      <c r="F1227" s="15"/>
      <c r="G1227" s="36" t="str">
        <f t="array" ref="G1227">IF($F1227="","",IFERROR(INDEX(Config!$E:$E,MATCH($F1227,Config!$D:$D,0)),0))</f>
        <v/>
      </c>
      <c r="H1227" s="16"/>
      <c r="I1227" s="36" t="str">
        <f t="shared" si="1"/>
        <v/>
      </c>
      <c r="J1227" s="16"/>
      <c r="K1227" s="15"/>
      <c r="L1227" s="15"/>
      <c r="M1227" s="36" t="str">
        <f t="array" ref="M1227">IF($A1227="","",IF($L1227="Atendido",IFERROR($I1227*INDEX(Config!$B:$B,MATCH($C1227,Config!$A:$A,0)),0),0))</f>
        <v/>
      </c>
      <c r="N1227" s="36" t="str">
        <f t="shared" si="2"/>
        <v/>
      </c>
      <c r="O1227" s="36" t="str">
        <f t="shared" si="3"/>
        <v/>
      </c>
      <c r="P1227" s="15"/>
      <c r="Q1227" s="37" t="str">
        <f t="shared" si="4"/>
        <v/>
      </c>
      <c r="R1227" s="37" t="str">
        <f t="shared" si="5"/>
        <v/>
      </c>
      <c r="S1227" s="32" t="str">
        <f t="shared" si="6"/>
        <v/>
      </c>
      <c r="T1227" s="37" t="str">
        <f t="shared" si="7"/>
        <v/>
      </c>
      <c r="U1227" s="37" t="str">
        <f t="array" ref="U1227">IF($F1227="","",IFERROR(INDEX(Config!$F:$F,MATCH($F1227,Config!$D:$D,0)),0))</f>
        <v/>
      </c>
    </row>
    <row r="1228" ht="15.0" customHeight="1">
      <c r="A1228" s="34"/>
      <c r="B1228" s="35"/>
      <c r="C1228" s="15"/>
      <c r="D1228" s="15"/>
      <c r="E1228" s="15"/>
      <c r="F1228" s="15"/>
      <c r="G1228" s="36" t="str">
        <f t="array" ref="G1228">IF($F1228="","",IFERROR(INDEX(Config!$E:$E,MATCH($F1228,Config!$D:$D,0)),0))</f>
        <v/>
      </c>
      <c r="H1228" s="16"/>
      <c r="I1228" s="36" t="str">
        <f t="shared" si="1"/>
        <v/>
      </c>
      <c r="J1228" s="16"/>
      <c r="K1228" s="15"/>
      <c r="L1228" s="15"/>
      <c r="M1228" s="36" t="str">
        <f t="array" ref="M1228">IF($A1228="","",IF($L1228="Atendido",IFERROR($I1228*INDEX(Config!$B:$B,MATCH($C1228,Config!$A:$A,0)),0),0))</f>
        <v/>
      </c>
      <c r="N1228" s="36" t="str">
        <f t="shared" si="2"/>
        <v/>
      </c>
      <c r="O1228" s="36" t="str">
        <f t="shared" si="3"/>
        <v/>
      </c>
      <c r="P1228" s="15"/>
      <c r="Q1228" s="37" t="str">
        <f t="shared" si="4"/>
        <v/>
      </c>
      <c r="R1228" s="37" t="str">
        <f t="shared" si="5"/>
        <v/>
      </c>
      <c r="S1228" s="32" t="str">
        <f t="shared" si="6"/>
        <v/>
      </c>
      <c r="T1228" s="37" t="str">
        <f t="shared" si="7"/>
        <v/>
      </c>
      <c r="U1228" s="37" t="str">
        <f t="array" ref="U1228">IF($F1228="","",IFERROR(INDEX(Config!$F:$F,MATCH($F1228,Config!$D:$D,0)),0))</f>
        <v/>
      </c>
    </row>
    <row r="1229" ht="15.0" customHeight="1">
      <c r="A1229" s="34"/>
      <c r="B1229" s="35"/>
      <c r="C1229" s="15"/>
      <c r="D1229" s="15"/>
      <c r="E1229" s="15"/>
      <c r="F1229" s="15"/>
      <c r="G1229" s="36" t="str">
        <f t="array" ref="G1229">IF($F1229="","",IFERROR(INDEX(Config!$E:$E,MATCH($F1229,Config!$D:$D,0)),0))</f>
        <v/>
      </c>
      <c r="H1229" s="16"/>
      <c r="I1229" s="36" t="str">
        <f t="shared" si="1"/>
        <v/>
      </c>
      <c r="J1229" s="16"/>
      <c r="K1229" s="15"/>
      <c r="L1229" s="15"/>
      <c r="M1229" s="36" t="str">
        <f t="array" ref="M1229">IF($A1229="","",IF($L1229="Atendido",IFERROR($I1229*INDEX(Config!$B:$B,MATCH($C1229,Config!$A:$A,0)),0),0))</f>
        <v/>
      </c>
      <c r="N1229" s="36" t="str">
        <f t="shared" si="2"/>
        <v/>
      </c>
      <c r="O1229" s="36" t="str">
        <f t="shared" si="3"/>
        <v/>
      </c>
      <c r="P1229" s="15"/>
      <c r="Q1229" s="37" t="str">
        <f t="shared" si="4"/>
        <v/>
      </c>
      <c r="R1229" s="37" t="str">
        <f t="shared" si="5"/>
        <v/>
      </c>
      <c r="S1229" s="32" t="str">
        <f t="shared" si="6"/>
        <v/>
      </c>
      <c r="T1229" s="37" t="str">
        <f t="shared" si="7"/>
        <v/>
      </c>
      <c r="U1229" s="37" t="str">
        <f t="array" ref="U1229">IF($F1229="","",IFERROR(INDEX(Config!$F:$F,MATCH($F1229,Config!$D:$D,0)),0))</f>
        <v/>
      </c>
    </row>
    <row r="1230" ht="15.0" customHeight="1">
      <c r="A1230" s="34"/>
      <c r="B1230" s="35"/>
      <c r="C1230" s="15"/>
      <c r="D1230" s="15"/>
      <c r="E1230" s="15"/>
      <c r="F1230" s="15"/>
      <c r="G1230" s="36" t="str">
        <f t="array" ref="G1230">IF($F1230="","",IFERROR(INDEX(Config!$E:$E,MATCH($F1230,Config!$D:$D,0)),0))</f>
        <v/>
      </c>
      <c r="H1230" s="16"/>
      <c r="I1230" s="36" t="str">
        <f t="shared" si="1"/>
        <v/>
      </c>
      <c r="J1230" s="16"/>
      <c r="K1230" s="15"/>
      <c r="L1230" s="15"/>
      <c r="M1230" s="36" t="str">
        <f t="array" ref="M1230">IF($A1230="","",IF($L1230="Atendido",IFERROR($I1230*INDEX(Config!$B:$B,MATCH($C1230,Config!$A:$A,0)),0),0))</f>
        <v/>
      </c>
      <c r="N1230" s="36" t="str">
        <f t="shared" si="2"/>
        <v/>
      </c>
      <c r="O1230" s="36" t="str">
        <f t="shared" si="3"/>
        <v/>
      </c>
      <c r="P1230" s="15"/>
      <c r="Q1230" s="37" t="str">
        <f t="shared" si="4"/>
        <v/>
      </c>
      <c r="R1230" s="37" t="str">
        <f t="shared" si="5"/>
        <v/>
      </c>
      <c r="S1230" s="32" t="str">
        <f t="shared" si="6"/>
        <v/>
      </c>
      <c r="T1230" s="37" t="str">
        <f t="shared" si="7"/>
        <v/>
      </c>
      <c r="U1230" s="37" t="str">
        <f t="array" ref="U1230">IF($F1230="","",IFERROR(INDEX(Config!$F:$F,MATCH($F1230,Config!$D:$D,0)),0))</f>
        <v/>
      </c>
    </row>
    <row r="1231" ht="15.0" customHeight="1">
      <c r="A1231" s="34"/>
      <c r="B1231" s="35"/>
      <c r="C1231" s="15"/>
      <c r="D1231" s="15"/>
      <c r="E1231" s="15"/>
      <c r="F1231" s="15"/>
      <c r="G1231" s="36" t="str">
        <f t="array" ref="G1231">IF($F1231="","",IFERROR(INDEX(Config!$E:$E,MATCH($F1231,Config!$D:$D,0)),0))</f>
        <v/>
      </c>
      <c r="H1231" s="16"/>
      <c r="I1231" s="36" t="str">
        <f t="shared" si="1"/>
        <v/>
      </c>
      <c r="J1231" s="16"/>
      <c r="K1231" s="15"/>
      <c r="L1231" s="15"/>
      <c r="M1231" s="36" t="str">
        <f t="array" ref="M1231">IF($A1231="","",IF($L1231="Atendido",IFERROR($I1231*INDEX(Config!$B:$B,MATCH($C1231,Config!$A:$A,0)),0),0))</f>
        <v/>
      </c>
      <c r="N1231" s="36" t="str">
        <f t="shared" si="2"/>
        <v/>
      </c>
      <c r="O1231" s="36" t="str">
        <f t="shared" si="3"/>
        <v/>
      </c>
      <c r="P1231" s="15"/>
      <c r="Q1231" s="37" t="str">
        <f t="shared" si="4"/>
        <v/>
      </c>
      <c r="R1231" s="37" t="str">
        <f t="shared" si="5"/>
        <v/>
      </c>
      <c r="S1231" s="32" t="str">
        <f t="shared" si="6"/>
        <v/>
      </c>
      <c r="T1231" s="37" t="str">
        <f t="shared" si="7"/>
        <v/>
      </c>
      <c r="U1231" s="37" t="str">
        <f t="array" ref="U1231">IF($F1231="","",IFERROR(INDEX(Config!$F:$F,MATCH($F1231,Config!$D:$D,0)),0))</f>
        <v/>
      </c>
    </row>
    <row r="1232" ht="15.0" customHeight="1">
      <c r="A1232" s="34"/>
      <c r="B1232" s="35"/>
      <c r="C1232" s="15"/>
      <c r="D1232" s="15"/>
      <c r="E1232" s="15"/>
      <c r="F1232" s="15"/>
      <c r="G1232" s="36" t="str">
        <f t="array" ref="G1232">IF($F1232="","",IFERROR(INDEX(Config!$E:$E,MATCH($F1232,Config!$D:$D,0)),0))</f>
        <v/>
      </c>
      <c r="H1232" s="16"/>
      <c r="I1232" s="36" t="str">
        <f t="shared" si="1"/>
        <v/>
      </c>
      <c r="J1232" s="16"/>
      <c r="K1232" s="15"/>
      <c r="L1232" s="15"/>
      <c r="M1232" s="36" t="str">
        <f t="array" ref="M1232">IF($A1232="","",IF($L1232="Atendido",IFERROR($I1232*INDEX(Config!$B:$B,MATCH($C1232,Config!$A:$A,0)),0),0))</f>
        <v/>
      </c>
      <c r="N1232" s="36" t="str">
        <f t="shared" si="2"/>
        <v/>
      </c>
      <c r="O1232" s="36" t="str">
        <f t="shared" si="3"/>
        <v/>
      </c>
      <c r="P1232" s="15"/>
      <c r="Q1232" s="37" t="str">
        <f t="shared" si="4"/>
        <v/>
      </c>
      <c r="R1232" s="37" t="str">
        <f t="shared" si="5"/>
        <v/>
      </c>
      <c r="S1232" s="32" t="str">
        <f t="shared" si="6"/>
        <v/>
      </c>
      <c r="T1232" s="37" t="str">
        <f t="shared" si="7"/>
        <v/>
      </c>
      <c r="U1232" s="37" t="str">
        <f t="array" ref="U1232">IF($F1232="","",IFERROR(INDEX(Config!$F:$F,MATCH($F1232,Config!$D:$D,0)),0))</f>
        <v/>
      </c>
    </row>
    <row r="1233" ht="15.0" customHeight="1">
      <c r="A1233" s="34"/>
      <c r="B1233" s="35"/>
      <c r="C1233" s="15"/>
      <c r="D1233" s="15"/>
      <c r="E1233" s="15"/>
      <c r="F1233" s="15"/>
      <c r="G1233" s="36" t="str">
        <f t="array" ref="G1233">IF($F1233="","",IFERROR(INDEX(Config!$E:$E,MATCH($F1233,Config!$D:$D,0)),0))</f>
        <v/>
      </c>
      <c r="H1233" s="16"/>
      <c r="I1233" s="36" t="str">
        <f t="shared" si="1"/>
        <v/>
      </c>
      <c r="J1233" s="16"/>
      <c r="K1233" s="15"/>
      <c r="L1233" s="15"/>
      <c r="M1233" s="36" t="str">
        <f t="array" ref="M1233">IF($A1233="","",IF($L1233="Atendido",IFERROR($I1233*INDEX(Config!$B:$B,MATCH($C1233,Config!$A:$A,0)),0),0))</f>
        <v/>
      </c>
      <c r="N1233" s="36" t="str">
        <f t="shared" si="2"/>
        <v/>
      </c>
      <c r="O1233" s="36" t="str">
        <f t="shared" si="3"/>
        <v/>
      </c>
      <c r="P1233" s="15"/>
      <c r="Q1233" s="37" t="str">
        <f t="shared" si="4"/>
        <v/>
      </c>
      <c r="R1233" s="37" t="str">
        <f t="shared" si="5"/>
        <v/>
      </c>
      <c r="S1233" s="32" t="str">
        <f t="shared" si="6"/>
        <v/>
      </c>
      <c r="T1233" s="37" t="str">
        <f t="shared" si="7"/>
        <v/>
      </c>
      <c r="U1233" s="37" t="str">
        <f t="array" ref="U1233">IF($F1233="","",IFERROR(INDEX(Config!$F:$F,MATCH($F1233,Config!$D:$D,0)),0))</f>
        <v/>
      </c>
    </row>
    <row r="1234" ht="15.0" customHeight="1">
      <c r="A1234" s="34"/>
      <c r="B1234" s="35"/>
      <c r="C1234" s="15"/>
      <c r="D1234" s="15"/>
      <c r="E1234" s="15"/>
      <c r="F1234" s="15"/>
      <c r="G1234" s="36" t="str">
        <f t="array" ref="G1234">IF($F1234="","",IFERROR(INDEX(Config!$E:$E,MATCH($F1234,Config!$D:$D,0)),0))</f>
        <v/>
      </c>
      <c r="H1234" s="16"/>
      <c r="I1234" s="36" t="str">
        <f t="shared" si="1"/>
        <v/>
      </c>
      <c r="J1234" s="16"/>
      <c r="K1234" s="15"/>
      <c r="L1234" s="15"/>
      <c r="M1234" s="36" t="str">
        <f t="array" ref="M1234">IF($A1234="","",IF($L1234="Atendido",IFERROR($I1234*INDEX(Config!$B:$B,MATCH($C1234,Config!$A:$A,0)),0),0))</f>
        <v/>
      </c>
      <c r="N1234" s="36" t="str">
        <f t="shared" si="2"/>
        <v/>
      </c>
      <c r="O1234" s="36" t="str">
        <f t="shared" si="3"/>
        <v/>
      </c>
      <c r="P1234" s="15"/>
      <c r="Q1234" s="37" t="str">
        <f t="shared" si="4"/>
        <v/>
      </c>
      <c r="R1234" s="37" t="str">
        <f t="shared" si="5"/>
        <v/>
      </c>
      <c r="S1234" s="32" t="str">
        <f t="shared" si="6"/>
        <v/>
      </c>
      <c r="T1234" s="37" t="str">
        <f t="shared" si="7"/>
        <v/>
      </c>
      <c r="U1234" s="37" t="str">
        <f t="array" ref="U1234">IF($F1234="","",IFERROR(INDEX(Config!$F:$F,MATCH($F1234,Config!$D:$D,0)),0))</f>
        <v/>
      </c>
    </row>
    <row r="1235" ht="15.0" customHeight="1">
      <c r="A1235" s="34"/>
      <c r="B1235" s="35"/>
      <c r="C1235" s="15"/>
      <c r="D1235" s="15"/>
      <c r="E1235" s="15"/>
      <c r="F1235" s="15"/>
      <c r="G1235" s="36" t="str">
        <f t="array" ref="G1235">IF($F1235="","",IFERROR(INDEX(Config!$E:$E,MATCH($F1235,Config!$D:$D,0)),0))</f>
        <v/>
      </c>
      <c r="H1235" s="16"/>
      <c r="I1235" s="36" t="str">
        <f t="shared" si="1"/>
        <v/>
      </c>
      <c r="J1235" s="16"/>
      <c r="K1235" s="15"/>
      <c r="L1235" s="15"/>
      <c r="M1235" s="36" t="str">
        <f t="array" ref="M1235">IF($A1235="","",IF($L1235="Atendido",IFERROR($I1235*INDEX(Config!$B:$B,MATCH($C1235,Config!$A:$A,0)),0),0))</f>
        <v/>
      </c>
      <c r="N1235" s="36" t="str">
        <f t="shared" si="2"/>
        <v/>
      </c>
      <c r="O1235" s="36" t="str">
        <f t="shared" si="3"/>
        <v/>
      </c>
      <c r="P1235" s="15"/>
      <c r="Q1235" s="37" t="str">
        <f t="shared" si="4"/>
        <v/>
      </c>
      <c r="R1235" s="37" t="str">
        <f t="shared" si="5"/>
        <v/>
      </c>
      <c r="S1235" s="32" t="str">
        <f t="shared" si="6"/>
        <v/>
      </c>
      <c r="T1235" s="37" t="str">
        <f t="shared" si="7"/>
        <v/>
      </c>
      <c r="U1235" s="37" t="str">
        <f t="array" ref="U1235">IF($F1235="","",IFERROR(INDEX(Config!$F:$F,MATCH($F1235,Config!$D:$D,0)),0))</f>
        <v/>
      </c>
    </row>
    <row r="1236" ht="15.0" customHeight="1">
      <c r="A1236" s="34"/>
      <c r="B1236" s="35"/>
      <c r="C1236" s="15"/>
      <c r="D1236" s="15"/>
      <c r="E1236" s="15"/>
      <c r="F1236" s="15"/>
      <c r="G1236" s="36" t="str">
        <f t="array" ref="G1236">IF($F1236="","",IFERROR(INDEX(Config!$E:$E,MATCH($F1236,Config!$D:$D,0)),0))</f>
        <v/>
      </c>
      <c r="H1236" s="16"/>
      <c r="I1236" s="36" t="str">
        <f t="shared" si="1"/>
        <v/>
      </c>
      <c r="J1236" s="16"/>
      <c r="K1236" s="15"/>
      <c r="L1236" s="15"/>
      <c r="M1236" s="36" t="str">
        <f t="array" ref="M1236">IF($A1236="","",IF($L1236="Atendido",IFERROR($I1236*INDEX(Config!$B:$B,MATCH($C1236,Config!$A:$A,0)),0),0))</f>
        <v/>
      </c>
      <c r="N1236" s="36" t="str">
        <f t="shared" si="2"/>
        <v/>
      </c>
      <c r="O1236" s="36" t="str">
        <f t="shared" si="3"/>
        <v/>
      </c>
      <c r="P1236" s="15"/>
      <c r="Q1236" s="37" t="str">
        <f t="shared" si="4"/>
        <v/>
      </c>
      <c r="R1236" s="37" t="str">
        <f t="shared" si="5"/>
        <v/>
      </c>
      <c r="S1236" s="32" t="str">
        <f t="shared" si="6"/>
        <v/>
      </c>
      <c r="T1236" s="37" t="str">
        <f t="shared" si="7"/>
        <v/>
      </c>
      <c r="U1236" s="37" t="str">
        <f t="array" ref="U1236">IF($F1236="","",IFERROR(INDEX(Config!$F:$F,MATCH($F1236,Config!$D:$D,0)),0))</f>
        <v/>
      </c>
    </row>
    <row r="1237" ht="15.0" customHeight="1">
      <c r="A1237" s="34"/>
      <c r="B1237" s="35"/>
      <c r="C1237" s="15"/>
      <c r="D1237" s="15"/>
      <c r="E1237" s="15"/>
      <c r="F1237" s="15"/>
      <c r="G1237" s="36" t="str">
        <f t="array" ref="G1237">IF($F1237="","",IFERROR(INDEX(Config!$E:$E,MATCH($F1237,Config!$D:$D,0)),0))</f>
        <v/>
      </c>
      <c r="H1237" s="16"/>
      <c r="I1237" s="36" t="str">
        <f t="shared" si="1"/>
        <v/>
      </c>
      <c r="J1237" s="16"/>
      <c r="K1237" s="15"/>
      <c r="L1237" s="15"/>
      <c r="M1237" s="36" t="str">
        <f t="array" ref="M1237">IF($A1237="","",IF($L1237="Atendido",IFERROR($I1237*INDEX(Config!$B:$B,MATCH($C1237,Config!$A:$A,0)),0),0))</f>
        <v/>
      </c>
      <c r="N1237" s="36" t="str">
        <f t="shared" si="2"/>
        <v/>
      </c>
      <c r="O1237" s="36" t="str">
        <f t="shared" si="3"/>
        <v/>
      </c>
      <c r="P1237" s="15"/>
      <c r="Q1237" s="37" t="str">
        <f t="shared" si="4"/>
        <v/>
      </c>
      <c r="R1237" s="37" t="str">
        <f t="shared" si="5"/>
        <v/>
      </c>
      <c r="S1237" s="32" t="str">
        <f t="shared" si="6"/>
        <v/>
      </c>
      <c r="T1237" s="37" t="str">
        <f t="shared" si="7"/>
        <v/>
      </c>
      <c r="U1237" s="37" t="str">
        <f t="array" ref="U1237">IF($F1237="","",IFERROR(INDEX(Config!$F:$F,MATCH($F1237,Config!$D:$D,0)),0))</f>
        <v/>
      </c>
    </row>
    <row r="1238" ht="15.0" customHeight="1">
      <c r="A1238" s="34"/>
      <c r="B1238" s="35"/>
      <c r="C1238" s="15"/>
      <c r="D1238" s="15"/>
      <c r="E1238" s="15"/>
      <c r="F1238" s="15"/>
      <c r="G1238" s="36" t="str">
        <f t="array" ref="G1238">IF($F1238="","",IFERROR(INDEX(Config!$E:$E,MATCH($F1238,Config!$D:$D,0)),0))</f>
        <v/>
      </c>
      <c r="H1238" s="16"/>
      <c r="I1238" s="36" t="str">
        <f t="shared" si="1"/>
        <v/>
      </c>
      <c r="J1238" s="16"/>
      <c r="K1238" s="15"/>
      <c r="L1238" s="15"/>
      <c r="M1238" s="36" t="str">
        <f t="array" ref="M1238">IF($A1238="","",IF($L1238="Atendido",IFERROR($I1238*INDEX(Config!$B:$B,MATCH($C1238,Config!$A:$A,0)),0),0))</f>
        <v/>
      </c>
      <c r="N1238" s="36" t="str">
        <f t="shared" si="2"/>
        <v/>
      </c>
      <c r="O1238" s="36" t="str">
        <f t="shared" si="3"/>
        <v/>
      </c>
      <c r="P1238" s="15"/>
      <c r="Q1238" s="37" t="str">
        <f t="shared" si="4"/>
        <v/>
      </c>
      <c r="R1238" s="37" t="str">
        <f t="shared" si="5"/>
        <v/>
      </c>
      <c r="S1238" s="32" t="str">
        <f t="shared" si="6"/>
        <v/>
      </c>
      <c r="T1238" s="37" t="str">
        <f t="shared" si="7"/>
        <v/>
      </c>
      <c r="U1238" s="37" t="str">
        <f t="array" ref="U1238">IF($F1238="","",IFERROR(INDEX(Config!$F:$F,MATCH($F1238,Config!$D:$D,0)),0))</f>
        <v/>
      </c>
    </row>
    <row r="1239" ht="15.0" customHeight="1">
      <c r="A1239" s="34"/>
      <c r="B1239" s="35"/>
      <c r="C1239" s="15"/>
      <c r="D1239" s="15"/>
      <c r="E1239" s="15"/>
      <c r="F1239" s="15"/>
      <c r="G1239" s="36" t="str">
        <f t="array" ref="G1239">IF($F1239="","",IFERROR(INDEX(Config!$E:$E,MATCH($F1239,Config!$D:$D,0)),0))</f>
        <v/>
      </c>
      <c r="H1239" s="16"/>
      <c r="I1239" s="36" t="str">
        <f t="shared" si="1"/>
        <v/>
      </c>
      <c r="J1239" s="16"/>
      <c r="K1239" s="15"/>
      <c r="L1239" s="15"/>
      <c r="M1239" s="36" t="str">
        <f t="array" ref="M1239">IF($A1239="","",IF($L1239="Atendido",IFERROR($I1239*INDEX(Config!$B:$B,MATCH($C1239,Config!$A:$A,0)),0),0))</f>
        <v/>
      </c>
      <c r="N1239" s="36" t="str">
        <f t="shared" si="2"/>
        <v/>
      </c>
      <c r="O1239" s="36" t="str">
        <f t="shared" si="3"/>
        <v/>
      </c>
      <c r="P1239" s="15"/>
      <c r="Q1239" s="37" t="str">
        <f t="shared" si="4"/>
        <v/>
      </c>
      <c r="R1239" s="37" t="str">
        <f t="shared" si="5"/>
        <v/>
      </c>
      <c r="S1239" s="32" t="str">
        <f t="shared" si="6"/>
        <v/>
      </c>
      <c r="T1239" s="37" t="str">
        <f t="shared" si="7"/>
        <v/>
      </c>
      <c r="U1239" s="37" t="str">
        <f t="array" ref="U1239">IF($F1239="","",IFERROR(INDEX(Config!$F:$F,MATCH($F1239,Config!$D:$D,0)),0))</f>
        <v/>
      </c>
    </row>
    <row r="1240" ht="15.0" customHeight="1">
      <c r="A1240" s="34"/>
      <c r="B1240" s="35"/>
      <c r="C1240" s="15"/>
      <c r="D1240" s="15"/>
      <c r="E1240" s="15"/>
      <c r="F1240" s="15"/>
      <c r="G1240" s="36" t="str">
        <f t="array" ref="G1240">IF($F1240="","",IFERROR(INDEX(Config!$E:$E,MATCH($F1240,Config!$D:$D,0)),0))</f>
        <v/>
      </c>
      <c r="H1240" s="16"/>
      <c r="I1240" s="36" t="str">
        <f t="shared" si="1"/>
        <v/>
      </c>
      <c r="J1240" s="16"/>
      <c r="K1240" s="15"/>
      <c r="L1240" s="15"/>
      <c r="M1240" s="36" t="str">
        <f t="array" ref="M1240">IF($A1240="","",IF($L1240="Atendido",IFERROR($I1240*INDEX(Config!$B:$B,MATCH($C1240,Config!$A:$A,0)),0),0))</f>
        <v/>
      </c>
      <c r="N1240" s="36" t="str">
        <f t="shared" si="2"/>
        <v/>
      </c>
      <c r="O1240" s="36" t="str">
        <f t="shared" si="3"/>
        <v/>
      </c>
      <c r="P1240" s="15"/>
      <c r="Q1240" s="37" t="str">
        <f t="shared" si="4"/>
        <v/>
      </c>
      <c r="R1240" s="37" t="str">
        <f t="shared" si="5"/>
        <v/>
      </c>
      <c r="S1240" s="32" t="str">
        <f t="shared" si="6"/>
        <v/>
      </c>
      <c r="T1240" s="37" t="str">
        <f t="shared" si="7"/>
        <v/>
      </c>
      <c r="U1240" s="37" t="str">
        <f t="array" ref="U1240">IF($F1240="","",IFERROR(INDEX(Config!$F:$F,MATCH($F1240,Config!$D:$D,0)),0))</f>
        <v/>
      </c>
    </row>
    <row r="1241" ht="15.0" customHeight="1">
      <c r="A1241" s="34"/>
      <c r="B1241" s="35"/>
      <c r="C1241" s="15"/>
      <c r="D1241" s="15"/>
      <c r="E1241" s="15"/>
      <c r="F1241" s="15"/>
      <c r="G1241" s="36" t="str">
        <f t="array" ref="G1241">IF($F1241="","",IFERROR(INDEX(Config!$E:$E,MATCH($F1241,Config!$D:$D,0)),0))</f>
        <v/>
      </c>
      <c r="H1241" s="16"/>
      <c r="I1241" s="36" t="str">
        <f t="shared" si="1"/>
        <v/>
      </c>
      <c r="J1241" s="16"/>
      <c r="K1241" s="15"/>
      <c r="L1241" s="15"/>
      <c r="M1241" s="36" t="str">
        <f t="array" ref="M1241">IF($A1241="","",IF($L1241="Atendido",IFERROR($I1241*INDEX(Config!$B:$B,MATCH($C1241,Config!$A:$A,0)),0),0))</f>
        <v/>
      </c>
      <c r="N1241" s="36" t="str">
        <f t="shared" si="2"/>
        <v/>
      </c>
      <c r="O1241" s="36" t="str">
        <f t="shared" si="3"/>
        <v/>
      </c>
      <c r="P1241" s="15"/>
      <c r="Q1241" s="37" t="str">
        <f t="shared" si="4"/>
        <v/>
      </c>
      <c r="R1241" s="37" t="str">
        <f t="shared" si="5"/>
        <v/>
      </c>
      <c r="S1241" s="32" t="str">
        <f t="shared" si="6"/>
        <v/>
      </c>
      <c r="T1241" s="37" t="str">
        <f t="shared" si="7"/>
        <v/>
      </c>
      <c r="U1241" s="37" t="str">
        <f t="array" ref="U1241">IF($F1241="","",IFERROR(INDEX(Config!$F:$F,MATCH($F1241,Config!$D:$D,0)),0))</f>
        <v/>
      </c>
    </row>
    <row r="1242" ht="15.0" customHeight="1">
      <c r="A1242" s="34"/>
      <c r="B1242" s="35"/>
      <c r="C1242" s="15"/>
      <c r="D1242" s="15"/>
      <c r="E1242" s="15"/>
      <c r="F1242" s="15"/>
      <c r="G1242" s="36" t="str">
        <f t="array" ref="G1242">IF($F1242="","",IFERROR(INDEX(Config!$E:$E,MATCH($F1242,Config!$D:$D,0)),0))</f>
        <v/>
      </c>
      <c r="H1242" s="16"/>
      <c r="I1242" s="36" t="str">
        <f t="shared" si="1"/>
        <v/>
      </c>
      <c r="J1242" s="16"/>
      <c r="K1242" s="15"/>
      <c r="L1242" s="15"/>
      <c r="M1242" s="36" t="str">
        <f t="array" ref="M1242">IF($A1242="","",IF($L1242="Atendido",IFERROR($I1242*INDEX(Config!$B:$B,MATCH($C1242,Config!$A:$A,0)),0),0))</f>
        <v/>
      </c>
      <c r="N1242" s="36" t="str">
        <f t="shared" si="2"/>
        <v/>
      </c>
      <c r="O1242" s="36" t="str">
        <f t="shared" si="3"/>
        <v/>
      </c>
      <c r="P1242" s="15"/>
      <c r="Q1242" s="37" t="str">
        <f t="shared" si="4"/>
        <v/>
      </c>
      <c r="R1242" s="37" t="str">
        <f t="shared" si="5"/>
        <v/>
      </c>
      <c r="S1242" s="32" t="str">
        <f t="shared" si="6"/>
        <v/>
      </c>
      <c r="T1242" s="37" t="str">
        <f t="shared" si="7"/>
        <v/>
      </c>
      <c r="U1242" s="37" t="str">
        <f t="array" ref="U1242">IF($F1242="","",IFERROR(INDEX(Config!$F:$F,MATCH($F1242,Config!$D:$D,0)),0))</f>
        <v/>
      </c>
    </row>
    <row r="1243" ht="15.0" customHeight="1">
      <c r="A1243" s="34"/>
      <c r="B1243" s="35"/>
      <c r="C1243" s="15"/>
      <c r="D1243" s="15"/>
      <c r="E1243" s="15"/>
      <c r="F1243" s="15"/>
      <c r="G1243" s="36" t="str">
        <f t="array" ref="G1243">IF($F1243="","",IFERROR(INDEX(Config!$E:$E,MATCH($F1243,Config!$D:$D,0)),0))</f>
        <v/>
      </c>
      <c r="H1243" s="16"/>
      <c r="I1243" s="36" t="str">
        <f t="shared" si="1"/>
        <v/>
      </c>
      <c r="J1243" s="16"/>
      <c r="K1243" s="15"/>
      <c r="L1243" s="15"/>
      <c r="M1243" s="36" t="str">
        <f t="array" ref="M1243">IF($A1243="","",IF($L1243="Atendido",IFERROR($I1243*INDEX(Config!$B:$B,MATCH($C1243,Config!$A:$A,0)),0),0))</f>
        <v/>
      </c>
      <c r="N1243" s="36" t="str">
        <f t="shared" si="2"/>
        <v/>
      </c>
      <c r="O1243" s="36" t="str">
        <f t="shared" si="3"/>
        <v/>
      </c>
      <c r="P1243" s="15"/>
      <c r="Q1243" s="37" t="str">
        <f t="shared" si="4"/>
        <v/>
      </c>
      <c r="R1243" s="37" t="str">
        <f t="shared" si="5"/>
        <v/>
      </c>
      <c r="S1243" s="32" t="str">
        <f t="shared" si="6"/>
        <v/>
      </c>
      <c r="T1243" s="37" t="str">
        <f t="shared" si="7"/>
        <v/>
      </c>
      <c r="U1243" s="37" t="str">
        <f t="array" ref="U1243">IF($F1243="","",IFERROR(INDEX(Config!$F:$F,MATCH($F1243,Config!$D:$D,0)),0))</f>
        <v/>
      </c>
    </row>
    <row r="1244" ht="15.0" customHeight="1">
      <c r="A1244" s="34"/>
      <c r="B1244" s="35"/>
      <c r="C1244" s="15"/>
      <c r="D1244" s="15"/>
      <c r="E1244" s="15"/>
      <c r="F1244" s="15"/>
      <c r="G1244" s="36" t="str">
        <f t="array" ref="G1244">IF($F1244="","",IFERROR(INDEX(Config!$E:$E,MATCH($F1244,Config!$D:$D,0)),0))</f>
        <v/>
      </c>
      <c r="H1244" s="16"/>
      <c r="I1244" s="36" t="str">
        <f t="shared" si="1"/>
        <v/>
      </c>
      <c r="J1244" s="16"/>
      <c r="K1244" s="15"/>
      <c r="L1244" s="15"/>
      <c r="M1244" s="36" t="str">
        <f t="array" ref="M1244">IF($A1244="","",IF($L1244="Atendido",IFERROR($I1244*INDEX(Config!$B:$B,MATCH($C1244,Config!$A:$A,0)),0),0))</f>
        <v/>
      </c>
      <c r="N1244" s="36" t="str">
        <f t="shared" si="2"/>
        <v/>
      </c>
      <c r="O1244" s="36" t="str">
        <f t="shared" si="3"/>
        <v/>
      </c>
      <c r="P1244" s="15"/>
      <c r="Q1244" s="37" t="str">
        <f t="shared" si="4"/>
        <v/>
      </c>
      <c r="R1244" s="37" t="str">
        <f t="shared" si="5"/>
        <v/>
      </c>
      <c r="S1244" s="32" t="str">
        <f t="shared" si="6"/>
        <v/>
      </c>
      <c r="T1244" s="37" t="str">
        <f t="shared" si="7"/>
        <v/>
      </c>
      <c r="U1244" s="37" t="str">
        <f t="array" ref="U1244">IF($F1244="","",IFERROR(INDEX(Config!$F:$F,MATCH($F1244,Config!$D:$D,0)),0))</f>
        <v/>
      </c>
    </row>
    <row r="1245" ht="15.0" customHeight="1">
      <c r="A1245" s="34"/>
      <c r="B1245" s="35"/>
      <c r="C1245" s="15"/>
      <c r="D1245" s="15"/>
      <c r="E1245" s="15"/>
      <c r="F1245" s="15"/>
      <c r="G1245" s="36" t="str">
        <f t="array" ref="G1245">IF($F1245="","",IFERROR(INDEX(Config!$E:$E,MATCH($F1245,Config!$D:$D,0)),0))</f>
        <v/>
      </c>
      <c r="H1245" s="16"/>
      <c r="I1245" s="36" t="str">
        <f t="shared" si="1"/>
        <v/>
      </c>
      <c r="J1245" s="16"/>
      <c r="K1245" s="15"/>
      <c r="L1245" s="15"/>
      <c r="M1245" s="36" t="str">
        <f t="array" ref="M1245">IF($A1245="","",IF($L1245="Atendido",IFERROR($I1245*INDEX(Config!$B:$B,MATCH($C1245,Config!$A:$A,0)),0),0))</f>
        <v/>
      </c>
      <c r="N1245" s="36" t="str">
        <f t="shared" si="2"/>
        <v/>
      </c>
      <c r="O1245" s="36" t="str">
        <f t="shared" si="3"/>
        <v/>
      </c>
      <c r="P1245" s="15"/>
      <c r="Q1245" s="37" t="str">
        <f t="shared" si="4"/>
        <v/>
      </c>
      <c r="R1245" s="37" t="str">
        <f t="shared" si="5"/>
        <v/>
      </c>
      <c r="S1245" s="32" t="str">
        <f t="shared" si="6"/>
        <v/>
      </c>
      <c r="T1245" s="37" t="str">
        <f t="shared" si="7"/>
        <v/>
      </c>
      <c r="U1245" s="37" t="str">
        <f t="array" ref="U1245">IF($F1245="","",IFERROR(INDEX(Config!$F:$F,MATCH($F1245,Config!$D:$D,0)),0))</f>
        <v/>
      </c>
    </row>
    <row r="1246" ht="15.0" customHeight="1">
      <c r="A1246" s="34"/>
      <c r="B1246" s="35"/>
      <c r="C1246" s="15"/>
      <c r="D1246" s="15"/>
      <c r="E1246" s="15"/>
      <c r="F1246" s="15"/>
      <c r="G1246" s="36" t="str">
        <f t="array" ref="G1246">IF($F1246="","",IFERROR(INDEX(Config!$E:$E,MATCH($F1246,Config!$D:$D,0)),0))</f>
        <v/>
      </c>
      <c r="H1246" s="16"/>
      <c r="I1246" s="36" t="str">
        <f t="shared" si="1"/>
        <v/>
      </c>
      <c r="J1246" s="16"/>
      <c r="K1246" s="15"/>
      <c r="L1246" s="15"/>
      <c r="M1246" s="36" t="str">
        <f t="array" ref="M1246">IF($A1246="","",IF($L1246="Atendido",IFERROR($I1246*INDEX(Config!$B:$B,MATCH($C1246,Config!$A:$A,0)),0),0))</f>
        <v/>
      </c>
      <c r="N1246" s="36" t="str">
        <f t="shared" si="2"/>
        <v/>
      </c>
      <c r="O1246" s="36" t="str">
        <f t="shared" si="3"/>
        <v/>
      </c>
      <c r="P1246" s="15"/>
      <c r="Q1246" s="37" t="str">
        <f t="shared" si="4"/>
        <v/>
      </c>
      <c r="R1246" s="37" t="str">
        <f t="shared" si="5"/>
        <v/>
      </c>
      <c r="S1246" s="32" t="str">
        <f t="shared" si="6"/>
        <v/>
      </c>
      <c r="T1246" s="37" t="str">
        <f t="shared" si="7"/>
        <v/>
      </c>
      <c r="U1246" s="37" t="str">
        <f t="array" ref="U1246">IF($F1246="","",IFERROR(INDEX(Config!$F:$F,MATCH($F1246,Config!$D:$D,0)),0))</f>
        <v/>
      </c>
    </row>
    <row r="1247" ht="15.0" customHeight="1">
      <c r="A1247" s="34"/>
      <c r="B1247" s="35"/>
      <c r="C1247" s="15"/>
      <c r="D1247" s="15"/>
      <c r="E1247" s="15"/>
      <c r="F1247" s="15"/>
      <c r="G1247" s="36" t="str">
        <f t="array" ref="G1247">IF($F1247="","",IFERROR(INDEX(Config!$E:$E,MATCH($F1247,Config!$D:$D,0)),0))</f>
        <v/>
      </c>
      <c r="H1247" s="16"/>
      <c r="I1247" s="36" t="str">
        <f t="shared" si="1"/>
        <v/>
      </c>
      <c r="J1247" s="16"/>
      <c r="K1247" s="15"/>
      <c r="L1247" s="15"/>
      <c r="M1247" s="36" t="str">
        <f t="array" ref="M1247">IF($A1247="","",IF($L1247="Atendido",IFERROR($I1247*INDEX(Config!$B:$B,MATCH($C1247,Config!$A:$A,0)),0),0))</f>
        <v/>
      </c>
      <c r="N1247" s="36" t="str">
        <f t="shared" si="2"/>
        <v/>
      </c>
      <c r="O1247" s="36" t="str">
        <f t="shared" si="3"/>
        <v/>
      </c>
      <c r="P1247" s="15"/>
      <c r="Q1247" s="37" t="str">
        <f t="shared" si="4"/>
        <v/>
      </c>
      <c r="R1247" s="37" t="str">
        <f t="shared" si="5"/>
        <v/>
      </c>
      <c r="S1247" s="32" t="str">
        <f t="shared" si="6"/>
        <v/>
      </c>
      <c r="T1247" s="37" t="str">
        <f t="shared" si="7"/>
        <v/>
      </c>
      <c r="U1247" s="37" t="str">
        <f t="array" ref="U1247">IF($F1247="","",IFERROR(INDEX(Config!$F:$F,MATCH($F1247,Config!$D:$D,0)),0))</f>
        <v/>
      </c>
    </row>
    <row r="1248" ht="15.0" customHeight="1">
      <c r="A1248" s="34"/>
      <c r="B1248" s="35"/>
      <c r="C1248" s="15"/>
      <c r="D1248" s="15"/>
      <c r="E1248" s="15"/>
      <c r="F1248" s="15"/>
      <c r="G1248" s="36" t="str">
        <f t="array" ref="G1248">IF($F1248="","",IFERROR(INDEX(Config!$E:$E,MATCH($F1248,Config!$D:$D,0)),0))</f>
        <v/>
      </c>
      <c r="H1248" s="16"/>
      <c r="I1248" s="36" t="str">
        <f t="shared" si="1"/>
        <v/>
      </c>
      <c r="J1248" s="16"/>
      <c r="K1248" s="15"/>
      <c r="L1248" s="15"/>
      <c r="M1248" s="36" t="str">
        <f t="array" ref="M1248">IF($A1248="","",IF($L1248="Atendido",IFERROR($I1248*INDEX(Config!$B:$B,MATCH($C1248,Config!$A:$A,0)),0),0))</f>
        <v/>
      </c>
      <c r="N1248" s="36" t="str">
        <f t="shared" si="2"/>
        <v/>
      </c>
      <c r="O1248" s="36" t="str">
        <f t="shared" si="3"/>
        <v/>
      </c>
      <c r="P1248" s="15"/>
      <c r="Q1248" s="37" t="str">
        <f t="shared" si="4"/>
        <v/>
      </c>
      <c r="R1248" s="37" t="str">
        <f t="shared" si="5"/>
        <v/>
      </c>
      <c r="S1248" s="32" t="str">
        <f t="shared" si="6"/>
        <v/>
      </c>
      <c r="T1248" s="37" t="str">
        <f t="shared" si="7"/>
        <v/>
      </c>
      <c r="U1248" s="37" t="str">
        <f t="array" ref="U1248">IF($F1248="","",IFERROR(INDEX(Config!$F:$F,MATCH($F1248,Config!$D:$D,0)),0))</f>
        <v/>
      </c>
    </row>
    <row r="1249" ht="15.0" customHeight="1">
      <c r="A1249" s="34"/>
      <c r="B1249" s="35"/>
      <c r="C1249" s="15"/>
      <c r="D1249" s="15"/>
      <c r="E1249" s="15"/>
      <c r="F1249" s="15"/>
      <c r="G1249" s="36" t="str">
        <f t="array" ref="G1249">IF($F1249="","",IFERROR(INDEX(Config!$E:$E,MATCH($F1249,Config!$D:$D,0)),0))</f>
        <v/>
      </c>
      <c r="H1249" s="16"/>
      <c r="I1249" s="36" t="str">
        <f t="shared" si="1"/>
        <v/>
      </c>
      <c r="J1249" s="16"/>
      <c r="K1249" s="15"/>
      <c r="L1249" s="15"/>
      <c r="M1249" s="36" t="str">
        <f t="array" ref="M1249">IF($A1249="","",IF($L1249="Atendido",IFERROR($I1249*INDEX(Config!$B:$B,MATCH($C1249,Config!$A:$A,0)),0),0))</f>
        <v/>
      </c>
      <c r="N1249" s="36" t="str">
        <f t="shared" si="2"/>
        <v/>
      </c>
      <c r="O1249" s="36" t="str">
        <f t="shared" si="3"/>
        <v/>
      </c>
      <c r="P1249" s="15"/>
      <c r="Q1249" s="37" t="str">
        <f t="shared" si="4"/>
        <v/>
      </c>
      <c r="R1249" s="37" t="str">
        <f t="shared" si="5"/>
        <v/>
      </c>
      <c r="S1249" s="32" t="str">
        <f t="shared" si="6"/>
        <v/>
      </c>
      <c r="T1249" s="37" t="str">
        <f t="shared" si="7"/>
        <v/>
      </c>
      <c r="U1249" s="37" t="str">
        <f t="array" ref="U1249">IF($F1249="","",IFERROR(INDEX(Config!$F:$F,MATCH($F1249,Config!$D:$D,0)),0))</f>
        <v/>
      </c>
    </row>
    <row r="1250" ht="15.0" customHeight="1">
      <c r="A1250" s="34"/>
      <c r="B1250" s="35"/>
      <c r="C1250" s="15"/>
      <c r="D1250" s="15"/>
      <c r="E1250" s="15"/>
      <c r="F1250" s="15"/>
      <c r="G1250" s="36" t="str">
        <f t="array" ref="G1250">IF($F1250="","",IFERROR(INDEX(Config!$E:$E,MATCH($F1250,Config!$D:$D,0)),0))</f>
        <v/>
      </c>
      <c r="H1250" s="16"/>
      <c r="I1250" s="36" t="str">
        <f t="shared" si="1"/>
        <v/>
      </c>
      <c r="J1250" s="16"/>
      <c r="K1250" s="15"/>
      <c r="L1250" s="15"/>
      <c r="M1250" s="36" t="str">
        <f t="array" ref="M1250">IF($A1250="","",IF($L1250="Atendido",IFERROR($I1250*INDEX(Config!$B:$B,MATCH($C1250,Config!$A:$A,0)),0),0))</f>
        <v/>
      </c>
      <c r="N1250" s="36" t="str">
        <f t="shared" si="2"/>
        <v/>
      </c>
      <c r="O1250" s="36" t="str">
        <f t="shared" si="3"/>
        <v/>
      </c>
      <c r="P1250" s="15"/>
      <c r="Q1250" s="37" t="str">
        <f t="shared" si="4"/>
        <v/>
      </c>
      <c r="R1250" s="37" t="str">
        <f t="shared" si="5"/>
        <v/>
      </c>
      <c r="S1250" s="32" t="str">
        <f t="shared" si="6"/>
        <v/>
      </c>
      <c r="T1250" s="37" t="str">
        <f t="shared" si="7"/>
        <v/>
      </c>
      <c r="U1250" s="37" t="str">
        <f t="array" ref="U1250">IF($F1250="","",IFERROR(INDEX(Config!$F:$F,MATCH($F1250,Config!$D:$D,0)),0))</f>
        <v/>
      </c>
    </row>
    <row r="1251" ht="15.0" customHeight="1">
      <c r="A1251" s="34"/>
      <c r="B1251" s="35"/>
      <c r="C1251" s="15"/>
      <c r="D1251" s="15"/>
      <c r="E1251" s="15"/>
      <c r="F1251" s="15"/>
      <c r="G1251" s="36" t="str">
        <f t="array" ref="G1251">IF($F1251="","",IFERROR(INDEX(Config!$E:$E,MATCH($F1251,Config!$D:$D,0)),0))</f>
        <v/>
      </c>
      <c r="H1251" s="16"/>
      <c r="I1251" s="36" t="str">
        <f t="shared" si="1"/>
        <v/>
      </c>
      <c r="J1251" s="16"/>
      <c r="K1251" s="15"/>
      <c r="L1251" s="15"/>
      <c r="M1251" s="36" t="str">
        <f t="array" ref="M1251">IF($A1251="","",IF($L1251="Atendido",IFERROR($I1251*INDEX(Config!$B:$B,MATCH($C1251,Config!$A:$A,0)),0),0))</f>
        <v/>
      </c>
      <c r="N1251" s="36" t="str">
        <f t="shared" si="2"/>
        <v/>
      </c>
      <c r="O1251" s="36" t="str">
        <f t="shared" si="3"/>
        <v/>
      </c>
      <c r="P1251" s="15"/>
      <c r="Q1251" s="37" t="str">
        <f t="shared" si="4"/>
        <v/>
      </c>
      <c r="R1251" s="37" t="str">
        <f t="shared" si="5"/>
        <v/>
      </c>
      <c r="S1251" s="32" t="str">
        <f t="shared" si="6"/>
        <v/>
      </c>
      <c r="T1251" s="37" t="str">
        <f t="shared" si="7"/>
        <v/>
      </c>
      <c r="U1251" s="37" t="str">
        <f t="array" ref="U1251">IF($F1251="","",IFERROR(INDEX(Config!$F:$F,MATCH($F1251,Config!$D:$D,0)),0))</f>
        <v/>
      </c>
    </row>
    <row r="1252" ht="15.0" customHeight="1">
      <c r="A1252" s="34"/>
      <c r="B1252" s="35"/>
      <c r="C1252" s="15"/>
      <c r="D1252" s="15"/>
      <c r="E1252" s="15"/>
      <c r="F1252" s="15"/>
      <c r="G1252" s="36" t="str">
        <f t="array" ref="G1252">IF($F1252="","",IFERROR(INDEX(Config!$E:$E,MATCH($F1252,Config!$D:$D,0)),0))</f>
        <v/>
      </c>
      <c r="H1252" s="16"/>
      <c r="I1252" s="36" t="str">
        <f t="shared" si="1"/>
        <v/>
      </c>
      <c r="J1252" s="16"/>
      <c r="K1252" s="15"/>
      <c r="L1252" s="15"/>
      <c r="M1252" s="36" t="str">
        <f t="array" ref="M1252">IF($A1252="","",IF($L1252="Atendido",IFERROR($I1252*INDEX(Config!$B:$B,MATCH($C1252,Config!$A:$A,0)),0),0))</f>
        <v/>
      </c>
      <c r="N1252" s="36" t="str">
        <f t="shared" si="2"/>
        <v/>
      </c>
      <c r="O1252" s="36" t="str">
        <f t="shared" si="3"/>
        <v/>
      </c>
      <c r="P1252" s="15"/>
      <c r="Q1252" s="37" t="str">
        <f t="shared" si="4"/>
        <v/>
      </c>
      <c r="R1252" s="37" t="str">
        <f t="shared" si="5"/>
        <v/>
      </c>
      <c r="S1252" s="32" t="str">
        <f t="shared" si="6"/>
        <v/>
      </c>
      <c r="T1252" s="37" t="str">
        <f t="shared" si="7"/>
        <v/>
      </c>
      <c r="U1252" s="37" t="str">
        <f t="array" ref="U1252">IF($F1252="","",IFERROR(INDEX(Config!$F:$F,MATCH($F1252,Config!$D:$D,0)),0))</f>
        <v/>
      </c>
    </row>
    <row r="1253" ht="15.0" customHeight="1">
      <c r="A1253" s="34"/>
      <c r="B1253" s="35"/>
      <c r="C1253" s="15"/>
      <c r="D1253" s="15"/>
      <c r="E1253" s="15"/>
      <c r="F1253" s="15"/>
      <c r="G1253" s="36" t="str">
        <f t="array" ref="G1253">IF($F1253="","",IFERROR(INDEX(Config!$E:$E,MATCH($F1253,Config!$D:$D,0)),0))</f>
        <v/>
      </c>
      <c r="H1253" s="16"/>
      <c r="I1253" s="36" t="str">
        <f t="shared" si="1"/>
        <v/>
      </c>
      <c r="J1253" s="16"/>
      <c r="K1253" s="15"/>
      <c r="L1253" s="15"/>
      <c r="M1253" s="36" t="str">
        <f t="array" ref="M1253">IF($A1253="","",IF($L1253="Atendido",IFERROR($I1253*INDEX(Config!$B:$B,MATCH($C1253,Config!$A:$A,0)),0),0))</f>
        <v/>
      </c>
      <c r="N1253" s="36" t="str">
        <f t="shared" si="2"/>
        <v/>
      </c>
      <c r="O1253" s="36" t="str">
        <f t="shared" si="3"/>
        <v/>
      </c>
      <c r="P1253" s="15"/>
      <c r="Q1253" s="37" t="str">
        <f t="shared" si="4"/>
        <v/>
      </c>
      <c r="R1253" s="37" t="str">
        <f t="shared" si="5"/>
        <v/>
      </c>
      <c r="S1253" s="32" t="str">
        <f t="shared" si="6"/>
        <v/>
      </c>
      <c r="T1253" s="37" t="str">
        <f t="shared" si="7"/>
        <v/>
      </c>
      <c r="U1253" s="37" t="str">
        <f t="array" ref="U1253">IF($F1253="","",IFERROR(INDEX(Config!$F:$F,MATCH($F1253,Config!$D:$D,0)),0))</f>
        <v/>
      </c>
    </row>
    <row r="1254" ht="15.0" customHeight="1">
      <c r="A1254" s="34"/>
      <c r="B1254" s="35"/>
      <c r="C1254" s="15"/>
      <c r="D1254" s="15"/>
      <c r="E1254" s="15"/>
      <c r="F1254" s="15"/>
      <c r="G1254" s="36" t="str">
        <f t="array" ref="G1254">IF($F1254="","",IFERROR(INDEX(Config!$E:$E,MATCH($F1254,Config!$D:$D,0)),0))</f>
        <v/>
      </c>
      <c r="H1254" s="16"/>
      <c r="I1254" s="36" t="str">
        <f t="shared" si="1"/>
        <v/>
      </c>
      <c r="J1254" s="16"/>
      <c r="K1254" s="15"/>
      <c r="L1254" s="15"/>
      <c r="M1254" s="36" t="str">
        <f t="array" ref="M1254">IF($A1254="","",IF($L1254="Atendido",IFERROR($I1254*INDEX(Config!$B:$B,MATCH($C1254,Config!$A:$A,0)),0),0))</f>
        <v/>
      </c>
      <c r="N1254" s="36" t="str">
        <f t="shared" si="2"/>
        <v/>
      </c>
      <c r="O1254" s="36" t="str">
        <f t="shared" si="3"/>
        <v/>
      </c>
      <c r="P1254" s="15"/>
      <c r="Q1254" s="37" t="str">
        <f t="shared" si="4"/>
        <v/>
      </c>
      <c r="R1254" s="37" t="str">
        <f t="shared" si="5"/>
        <v/>
      </c>
      <c r="S1254" s="32" t="str">
        <f t="shared" si="6"/>
        <v/>
      </c>
      <c r="T1254" s="37" t="str">
        <f t="shared" si="7"/>
        <v/>
      </c>
      <c r="U1254" s="37" t="str">
        <f t="array" ref="U1254">IF($F1254="","",IFERROR(INDEX(Config!$F:$F,MATCH($F1254,Config!$D:$D,0)),0))</f>
        <v/>
      </c>
    </row>
    <row r="1255" ht="15.0" customHeight="1">
      <c r="A1255" s="34"/>
      <c r="B1255" s="35"/>
      <c r="C1255" s="15"/>
      <c r="D1255" s="15"/>
      <c r="E1255" s="15"/>
      <c r="F1255" s="15"/>
      <c r="G1255" s="36" t="str">
        <f t="array" ref="G1255">IF($F1255="","",IFERROR(INDEX(Config!$E:$E,MATCH($F1255,Config!$D:$D,0)),0))</f>
        <v/>
      </c>
      <c r="H1255" s="16"/>
      <c r="I1255" s="36" t="str">
        <f t="shared" si="1"/>
        <v/>
      </c>
      <c r="J1255" s="16"/>
      <c r="K1255" s="15"/>
      <c r="L1255" s="15"/>
      <c r="M1255" s="36" t="str">
        <f t="array" ref="M1255">IF($A1255="","",IF($L1255="Atendido",IFERROR($I1255*INDEX(Config!$B:$B,MATCH($C1255,Config!$A:$A,0)),0),0))</f>
        <v/>
      </c>
      <c r="N1255" s="36" t="str">
        <f t="shared" si="2"/>
        <v/>
      </c>
      <c r="O1255" s="36" t="str">
        <f t="shared" si="3"/>
        <v/>
      </c>
      <c r="P1255" s="15"/>
      <c r="Q1255" s="37" t="str">
        <f t="shared" si="4"/>
        <v/>
      </c>
      <c r="R1255" s="37" t="str">
        <f t="shared" si="5"/>
        <v/>
      </c>
      <c r="S1255" s="32" t="str">
        <f t="shared" si="6"/>
        <v/>
      </c>
      <c r="T1255" s="37" t="str">
        <f t="shared" si="7"/>
        <v/>
      </c>
      <c r="U1255" s="37" t="str">
        <f t="array" ref="U1255">IF($F1255="","",IFERROR(INDEX(Config!$F:$F,MATCH($F1255,Config!$D:$D,0)),0))</f>
        <v/>
      </c>
    </row>
    <row r="1256" ht="15.0" customHeight="1">
      <c r="A1256" s="34"/>
      <c r="B1256" s="35"/>
      <c r="C1256" s="15"/>
      <c r="D1256" s="15"/>
      <c r="E1256" s="15"/>
      <c r="F1256" s="15"/>
      <c r="G1256" s="36" t="str">
        <f t="array" ref="G1256">IF($F1256="","",IFERROR(INDEX(Config!$E:$E,MATCH($F1256,Config!$D:$D,0)),0))</f>
        <v/>
      </c>
      <c r="H1256" s="16"/>
      <c r="I1256" s="36" t="str">
        <f t="shared" si="1"/>
        <v/>
      </c>
      <c r="J1256" s="16"/>
      <c r="K1256" s="15"/>
      <c r="L1256" s="15"/>
      <c r="M1256" s="36" t="str">
        <f t="array" ref="M1256">IF($A1256="","",IF($L1256="Atendido",IFERROR($I1256*INDEX(Config!$B:$B,MATCH($C1256,Config!$A:$A,0)),0),0))</f>
        <v/>
      </c>
      <c r="N1256" s="36" t="str">
        <f t="shared" si="2"/>
        <v/>
      </c>
      <c r="O1256" s="36" t="str">
        <f t="shared" si="3"/>
        <v/>
      </c>
      <c r="P1256" s="15"/>
      <c r="Q1256" s="37" t="str">
        <f t="shared" si="4"/>
        <v/>
      </c>
      <c r="R1256" s="37" t="str">
        <f t="shared" si="5"/>
        <v/>
      </c>
      <c r="S1256" s="32" t="str">
        <f t="shared" si="6"/>
        <v/>
      </c>
      <c r="T1256" s="37" t="str">
        <f t="shared" si="7"/>
        <v/>
      </c>
      <c r="U1256" s="37" t="str">
        <f t="array" ref="U1256">IF($F1256="","",IFERROR(INDEX(Config!$F:$F,MATCH($F1256,Config!$D:$D,0)),0))</f>
        <v/>
      </c>
    </row>
    <row r="1257" ht="15.0" customHeight="1">
      <c r="A1257" s="34"/>
      <c r="B1257" s="35"/>
      <c r="C1257" s="15"/>
      <c r="D1257" s="15"/>
      <c r="E1257" s="15"/>
      <c r="F1257" s="15"/>
      <c r="G1257" s="36" t="str">
        <f t="array" ref="G1257">IF($F1257="","",IFERROR(INDEX(Config!$E:$E,MATCH($F1257,Config!$D:$D,0)),0))</f>
        <v/>
      </c>
      <c r="H1257" s="16"/>
      <c r="I1257" s="36" t="str">
        <f t="shared" si="1"/>
        <v/>
      </c>
      <c r="J1257" s="16"/>
      <c r="K1257" s="15"/>
      <c r="L1257" s="15"/>
      <c r="M1257" s="36" t="str">
        <f t="array" ref="M1257">IF($A1257="","",IF($L1257="Atendido",IFERROR($I1257*INDEX(Config!$B:$B,MATCH($C1257,Config!$A:$A,0)),0),0))</f>
        <v/>
      </c>
      <c r="N1257" s="36" t="str">
        <f t="shared" si="2"/>
        <v/>
      </c>
      <c r="O1257" s="36" t="str">
        <f t="shared" si="3"/>
        <v/>
      </c>
      <c r="P1257" s="15"/>
      <c r="Q1257" s="37" t="str">
        <f t="shared" si="4"/>
        <v/>
      </c>
      <c r="R1257" s="37" t="str">
        <f t="shared" si="5"/>
        <v/>
      </c>
      <c r="S1257" s="32" t="str">
        <f t="shared" si="6"/>
        <v/>
      </c>
      <c r="T1257" s="37" t="str">
        <f t="shared" si="7"/>
        <v/>
      </c>
      <c r="U1257" s="37" t="str">
        <f t="array" ref="U1257">IF($F1257="","",IFERROR(INDEX(Config!$F:$F,MATCH($F1257,Config!$D:$D,0)),0))</f>
        <v/>
      </c>
    </row>
    <row r="1258" ht="15.0" customHeight="1">
      <c r="A1258" s="34"/>
      <c r="B1258" s="35"/>
      <c r="C1258" s="15"/>
      <c r="D1258" s="15"/>
      <c r="E1258" s="15"/>
      <c r="F1258" s="15"/>
      <c r="G1258" s="36" t="str">
        <f t="array" ref="G1258">IF($F1258="","",IFERROR(INDEX(Config!$E:$E,MATCH($F1258,Config!$D:$D,0)),0))</f>
        <v/>
      </c>
      <c r="H1258" s="16"/>
      <c r="I1258" s="36" t="str">
        <f t="shared" si="1"/>
        <v/>
      </c>
      <c r="J1258" s="16"/>
      <c r="K1258" s="15"/>
      <c r="L1258" s="15"/>
      <c r="M1258" s="36" t="str">
        <f t="array" ref="M1258">IF($A1258="","",IF($L1258="Atendido",IFERROR($I1258*INDEX(Config!$B:$B,MATCH($C1258,Config!$A:$A,0)),0),0))</f>
        <v/>
      </c>
      <c r="N1258" s="36" t="str">
        <f t="shared" si="2"/>
        <v/>
      </c>
      <c r="O1258" s="36" t="str">
        <f t="shared" si="3"/>
        <v/>
      </c>
      <c r="P1258" s="15"/>
      <c r="Q1258" s="37" t="str">
        <f t="shared" si="4"/>
        <v/>
      </c>
      <c r="R1258" s="37" t="str">
        <f t="shared" si="5"/>
        <v/>
      </c>
      <c r="S1258" s="32" t="str">
        <f t="shared" si="6"/>
        <v/>
      </c>
      <c r="T1258" s="37" t="str">
        <f t="shared" si="7"/>
        <v/>
      </c>
      <c r="U1258" s="37" t="str">
        <f t="array" ref="U1258">IF($F1258="","",IFERROR(INDEX(Config!$F:$F,MATCH($F1258,Config!$D:$D,0)),0))</f>
        <v/>
      </c>
    </row>
    <row r="1259" ht="15.0" customHeight="1">
      <c r="A1259" s="34"/>
      <c r="B1259" s="35"/>
      <c r="C1259" s="15"/>
      <c r="D1259" s="15"/>
      <c r="E1259" s="15"/>
      <c r="F1259" s="15"/>
      <c r="G1259" s="36" t="str">
        <f t="array" ref="G1259">IF($F1259="","",IFERROR(INDEX(Config!$E:$E,MATCH($F1259,Config!$D:$D,0)),0))</f>
        <v/>
      </c>
      <c r="H1259" s="16"/>
      <c r="I1259" s="36" t="str">
        <f t="shared" si="1"/>
        <v/>
      </c>
      <c r="J1259" s="16"/>
      <c r="K1259" s="15"/>
      <c r="L1259" s="15"/>
      <c r="M1259" s="36" t="str">
        <f t="array" ref="M1259">IF($A1259="","",IF($L1259="Atendido",IFERROR($I1259*INDEX(Config!$B:$B,MATCH($C1259,Config!$A:$A,0)),0),0))</f>
        <v/>
      </c>
      <c r="N1259" s="36" t="str">
        <f t="shared" si="2"/>
        <v/>
      </c>
      <c r="O1259" s="36" t="str">
        <f t="shared" si="3"/>
        <v/>
      </c>
      <c r="P1259" s="15"/>
      <c r="Q1259" s="37" t="str">
        <f t="shared" si="4"/>
        <v/>
      </c>
      <c r="R1259" s="37" t="str">
        <f t="shared" si="5"/>
        <v/>
      </c>
      <c r="S1259" s="32" t="str">
        <f t="shared" si="6"/>
        <v/>
      </c>
      <c r="T1259" s="37" t="str">
        <f t="shared" si="7"/>
        <v/>
      </c>
      <c r="U1259" s="37" t="str">
        <f t="array" ref="U1259">IF($F1259="","",IFERROR(INDEX(Config!$F:$F,MATCH($F1259,Config!$D:$D,0)),0))</f>
        <v/>
      </c>
    </row>
    <row r="1260" ht="15.0" customHeight="1">
      <c r="A1260" s="34"/>
      <c r="B1260" s="35"/>
      <c r="C1260" s="15"/>
      <c r="D1260" s="15"/>
      <c r="E1260" s="15"/>
      <c r="F1260" s="15"/>
      <c r="G1260" s="36" t="str">
        <f t="array" ref="G1260">IF($F1260="","",IFERROR(INDEX(Config!$E:$E,MATCH($F1260,Config!$D:$D,0)),0))</f>
        <v/>
      </c>
      <c r="H1260" s="16"/>
      <c r="I1260" s="36" t="str">
        <f t="shared" si="1"/>
        <v/>
      </c>
      <c r="J1260" s="16"/>
      <c r="K1260" s="15"/>
      <c r="L1260" s="15"/>
      <c r="M1260" s="36" t="str">
        <f t="array" ref="M1260">IF($A1260="","",IF($L1260="Atendido",IFERROR($I1260*INDEX(Config!$B:$B,MATCH($C1260,Config!$A:$A,0)),0),0))</f>
        <v/>
      </c>
      <c r="N1260" s="36" t="str">
        <f t="shared" si="2"/>
        <v/>
      </c>
      <c r="O1260" s="36" t="str">
        <f t="shared" si="3"/>
        <v/>
      </c>
      <c r="P1260" s="15"/>
      <c r="Q1260" s="37" t="str">
        <f t="shared" si="4"/>
        <v/>
      </c>
      <c r="R1260" s="37" t="str">
        <f t="shared" si="5"/>
        <v/>
      </c>
      <c r="S1260" s="32" t="str">
        <f t="shared" si="6"/>
        <v/>
      </c>
      <c r="T1260" s="37" t="str">
        <f t="shared" si="7"/>
        <v/>
      </c>
      <c r="U1260" s="37" t="str">
        <f t="array" ref="U1260">IF($F1260="","",IFERROR(INDEX(Config!$F:$F,MATCH($F1260,Config!$D:$D,0)),0))</f>
        <v/>
      </c>
    </row>
    <row r="1261" ht="15.0" customHeight="1">
      <c r="A1261" s="34"/>
      <c r="B1261" s="35"/>
      <c r="C1261" s="15"/>
      <c r="D1261" s="15"/>
      <c r="E1261" s="15"/>
      <c r="F1261" s="15"/>
      <c r="G1261" s="36" t="str">
        <f t="array" ref="G1261">IF($F1261="","",IFERROR(INDEX(Config!$E:$E,MATCH($F1261,Config!$D:$D,0)),0))</f>
        <v/>
      </c>
      <c r="H1261" s="16"/>
      <c r="I1261" s="36" t="str">
        <f t="shared" si="1"/>
        <v/>
      </c>
      <c r="J1261" s="16"/>
      <c r="K1261" s="15"/>
      <c r="L1261" s="15"/>
      <c r="M1261" s="36" t="str">
        <f t="array" ref="M1261">IF($A1261="","",IF($L1261="Atendido",IFERROR($I1261*INDEX(Config!$B:$B,MATCH($C1261,Config!$A:$A,0)),0),0))</f>
        <v/>
      </c>
      <c r="N1261" s="36" t="str">
        <f t="shared" si="2"/>
        <v/>
      </c>
      <c r="O1261" s="36" t="str">
        <f t="shared" si="3"/>
        <v/>
      </c>
      <c r="P1261" s="15"/>
      <c r="Q1261" s="37" t="str">
        <f t="shared" si="4"/>
        <v/>
      </c>
      <c r="R1261" s="37" t="str">
        <f t="shared" si="5"/>
        <v/>
      </c>
      <c r="S1261" s="32" t="str">
        <f t="shared" si="6"/>
        <v/>
      </c>
      <c r="T1261" s="37" t="str">
        <f t="shared" si="7"/>
        <v/>
      </c>
      <c r="U1261" s="37" t="str">
        <f t="array" ref="U1261">IF($F1261="","",IFERROR(INDEX(Config!$F:$F,MATCH($F1261,Config!$D:$D,0)),0))</f>
        <v/>
      </c>
    </row>
    <row r="1262" ht="15.0" customHeight="1">
      <c r="A1262" s="34"/>
      <c r="B1262" s="35"/>
      <c r="C1262" s="15"/>
      <c r="D1262" s="15"/>
      <c r="E1262" s="15"/>
      <c r="F1262" s="15"/>
      <c r="G1262" s="36" t="str">
        <f t="array" ref="G1262">IF($F1262="","",IFERROR(INDEX(Config!$E:$E,MATCH($F1262,Config!$D:$D,0)),0))</f>
        <v/>
      </c>
      <c r="H1262" s="16"/>
      <c r="I1262" s="36" t="str">
        <f t="shared" si="1"/>
        <v/>
      </c>
      <c r="J1262" s="16"/>
      <c r="K1262" s="15"/>
      <c r="L1262" s="15"/>
      <c r="M1262" s="36" t="str">
        <f t="array" ref="M1262">IF($A1262="","",IF($L1262="Atendido",IFERROR($I1262*INDEX(Config!$B:$B,MATCH($C1262,Config!$A:$A,0)),0),0))</f>
        <v/>
      </c>
      <c r="N1262" s="36" t="str">
        <f t="shared" si="2"/>
        <v/>
      </c>
      <c r="O1262" s="36" t="str">
        <f t="shared" si="3"/>
        <v/>
      </c>
      <c r="P1262" s="15"/>
      <c r="Q1262" s="37" t="str">
        <f t="shared" si="4"/>
        <v/>
      </c>
      <c r="R1262" s="37" t="str">
        <f t="shared" si="5"/>
        <v/>
      </c>
      <c r="S1262" s="32" t="str">
        <f t="shared" si="6"/>
        <v/>
      </c>
      <c r="T1262" s="37" t="str">
        <f t="shared" si="7"/>
        <v/>
      </c>
      <c r="U1262" s="37" t="str">
        <f t="array" ref="U1262">IF($F1262="","",IFERROR(INDEX(Config!$F:$F,MATCH($F1262,Config!$D:$D,0)),0))</f>
        <v/>
      </c>
    </row>
    <row r="1263" ht="15.0" customHeight="1">
      <c r="A1263" s="34"/>
      <c r="B1263" s="35"/>
      <c r="C1263" s="15"/>
      <c r="D1263" s="15"/>
      <c r="E1263" s="15"/>
      <c r="F1263" s="15"/>
      <c r="G1263" s="36" t="str">
        <f t="array" ref="G1263">IF($F1263="","",IFERROR(INDEX(Config!$E:$E,MATCH($F1263,Config!$D:$D,0)),0))</f>
        <v/>
      </c>
      <c r="H1263" s="16"/>
      <c r="I1263" s="36" t="str">
        <f t="shared" si="1"/>
        <v/>
      </c>
      <c r="J1263" s="16"/>
      <c r="K1263" s="15"/>
      <c r="L1263" s="15"/>
      <c r="M1263" s="36" t="str">
        <f t="array" ref="M1263">IF($A1263="","",IF($L1263="Atendido",IFERROR($I1263*INDEX(Config!$B:$B,MATCH($C1263,Config!$A:$A,0)),0),0))</f>
        <v/>
      </c>
      <c r="N1263" s="36" t="str">
        <f t="shared" si="2"/>
        <v/>
      </c>
      <c r="O1263" s="36" t="str">
        <f t="shared" si="3"/>
        <v/>
      </c>
      <c r="P1263" s="15"/>
      <c r="Q1263" s="37" t="str">
        <f t="shared" si="4"/>
        <v/>
      </c>
      <c r="R1263" s="37" t="str">
        <f t="shared" si="5"/>
        <v/>
      </c>
      <c r="S1263" s="32" t="str">
        <f t="shared" si="6"/>
        <v/>
      </c>
      <c r="T1263" s="37" t="str">
        <f t="shared" si="7"/>
        <v/>
      </c>
      <c r="U1263" s="37" t="str">
        <f t="array" ref="U1263">IF($F1263="","",IFERROR(INDEX(Config!$F:$F,MATCH($F1263,Config!$D:$D,0)),0))</f>
        <v/>
      </c>
    </row>
    <row r="1264" ht="15.0" customHeight="1">
      <c r="A1264" s="34"/>
      <c r="B1264" s="35"/>
      <c r="C1264" s="15"/>
      <c r="D1264" s="15"/>
      <c r="E1264" s="15"/>
      <c r="F1264" s="15"/>
      <c r="G1264" s="36" t="str">
        <f t="array" ref="G1264">IF($F1264="","",IFERROR(INDEX(Config!$E:$E,MATCH($F1264,Config!$D:$D,0)),0))</f>
        <v/>
      </c>
      <c r="H1264" s="16"/>
      <c r="I1264" s="36" t="str">
        <f t="shared" si="1"/>
        <v/>
      </c>
      <c r="J1264" s="16"/>
      <c r="K1264" s="15"/>
      <c r="L1264" s="15"/>
      <c r="M1264" s="36" t="str">
        <f t="array" ref="M1264">IF($A1264="","",IF($L1264="Atendido",IFERROR($I1264*INDEX(Config!$B:$B,MATCH($C1264,Config!$A:$A,0)),0),0))</f>
        <v/>
      </c>
      <c r="N1264" s="36" t="str">
        <f t="shared" si="2"/>
        <v/>
      </c>
      <c r="O1264" s="36" t="str">
        <f t="shared" si="3"/>
        <v/>
      </c>
      <c r="P1264" s="15"/>
      <c r="Q1264" s="37" t="str">
        <f t="shared" si="4"/>
        <v/>
      </c>
      <c r="R1264" s="37" t="str">
        <f t="shared" si="5"/>
        <v/>
      </c>
      <c r="S1264" s="32" t="str">
        <f t="shared" si="6"/>
        <v/>
      </c>
      <c r="T1264" s="37" t="str">
        <f t="shared" si="7"/>
        <v/>
      </c>
      <c r="U1264" s="37" t="str">
        <f t="array" ref="U1264">IF($F1264="","",IFERROR(INDEX(Config!$F:$F,MATCH($F1264,Config!$D:$D,0)),0))</f>
        <v/>
      </c>
    </row>
    <row r="1265" ht="15.0" customHeight="1">
      <c r="A1265" s="34"/>
      <c r="B1265" s="35"/>
      <c r="C1265" s="15"/>
      <c r="D1265" s="15"/>
      <c r="E1265" s="15"/>
      <c r="F1265" s="15"/>
      <c r="G1265" s="36" t="str">
        <f t="array" ref="G1265">IF($F1265="","",IFERROR(INDEX(Config!$E:$E,MATCH($F1265,Config!$D:$D,0)),0))</f>
        <v/>
      </c>
      <c r="H1265" s="16"/>
      <c r="I1265" s="36" t="str">
        <f t="shared" si="1"/>
        <v/>
      </c>
      <c r="J1265" s="16"/>
      <c r="K1265" s="15"/>
      <c r="L1265" s="15"/>
      <c r="M1265" s="36" t="str">
        <f t="array" ref="M1265">IF($A1265="","",IF($L1265="Atendido",IFERROR($I1265*INDEX(Config!$B:$B,MATCH($C1265,Config!$A:$A,0)),0),0))</f>
        <v/>
      </c>
      <c r="N1265" s="36" t="str">
        <f t="shared" si="2"/>
        <v/>
      </c>
      <c r="O1265" s="36" t="str">
        <f t="shared" si="3"/>
        <v/>
      </c>
      <c r="P1265" s="15"/>
      <c r="Q1265" s="37" t="str">
        <f t="shared" si="4"/>
        <v/>
      </c>
      <c r="R1265" s="37" t="str">
        <f t="shared" si="5"/>
        <v/>
      </c>
      <c r="S1265" s="32" t="str">
        <f t="shared" si="6"/>
        <v/>
      </c>
      <c r="T1265" s="37" t="str">
        <f t="shared" si="7"/>
        <v/>
      </c>
      <c r="U1265" s="37" t="str">
        <f t="array" ref="U1265">IF($F1265="","",IFERROR(INDEX(Config!$F:$F,MATCH($F1265,Config!$D:$D,0)),0))</f>
        <v/>
      </c>
    </row>
    <row r="1266" ht="15.0" customHeight="1">
      <c r="A1266" s="34"/>
      <c r="B1266" s="35"/>
      <c r="C1266" s="15"/>
      <c r="D1266" s="15"/>
      <c r="E1266" s="15"/>
      <c r="F1266" s="15"/>
      <c r="G1266" s="36" t="str">
        <f t="array" ref="G1266">IF($F1266="","",IFERROR(INDEX(Config!$E:$E,MATCH($F1266,Config!$D:$D,0)),0))</f>
        <v/>
      </c>
      <c r="H1266" s="16"/>
      <c r="I1266" s="36" t="str">
        <f t="shared" si="1"/>
        <v/>
      </c>
      <c r="J1266" s="16"/>
      <c r="K1266" s="15"/>
      <c r="L1266" s="15"/>
      <c r="M1266" s="36" t="str">
        <f t="array" ref="M1266">IF($A1266="","",IF($L1266="Atendido",IFERROR($I1266*INDEX(Config!$B:$B,MATCH($C1266,Config!$A:$A,0)),0),0))</f>
        <v/>
      </c>
      <c r="N1266" s="36" t="str">
        <f t="shared" si="2"/>
        <v/>
      </c>
      <c r="O1266" s="36" t="str">
        <f t="shared" si="3"/>
        <v/>
      </c>
      <c r="P1266" s="15"/>
      <c r="Q1266" s="37" t="str">
        <f t="shared" si="4"/>
        <v/>
      </c>
      <c r="R1266" s="37" t="str">
        <f t="shared" si="5"/>
        <v/>
      </c>
      <c r="S1266" s="32" t="str">
        <f t="shared" si="6"/>
        <v/>
      </c>
      <c r="T1266" s="37" t="str">
        <f t="shared" si="7"/>
        <v/>
      </c>
      <c r="U1266" s="37" t="str">
        <f t="array" ref="U1266">IF($F1266="","",IFERROR(INDEX(Config!$F:$F,MATCH($F1266,Config!$D:$D,0)),0))</f>
        <v/>
      </c>
    </row>
    <row r="1267" ht="15.0" customHeight="1">
      <c r="A1267" s="34"/>
      <c r="B1267" s="35"/>
      <c r="C1267" s="15"/>
      <c r="D1267" s="15"/>
      <c r="E1267" s="15"/>
      <c r="F1267" s="15"/>
      <c r="G1267" s="36" t="str">
        <f t="array" ref="G1267">IF($F1267="","",IFERROR(INDEX(Config!$E:$E,MATCH($F1267,Config!$D:$D,0)),0))</f>
        <v/>
      </c>
      <c r="H1267" s="16"/>
      <c r="I1267" s="36" t="str">
        <f t="shared" si="1"/>
        <v/>
      </c>
      <c r="J1267" s="16"/>
      <c r="K1267" s="15"/>
      <c r="L1267" s="15"/>
      <c r="M1267" s="36" t="str">
        <f t="array" ref="M1267">IF($A1267="","",IF($L1267="Atendido",IFERROR($I1267*INDEX(Config!$B:$B,MATCH($C1267,Config!$A:$A,0)),0),0))</f>
        <v/>
      </c>
      <c r="N1267" s="36" t="str">
        <f t="shared" si="2"/>
        <v/>
      </c>
      <c r="O1267" s="36" t="str">
        <f t="shared" si="3"/>
        <v/>
      </c>
      <c r="P1267" s="15"/>
      <c r="Q1267" s="37" t="str">
        <f t="shared" si="4"/>
        <v/>
      </c>
      <c r="R1267" s="37" t="str">
        <f t="shared" si="5"/>
        <v/>
      </c>
      <c r="S1267" s="32" t="str">
        <f t="shared" si="6"/>
        <v/>
      </c>
      <c r="T1267" s="37" t="str">
        <f t="shared" si="7"/>
        <v/>
      </c>
      <c r="U1267" s="37" t="str">
        <f t="array" ref="U1267">IF($F1267="","",IFERROR(INDEX(Config!$F:$F,MATCH($F1267,Config!$D:$D,0)),0))</f>
        <v/>
      </c>
    </row>
    <row r="1268" ht="15.0" customHeight="1">
      <c r="A1268" s="34"/>
      <c r="B1268" s="35"/>
      <c r="C1268" s="15"/>
      <c r="D1268" s="15"/>
      <c r="E1268" s="15"/>
      <c r="F1268" s="15"/>
      <c r="G1268" s="36" t="str">
        <f t="array" ref="G1268">IF($F1268="","",IFERROR(INDEX(Config!$E:$E,MATCH($F1268,Config!$D:$D,0)),0))</f>
        <v/>
      </c>
      <c r="H1268" s="16"/>
      <c r="I1268" s="36" t="str">
        <f t="shared" si="1"/>
        <v/>
      </c>
      <c r="J1268" s="16"/>
      <c r="K1268" s="15"/>
      <c r="L1268" s="15"/>
      <c r="M1268" s="36" t="str">
        <f t="array" ref="M1268">IF($A1268="","",IF($L1268="Atendido",IFERROR($I1268*INDEX(Config!$B:$B,MATCH($C1268,Config!$A:$A,0)),0),0))</f>
        <v/>
      </c>
      <c r="N1268" s="36" t="str">
        <f t="shared" si="2"/>
        <v/>
      </c>
      <c r="O1268" s="36" t="str">
        <f t="shared" si="3"/>
        <v/>
      </c>
      <c r="P1268" s="15"/>
      <c r="Q1268" s="37" t="str">
        <f t="shared" si="4"/>
        <v/>
      </c>
      <c r="R1268" s="37" t="str">
        <f t="shared" si="5"/>
        <v/>
      </c>
      <c r="S1268" s="32" t="str">
        <f t="shared" si="6"/>
        <v/>
      </c>
      <c r="T1268" s="37" t="str">
        <f t="shared" si="7"/>
        <v/>
      </c>
      <c r="U1268" s="37" t="str">
        <f t="array" ref="U1268">IF($F1268="","",IFERROR(INDEX(Config!$F:$F,MATCH($F1268,Config!$D:$D,0)),0))</f>
        <v/>
      </c>
    </row>
    <row r="1269" ht="15.0" customHeight="1">
      <c r="A1269" s="34"/>
      <c r="B1269" s="35"/>
      <c r="C1269" s="15"/>
      <c r="D1269" s="15"/>
      <c r="E1269" s="15"/>
      <c r="F1269" s="15"/>
      <c r="G1269" s="36" t="str">
        <f t="array" ref="G1269">IF($F1269="","",IFERROR(INDEX(Config!$E:$E,MATCH($F1269,Config!$D:$D,0)),0))</f>
        <v/>
      </c>
      <c r="H1269" s="16"/>
      <c r="I1269" s="36" t="str">
        <f t="shared" si="1"/>
        <v/>
      </c>
      <c r="J1269" s="16"/>
      <c r="K1269" s="15"/>
      <c r="L1269" s="15"/>
      <c r="M1269" s="36" t="str">
        <f t="array" ref="M1269">IF($A1269="","",IF($L1269="Atendido",IFERROR($I1269*INDEX(Config!$B:$B,MATCH($C1269,Config!$A:$A,0)),0),0))</f>
        <v/>
      </c>
      <c r="N1269" s="36" t="str">
        <f t="shared" si="2"/>
        <v/>
      </c>
      <c r="O1269" s="36" t="str">
        <f t="shared" si="3"/>
        <v/>
      </c>
      <c r="P1269" s="15"/>
      <c r="Q1269" s="37" t="str">
        <f t="shared" si="4"/>
        <v/>
      </c>
      <c r="R1269" s="37" t="str">
        <f t="shared" si="5"/>
        <v/>
      </c>
      <c r="S1269" s="32" t="str">
        <f t="shared" si="6"/>
        <v/>
      </c>
      <c r="T1269" s="37" t="str">
        <f t="shared" si="7"/>
        <v/>
      </c>
      <c r="U1269" s="37" t="str">
        <f t="array" ref="U1269">IF($F1269="","",IFERROR(INDEX(Config!$F:$F,MATCH($F1269,Config!$D:$D,0)),0))</f>
        <v/>
      </c>
    </row>
    <row r="1270" ht="15.0" customHeight="1">
      <c r="A1270" s="34"/>
      <c r="B1270" s="35"/>
      <c r="C1270" s="15"/>
      <c r="D1270" s="15"/>
      <c r="E1270" s="15"/>
      <c r="F1270" s="15"/>
      <c r="G1270" s="36" t="str">
        <f t="array" ref="G1270">IF($F1270="","",IFERROR(INDEX(Config!$E:$E,MATCH($F1270,Config!$D:$D,0)),0))</f>
        <v/>
      </c>
      <c r="H1270" s="16"/>
      <c r="I1270" s="36" t="str">
        <f t="shared" si="1"/>
        <v/>
      </c>
      <c r="J1270" s="16"/>
      <c r="K1270" s="15"/>
      <c r="L1270" s="15"/>
      <c r="M1270" s="36" t="str">
        <f t="array" ref="M1270">IF($A1270="","",IF($L1270="Atendido",IFERROR($I1270*INDEX(Config!$B:$B,MATCH($C1270,Config!$A:$A,0)),0),0))</f>
        <v/>
      </c>
      <c r="N1270" s="36" t="str">
        <f t="shared" si="2"/>
        <v/>
      </c>
      <c r="O1270" s="36" t="str">
        <f t="shared" si="3"/>
        <v/>
      </c>
      <c r="P1270" s="15"/>
      <c r="Q1270" s="37" t="str">
        <f t="shared" si="4"/>
        <v/>
      </c>
      <c r="R1270" s="37" t="str">
        <f t="shared" si="5"/>
        <v/>
      </c>
      <c r="S1270" s="32" t="str">
        <f t="shared" si="6"/>
        <v/>
      </c>
      <c r="T1270" s="37" t="str">
        <f t="shared" si="7"/>
        <v/>
      </c>
      <c r="U1270" s="37" t="str">
        <f t="array" ref="U1270">IF($F1270="","",IFERROR(INDEX(Config!$F:$F,MATCH($F1270,Config!$D:$D,0)),0))</f>
        <v/>
      </c>
    </row>
    <row r="1271" ht="15.0" customHeight="1">
      <c r="A1271" s="34"/>
      <c r="B1271" s="35"/>
      <c r="C1271" s="15"/>
      <c r="D1271" s="15"/>
      <c r="E1271" s="15"/>
      <c r="F1271" s="15"/>
      <c r="G1271" s="36" t="str">
        <f t="array" ref="G1271">IF($F1271="","",IFERROR(INDEX(Config!$E:$E,MATCH($F1271,Config!$D:$D,0)),0))</f>
        <v/>
      </c>
      <c r="H1271" s="16"/>
      <c r="I1271" s="36" t="str">
        <f t="shared" si="1"/>
        <v/>
      </c>
      <c r="J1271" s="16"/>
      <c r="K1271" s="15"/>
      <c r="L1271" s="15"/>
      <c r="M1271" s="36" t="str">
        <f t="array" ref="M1271">IF($A1271="","",IF($L1271="Atendido",IFERROR($I1271*INDEX(Config!$B:$B,MATCH($C1271,Config!$A:$A,0)),0),0))</f>
        <v/>
      </c>
      <c r="N1271" s="36" t="str">
        <f t="shared" si="2"/>
        <v/>
      </c>
      <c r="O1271" s="36" t="str">
        <f t="shared" si="3"/>
        <v/>
      </c>
      <c r="P1271" s="15"/>
      <c r="Q1271" s="37" t="str">
        <f t="shared" si="4"/>
        <v/>
      </c>
      <c r="R1271" s="37" t="str">
        <f t="shared" si="5"/>
        <v/>
      </c>
      <c r="S1271" s="32" t="str">
        <f t="shared" si="6"/>
        <v/>
      </c>
      <c r="T1271" s="37" t="str">
        <f t="shared" si="7"/>
        <v/>
      </c>
      <c r="U1271" s="37" t="str">
        <f t="array" ref="U1271">IF($F1271="","",IFERROR(INDEX(Config!$F:$F,MATCH($F1271,Config!$D:$D,0)),0))</f>
        <v/>
      </c>
    </row>
    <row r="1272" ht="15.0" customHeight="1">
      <c r="A1272" s="34"/>
      <c r="B1272" s="35"/>
      <c r="C1272" s="15"/>
      <c r="D1272" s="15"/>
      <c r="E1272" s="15"/>
      <c r="F1272" s="15"/>
      <c r="G1272" s="36" t="str">
        <f t="array" ref="G1272">IF($F1272="","",IFERROR(INDEX(Config!$E:$E,MATCH($F1272,Config!$D:$D,0)),0))</f>
        <v/>
      </c>
      <c r="H1272" s="16"/>
      <c r="I1272" s="36" t="str">
        <f t="shared" si="1"/>
        <v/>
      </c>
      <c r="J1272" s="16"/>
      <c r="K1272" s="15"/>
      <c r="L1272" s="15"/>
      <c r="M1272" s="36" t="str">
        <f t="array" ref="M1272">IF($A1272="","",IF($L1272="Atendido",IFERROR($I1272*INDEX(Config!$B:$B,MATCH($C1272,Config!$A:$A,0)),0),0))</f>
        <v/>
      </c>
      <c r="N1272" s="36" t="str">
        <f t="shared" si="2"/>
        <v/>
      </c>
      <c r="O1272" s="36" t="str">
        <f t="shared" si="3"/>
        <v/>
      </c>
      <c r="P1272" s="15"/>
      <c r="Q1272" s="37" t="str">
        <f t="shared" si="4"/>
        <v/>
      </c>
      <c r="R1272" s="37" t="str">
        <f t="shared" si="5"/>
        <v/>
      </c>
      <c r="S1272" s="32" t="str">
        <f t="shared" si="6"/>
        <v/>
      </c>
      <c r="T1272" s="37" t="str">
        <f t="shared" si="7"/>
        <v/>
      </c>
      <c r="U1272" s="37" t="str">
        <f t="array" ref="U1272">IF($F1272="","",IFERROR(INDEX(Config!$F:$F,MATCH($F1272,Config!$D:$D,0)),0))</f>
        <v/>
      </c>
    </row>
    <row r="1273" ht="15.0" customHeight="1">
      <c r="A1273" s="34"/>
      <c r="B1273" s="35"/>
      <c r="C1273" s="15"/>
      <c r="D1273" s="15"/>
      <c r="E1273" s="15"/>
      <c r="F1273" s="15"/>
      <c r="G1273" s="36" t="str">
        <f t="array" ref="G1273">IF($F1273="","",IFERROR(INDEX(Config!$E:$E,MATCH($F1273,Config!$D:$D,0)),0))</f>
        <v/>
      </c>
      <c r="H1273" s="16"/>
      <c r="I1273" s="36" t="str">
        <f t="shared" si="1"/>
        <v/>
      </c>
      <c r="J1273" s="16"/>
      <c r="K1273" s="15"/>
      <c r="L1273" s="15"/>
      <c r="M1273" s="36" t="str">
        <f t="array" ref="M1273">IF($A1273="","",IF($L1273="Atendido",IFERROR($I1273*INDEX(Config!$B:$B,MATCH($C1273,Config!$A:$A,0)),0),0))</f>
        <v/>
      </c>
      <c r="N1273" s="36" t="str">
        <f t="shared" si="2"/>
        <v/>
      </c>
      <c r="O1273" s="36" t="str">
        <f t="shared" si="3"/>
        <v/>
      </c>
      <c r="P1273" s="15"/>
      <c r="Q1273" s="37" t="str">
        <f t="shared" si="4"/>
        <v/>
      </c>
      <c r="R1273" s="37" t="str">
        <f t="shared" si="5"/>
        <v/>
      </c>
      <c r="S1273" s="32" t="str">
        <f t="shared" si="6"/>
        <v/>
      </c>
      <c r="T1273" s="37" t="str">
        <f t="shared" si="7"/>
        <v/>
      </c>
      <c r="U1273" s="37" t="str">
        <f t="array" ref="U1273">IF($F1273="","",IFERROR(INDEX(Config!$F:$F,MATCH($F1273,Config!$D:$D,0)),0))</f>
        <v/>
      </c>
    </row>
    <row r="1274" ht="15.0" customHeight="1">
      <c r="A1274" s="34"/>
      <c r="B1274" s="35"/>
      <c r="C1274" s="15"/>
      <c r="D1274" s="15"/>
      <c r="E1274" s="15"/>
      <c r="F1274" s="15"/>
      <c r="G1274" s="36" t="str">
        <f t="array" ref="G1274">IF($F1274="","",IFERROR(INDEX(Config!$E:$E,MATCH($F1274,Config!$D:$D,0)),0))</f>
        <v/>
      </c>
      <c r="H1274" s="16"/>
      <c r="I1274" s="36" t="str">
        <f t="shared" si="1"/>
        <v/>
      </c>
      <c r="J1274" s="16"/>
      <c r="K1274" s="15"/>
      <c r="L1274" s="15"/>
      <c r="M1274" s="36" t="str">
        <f t="array" ref="M1274">IF($A1274="","",IF($L1274="Atendido",IFERROR($I1274*INDEX(Config!$B:$B,MATCH($C1274,Config!$A:$A,0)),0),0))</f>
        <v/>
      </c>
      <c r="N1274" s="36" t="str">
        <f t="shared" si="2"/>
        <v/>
      </c>
      <c r="O1274" s="36" t="str">
        <f t="shared" si="3"/>
        <v/>
      </c>
      <c r="P1274" s="15"/>
      <c r="Q1274" s="37" t="str">
        <f t="shared" si="4"/>
        <v/>
      </c>
      <c r="R1274" s="37" t="str">
        <f t="shared" si="5"/>
        <v/>
      </c>
      <c r="S1274" s="32" t="str">
        <f t="shared" si="6"/>
        <v/>
      </c>
      <c r="T1274" s="37" t="str">
        <f t="shared" si="7"/>
        <v/>
      </c>
      <c r="U1274" s="37" t="str">
        <f t="array" ref="U1274">IF($F1274="","",IFERROR(INDEX(Config!$F:$F,MATCH($F1274,Config!$D:$D,0)),0))</f>
        <v/>
      </c>
    </row>
    <row r="1275" ht="15.0" customHeight="1">
      <c r="A1275" s="34"/>
      <c r="B1275" s="35"/>
      <c r="C1275" s="15"/>
      <c r="D1275" s="15"/>
      <c r="E1275" s="15"/>
      <c r="F1275" s="15"/>
      <c r="G1275" s="36" t="str">
        <f t="array" ref="G1275">IF($F1275="","",IFERROR(INDEX(Config!$E:$E,MATCH($F1275,Config!$D:$D,0)),0))</f>
        <v/>
      </c>
      <c r="H1275" s="16"/>
      <c r="I1275" s="36" t="str">
        <f t="shared" si="1"/>
        <v/>
      </c>
      <c r="J1275" s="16"/>
      <c r="K1275" s="15"/>
      <c r="L1275" s="15"/>
      <c r="M1275" s="36" t="str">
        <f t="array" ref="M1275">IF($A1275="","",IF($L1275="Atendido",IFERROR($I1275*INDEX(Config!$B:$B,MATCH($C1275,Config!$A:$A,0)),0),0))</f>
        <v/>
      </c>
      <c r="N1275" s="36" t="str">
        <f t="shared" si="2"/>
        <v/>
      </c>
      <c r="O1275" s="36" t="str">
        <f t="shared" si="3"/>
        <v/>
      </c>
      <c r="P1275" s="15"/>
      <c r="Q1275" s="37" t="str">
        <f t="shared" si="4"/>
        <v/>
      </c>
      <c r="R1275" s="37" t="str">
        <f t="shared" si="5"/>
        <v/>
      </c>
      <c r="S1275" s="32" t="str">
        <f t="shared" si="6"/>
        <v/>
      </c>
      <c r="T1275" s="37" t="str">
        <f t="shared" si="7"/>
        <v/>
      </c>
      <c r="U1275" s="37" t="str">
        <f t="array" ref="U1275">IF($F1275="","",IFERROR(INDEX(Config!$F:$F,MATCH($F1275,Config!$D:$D,0)),0))</f>
        <v/>
      </c>
    </row>
    <row r="1276" ht="15.0" customHeight="1">
      <c r="A1276" s="34"/>
      <c r="B1276" s="35"/>
      <c r="C1276" s="15"/>
      <c r="D1276" s="15"/>
      <c r="E1276" s="15"/>
      <c r="F1276" s="15"/>
      <c r="G1276" s="36" t="str">
        <f t="array" ref="G1276">IF($F1276="","",IFERROR(INDEX(Config!$E:$E,MATCH($F1276,Config!$D:$D,0)),0))</f>
        <v/>
      </c>
      <c r="H1276" s="16"/>
      <c r="I1276" s="36" t="str">
        <f t="shared" si="1"/>
        <v/>
      </c>
      <c r="J1276" s="16"/>
      <c r="K1276" s="15"/>
      <c r="L1276" s="15"/>
      <c r="M1276" s="36" t="str">
        <f t="array" ref="M1276">IF($A1276="","",IF($L1276="Atendido",IFERROR($I1276*INDEX(Config!$B:$B,MATCH($C1276,Config!$A:$A,0)),0),0))</f>
        <v/>
      </c>
      <c r="N1276" s="36" t="str">
        <f t="shared" si="2"/>
        <v/>
      </c>
      <c r="O1276" s="36" t="str">
        <f t="shared" si="3"/>
        <v/>
      </c>
      <c r="P1276" s="15"/>
      <c r="Q1276" s="37" t="str">
        <f t="shared" si="4"/>
        <v/>
      </c>
      <c r="R1276" s="37" t="str">
        <f t="shared" si="5"/>
        <v/>
      </c>
      <c r="S1276" s="32" t="str">
        <f t="shared" si="6"/>
        <v/>
      </c>
      <c r="T1276" s="37" t="str">
        <f t="shared" si="7"/>
        <v/>
      </c>
      <c r="U1276" s="37" t="str">
        <f t="array" ref="U1276">IF($F1276="","",IFERROR(INDEX(Config!$F:$F,MATCH($F1276,Config!$D:$D,0)),0))</f>
        <v/>
      </c>
    </row>
    <row r="1277" ht="15.0" customHeight="1">
      <c r="A1277" s="34"/>
      <c r="B1277" s="35"/>
      <c r="C1277" s="15"/>
      <c r="D1277" s="15"/>
      <c r="E1277" s="15"/>
      <c r="F1277" s="15"/>
      <c r="G1277" s="36" t="str">
        <f t="array" ref="G1277">IF($F1277="","",IFERROR(INDEX(Config!$E:$E,MATCH($F1277,Config!$D:$D,0)),0))</f>
        <v/>
      </c>
      <c r="H1277" s="16"/>
      <c r="I1277" s="36" t="str">
        <f t="shared" si="1"/>
        <v/>
      </c>
      <c r="J1277" s="16"/>
      <c r="K1277" s="15"/>
      <c r="L1277" s="15"/>
      <c r="M1277" s="36" t="str">
        <f t="array" ref="M1277">IF($A1277="","",IF($L1277="Atendido",IFERROR($I1277*INDEX(Config!$B:$B,MATCH($C1277,Config!$A:$A,0)),0),0))</f>
        <v/>
      </c>
      <c r="N1277" s="36" t="str">
        <f t="shared" si="2"/>
        <v/>
      </c>
      <c r="O1277" s="36" t="str">
        <f t="shared" si="3"/>
        <v/>
      </c>
      <c r="P1277" s="15"/>
      <c r="Q1277" s="37" t="str">
        <f t="shared" si="4"/>
        <v/>
      </c>
      <c r="R1277" s="37" t="str">
        <f t="shared" si="5"/>
        <v/>
      </c>
      <c r="S1277" s="32" t="str">
        <f t="shared" si="6"/>
        <v/>
      </c>
      <c r="T1277" s="37" t="str">
        <f t="shared" si="7"/>
        <v/>
      </c>
      <c r="U1277" s="37" t="str">
        <f t="array" ref="U1277">IF($F1277="","",IFERROR(INDEX(Config!$F:$F,MATCH($F1277,Config!$D:$D,0)),0))</f>
        <v/>
      </c>
    </row>
    <row r="1278" ht="15.0" customHeight="1">
      <c r="A1278" s="34"/>
      <c r="B1278" s="35"/>
      <c r="C1278" s="15"/>
      <c r="D1278" s="15"/>
      <c r="E1278" s="15"/>
      <c r="F1278" s="15"/>
      <c r="G1278" s="36" t="str">
        <f t="array" ref="G1278">IF($F1278="","",IFERROR(INDEX(Config!$E:$E,MATCH($F1278,Config!$D:$D,0)),0))</f>
        <v/>
      </c>
      <c r="H1278" s="16"/>
      <c r="I1278" s="36" t="str">
        <f t="shared" si="1"/>
        <v/>
      </c>
      <c r="J1278" s="16"/>
      <c r="K1278" s="15"/>
      <c r="L1278" s="15"/>
      <c r="M1278" s="36" t="str">
        <f t="array" ref="M1278">IF($A1278="","",IF($L1278="Atendido",IFERROR($I1278*INDEX(Config!$B:$B,MATCH($C1278,Config!$A:$A,0)),0),0))</f>
        <v/>
      </c>
      <c r="N1278" s="36" t="str">
        <f t="shared" si="2"/>
        <v/>
      </c>
      <c r="O1278" s="36" t="str">
        <f t="shared" si="3"/>
        <v/>
      </c>
      <c r="P1278" s="15"/>
      <c r="Q1278" s="37" t="str">
        <f t="shared" si="4"/>
        <v/>
      </c>
      <c r="R1278" s="37" t="str">
        <f t="shared" si="5"/>
        <v/>
      </c>
      <c r="S1278" s="32" t="str">
        <f t="shared" si="6"/>
        <v/>
      </c>
      <c r="T1278" s="37" t="str">
        <f t="shared" si="7"/>
        <v/>
      </c>
      <c r="U1278" s="37" t="str">
        <f t="array" ref="U1278">IF($F1278="","",IFERROR(INDEX(Config!$F:$F,MATCH($F1278,Config!$D:$D,0)),0))</f>
        <v/>
      </c>
    </row>
    <row r="1279" ht="15.0" customHeight="1">
      <c r="A1279" s="34"/>
      <c r="B1279" s="35"/>
      <c r="C1279" s="15"/>
      <c r="D1279" s="15"/>
      <c r="E1279" s="15"/>
      <c r="F1279" s="15"/>
      <c r="G1279" s="36" t="str">
        <f t="array" ref="G1279">IF($F1279="","",IFERROR(INDEX(Config!$E:$E,MATCH($F1279,Config!$D:$D,0)),0))</f>
        <v/>
      </c>
      <c r="H1279" s="16"/>
      <c r="I1279" s="36" t="str">
        <f t="shared" si="1"/>
        <v/>
      </c>
      <c r="J1279" s="16"/>
      <c r="K1279" s="15"/>
      <c r="L1279" s="15"/>
      <c r="M1279" s="36" t="str">
        <f t="array" ref="M1279">IF($A1279="","",IF($L1279="Atendido",IFERROR($I1279*INDEX(Config!$B:$B,MATCH($C1279,Config!$A:$A,0)),0),0))</f>
        <v/>
      </c>
      <c r="N1279" s="36" t="str">
        <f t="shared" si="2"/>
        <v/>
      </c>
      <c r="O1279" s="36" t="str">
        <f t="shared" si="3"/>
        <v/>
      </c>
      <c r="P1279" s="15"/>
      <c r="Q1279" s="37" t="str">
        <f t="shared" si="4"/>
        <v/>
      </c>
      <c r="R1279" s="37" t="str">
        <f t="shared" si="5"/>
        <v/>
      </c>
      <c r="S1279" s="32" t="str">
        <f t="shared" si="6"/>
        <v/>
      </c>
      <c r="T1279" s="37" t="str">
        <f t="shared" si="7"/>
        <v/>
      </c>
      <c r="U1279" s="37" t="str">
        <f t="array" ref="U1279">IF($F1279="","",IFERROR(INDEX(Config!$F:$F,MATCH($F1279,Config!$D:$D,0)),0))</f>
        <v/>
      </c>
    </row>
    <row r="1280" ht="15.0" customHeight="1">
      <c r="A1280" s="34"/>
      <c r="B1280" s="35"/>
      <c r="C1280" s="15"/>
      <c r="D1280" s="15"/>
      <c r="E1280" s="15"/>
      <c r="F1280" s="15"/>
      <c r="G1280" s="36" t="str">
        <f t="array" ref="G1280">IF($F1280="","",IFERROR(INDEX(Config!$E:$E,MATCH($F1280,Config!$D:$D,0)),0))</f>
        <v/>
      </c>
      <c r="H1280" s="16"/>
      <c r="I1280" s="36" t="str">
        <f t="shared" si="1"/>
        <v/>
      </c>
      <c r="J1280" s="16"/>
      <c r="K1280" s="15"/>
      <c r="L1280" s="15"/>
      <c r="M1280" s="36" t="str">
        <f t="array" ref="M1280">IF($A1280="","",IF($L1280="Atendido",IFERROR($I1280*INDEX(Config!$B:$B,MATCH($C1280,Config!$A:$A,0)),0),0))</f>
        <v/>
      </c>
      <c r="N1280" s="36" t="str">
        <f t="shared" si="2"/>
        <v/>
      </c>
      <c r="O1280" s="36" t="str">
        <f t="shared" si="3"/>
        <v/>
      </c>
      <c r="P1280" s="15"/>
      <c r="Q1280" s="37" t="str">
        <f t="shared" si="4"/>
        <v/>
      </c>
      <c r="R1280" s="37" t="str">
        <f t="shared" si="5"/>
        <v/>
      </c>
      <c r="S1280" s="32" t="str">
        <f t="shared" si="6"/>
        <v/>
      </c>
      <c r="T1280" s="37" t="str">
        <f t="shared" si="7"/>
        <v/>
      </c>
      <c r="U1280" s="37" t="str">
        <f t="array" ref="U1280">IF($F1280="","",IFERROR(INDEX(Config!$F:$F,MATCH($F1280,Config!$D:$D,0)),0))</f>
        <v/>
      </c>
    </row>
    <row r="1281" ht="15.0" customHeight="1">
      <c r="A1281" s="34"/>
      <c r="B1281" s="35"/>
      <c r="C1281" s="15"/>
      <c r="D1281" s="15"/>
      <c r="E1281" s="15"/>
      <c r="F1281" s="15"/>
      <c r="G1281" s="36" t="str">
        <f t="array" ref="G1281">IF($F1281="","",IFERROR(INDEX(Config!$E:$E,MATCH($F1281,Config!$D:$D,0)),0))</f>
        <v/>
      </c>
      <c r="H1281" s="16"/>
      <c r="I1281" s="36" t="str">
        <f t="shared" si="1"/>
        <v/>
      </c>
      <c r="J1281" s="16"/>
      <c r="K1281" s="15"/>
      <c r="L1281" s="15"/>
      <c r="M1281" s="36" t="str">
        <f t="array" ref="M1281">IF($A1281="","",IF($L1281="Atendido",IFERROR($I1281*INDEX(Config!$B:$B,MATCH($C1281,Config!$A:$A,0)),0),0))</f>
        <v/>
      </c>
      <c r="N1281" s="36" t="str">
        <f t="shared" si="2"/>
        <v/>
      </c>
      <c r="O1281" s="36" t="str">
        <f t="shared" si="3"/>
        <v/>
      </c>
      <c r="P1281" s="15"/>
      <c r="Q1281" s="37" t="str">
        <f t="shared" si="4"/>
        <v/>
      </c>
      <c r="R1281" s="37" t="str">
        <f t="shared" si="5"/>
        <v/>
      </c>
      <c r="S1281" s="32" t="str">
        <f t="shared" si="6"/>
        <v/>
      </c>
      <c r="T1281" s="37" t="str">
        <f t="shared" si="7"/>
        <v/>
      </c>
      <c r="U1281" s="37" t="str">
        <f t="array" ref="U1281">IF($F1281="","",IFERROR(INDEX(Config!$F:$F,MATCH($F1281,Config!$D:$D,0)),0))</f>
        <v/>
      </c>
    </row>
    <row r="1282" ht="15.0" customHeight="1">
      <c r="A1282" s="34"/>
      <c r="B1282" s="35"/>
      <c r="C1282" s="15"/>
      <c r="D1282" s="15"/>
      <c r="E1282" s="15"/>
      <c r="F1282" s="15"/>
      <c r="G1282" s="36" t="str">
        <f t="array" ref="G1282">IF($F1282="","",IFERROR(INDEX(Config!$E:$E,MATCH($F1282,Config!$D:$D,0)),0))</f>
        <v/>
      </c>
      <c r="H1282" s="16"/>
      <c r="I1282" s="36" t="str">
        <f t="shared" si="1"/>
        <v/>
      </c>
      <c r="J1282" s="16"/>
      <c r="K1282" s="15"/>
      <c r="L1282" s="15"/>
      <c r="M1282" s="36" t="str">
        <f t="array" ref="M1282">IF($A1282="","",IF($L1282="Atendido",IFERROR($I1282*INDEX(Config!$B:$B,MATCH($C1282,Config!$A:$A,0)),0),0))</f>
        <v/>
      </c>
      <c r="N1282" s="36" t="str">
        <f t="shared" si="2"/>
        <v/>
      </c>
      <c r="O1282" s="36" t="str">
        <f t="shared" si="3"/>
        <v/>
      </c>
      <c r="P1282" s="15"/>
      <c r="Q1282" s="37" t="str">
        <f t="shared" si="4"/>
        <v/>
      </c>
      <c r="R1282" s="37" t="str">
        <f t="shared" si="5"/>
        <v/>
      </c>
      <c r="S1282" s="32" t="str">
        <f t="shared" si="6"/>
        <v/>
      </c>
      <c r="T1282" s="37" t="str">
        <f t="shared" si="7"/>
        <v/>
      </c>
      <c r="U1282" s="37" t="str">
        <f t="array" ref="U1282">IF($F1282="","",IFERROR(INDEX(Config!$F:$F,MATCH($F1282,Config!$D:$D,0)),0))</f>
        <v/>
      </c>
    </row>
    <row r="1283" ht="15.0" customHeight="1">
      <c r="A1283" s="34"/>
      <c r="B1283" s="35"/>
      <c r="C1283" s="15"/>
      <c r="D1283" s="15"/>
      <c r="E1283" s="15"/>
      <c r="F1283" s="15"/>
      <c r="G1283" s="36" t="str">
        <f t="array" ref="G1283">IF($F1283="","",IFERROR(INDEX(Config!$E:$E,MATCH($F1283,Config!$D:$D,0)),0))</f>
        <v/>
      </c>
      <c r="H1283" s="16"/>
      <c r="I1283" s="36" t="str">
        <f t="shared" si="1"/>
        <v/>
      </c>
      <c r="J1283" s="16"/>
      <c r="K1283" s="15"/>
      <c r="L1283" s="15"/>
      <c r="M1283" s="36" t="str">
        <f t="array" ref="M1283">IF($A1283="","",IF($L1283="Atendido",IFERROR($I1283*INDEX(Config!$B:$B,MATCH($C1283,Config!$A:$A,0)),0),0))</f>
        <v/>
      </c>
      <c r="N1283" s="36" t="str">
        <f t="shared" si="2"/>
        <v/>
      </c>
      <c r="O1283" s="36" t="str">
        <f t="shared" si="3"/>
        <v/>
      </c>
      <c r="P1283" s="15"/>
      <c r="Q1283" s="37" t="str">
        <f t="shared" si="4"/>
        <v/>
      </c>
      <c r="R1283" s="37" t="str">
        <f t="shared" si="5"/>
        <v/>
      </c>
      <c r="S1283" s="32" t="str">
        <f t="shared" si="6"/>
        <v/>
      </c>
      <c r="T1283" s="37" t="str">
        <f t="shared" si="7"/>
        <v/>
      </c>
      <c r="U1283" s="37" t="str">
        <f t="array" ref="U1283">IF($F1283="","",IFERROR(INDEX(Config!$F:$F,MATCH($F1283,Config!$D:$D,0)),0))</f>
        <v/>
      </c>
    </row>
    <row r="1284" ht="15.0" customHeight="1">
      <c r="A1284" s="34"/>
      <c r="B1284" s="35"/>
      <c r="C1284" s="15"/>
      <c r="D1284" s="15"/>
      <c r="E1284" s="15"/>
      <c r="F1284" s="15"/>
      <c r="G1284" s="36" t="str">
        <f t="array" ref="G1284">IF($F1284="","",IFERROR(INDEX(Config!$E:$E,MATCH($F1284,Config!$D:$D,0)),0))</f>
        <v/>
      </c>
      <c r="H1284" s="16"/>
      <c r="I1284" s="36" t="str">
        <f t="shared" si="1"/>
        <v/>
      </c>
      <c r="J1284" s="16"/>
      <c r="K1284" s="15"/>
      <c r="L1284" s="15"/>
      <c r="M1284" s="36" t="str">
        <f t="array" ref="M1284">IF($A1284="","",IF($L1284="Atendido",IFERROR($I1284*INDEX(Config!$B:$B,MATCH($C1284,Config!$A:$A,0)),0),0))</f>
        <v/>
      </c>
      <c r="N1284" s="36" t="str">
        <f t="shared" si="2"/>
        <v/>
      </c>
      <c r="O1284" s="36" t="str">
        <f t="shared" si="3"/>
        <v/>
      </c>
      <c r="P1284" s="15"/>
      <c r="Q1284" s="37" t="str">
        <f t="shared" si="4"/>
        <v/>
      </c>
      <c r="R1284" s="37" t="str">
        <f t="shared" si="5"/>
        <v/>
      </c>
      <c r="S1284" s="32" t="str">
        <f t="shared" si="6"/>
        <v/>
      </c>
      <c r="T1284" s="37" t="str">
        <f t="shared" si="7"/>
        <v/>
      </c>
      <c r="U1284" s="37" t="str">
        <f t="array" ref="U1284">IF($F1284="","",IFERROR(INDEX(Config!$F:$F,MATCH($F1284,Config!$D:$D,0)),0))</f>
        <v/>
      </c>
    </row>
    <row r="1285" ht="15.0" customHeight="1">
      <c r="A1285" s="34"/>
      <c r="B1285" s="35"/>
      <c r="C1285" s="15"/>
      <c r="D1285" s="15"/>
      <c r="E1285" s="15"/>
      <c r="F1285" s="15"/>
      <c r="G1285" s="36" t="str">
        <f t="array" ref="G1285">IF($F1285="","",IFERROR(INDEX(Config!$E:$E,MATCH($F1285,Config!$D:$D,0)),0))</f>
        <v/>
      </c>
      <c r="H1285" s="16"/>
      <c r="I1285" s="36" t="str">
        <f t="shared" si="1"/>
        <v/>
      </c>
      <c r="J1285" s="16"/>
      <c r="K1285" s="15"/>
      <c r="L1285" s="15"/>
      <c r="M1285" s="36" t="str">
        <f t="array" ref="M1285">IF($A1285="","",IF($L1285="Atendido",IFERROR($I1285*INDEX(Config!$B:$B,MATCH($C1285,Config!$A:$A,0)),0),0))</f>
        <v/>
      </c>
      <c r="N1285" s="36" t="str">
        <f t="shared" si="2"/>
        <v/>
      </c>
      <c r="O1285" s="36" t="str">
        <f t="shared" si="3"/>
        <v/>
      </c>
      <c r="P1285" s="15"/>
      <c r="Q1285" s="37" t="str">
        <f t="shared" si="4"/>
        <v/>
      </c>
      <c r="R1285" s="37" t="str">
        <f t="shared" si="5"/>
        <v/>
      </c>
      <c r="S1285" s="32" t="str">
        <f t="shared" si="6"/>
        <v/>
      </c>
      <c r="T1285" s="37" t="str">
        <f t="shared" si="7"/>
        <v/>
      </c>
      <c r="U1285" s="37" t="str">
        <f t="array" ref="U1285">IF($F1285="","",IFERROR(INDEX(Config!$F:$F,MATCH($F1285,Config!$D:$D,0)),0))</f>
        <v/>
      </c>
    </row>
    <row r="1286" ht="15.0" customHeight="1">
      <c r="A1286" s="34"/>
      <c r="B1286" s="35"/>
      <c r="C1286" s="15"/>
      <c r="D1286" s="15"/>
      <c r="E1286" s="15"/>
      <c r="F1286" s="15"/>
      <c r="G1286" s="36" t="str">
        <f t="array" ref="G1286">IF($F1286="","",IFERROR(INDEX(Config!$E:$E,MATCH($F1286,Config!$D:$D,0)),0))</f>
        <v/>
      </c>
      <c r="H1286" s="16"/>
      <c r="I1286" s="36" t="str">
        <f t="shared" si="1"/>
        <v/>
      </c>
      <c r="J1286" s="16"/>
      <c r="K1286" s="15"/>
      <c r="L1286" s="15"/>
      <c r="M1286" s="36" t="str">
        <f t="array" ref="M1286">IF($A1286="","",IF($L1286="Atendido",IFERROR($I1286*INDEX(Config!$B:$B,MATCH($C1286,Config!$A:$A,0)),0),0))</f>
        <v/>
      </c>
      <c r="N1286" s="36" t="str">
        <f t="shared" si="2"/>
        <v/>
      </c>
      <c r="O1286" s="36" t="str">
        <f t="shared" si="3"/>
        <v/>
      </c>
      <c r="P1286" s="15"/>
      <c r="Q1286" s="37" t="str">
        <f t="shared" si="4"/>
        <v/>
      </c>
      <c r="R1286" s="37" t="str">
        <f t="shared" si="5"/>
        <v/>
      </c>
      <c r="S1286" s="32" t="str">
        <f t="shared" si="6"/>
        <v/>
      </c>
      <c r="T1286" s="37" t="str">
        <f t="shared" si="7"/>
        <v/>
      </c>
      <c r="U1286" s="37" t="str">
        <f t="array" ref="U1286">IF($F1286="","",IFERROR(INDEX(Config!$F:$F,MATCH($F1286,Config!$D:$D,0)),0))</f>
        <v/>
      </c>
    </row>
    <row r="1287" ht="15.0" customHeight="1">
      <c r="A1287" s="34"/>
      <c r="B1287" s="35"/>
      <c r="C1287" s="15"/>
      <c r="D1287" s="15"/>
      <c r="E1287" s="15"/>
      <c r="F1287" s="15"/>
      <c r="G1287" s="36" t="str">
        <f t="array" ref="G1287">IF($F1287="","",IFERROR(INDEX(Config!$E:$E,MATCH($F1287,Config!$D:$D,0)),0))</f>
        <v/>
      </c>
      <c r="H1287" s="16"/>
      <c r="I1287" s="36" t="str">
        <f t="shared" si="1"/>
        <v/>
      </c>
      <c r="J1287" s="16"/>
      <c r="K1287" s="15"/>
      <c r="L1287" s="15"/>
      <c r="M1287" s="36" t="str">
        <f t="array" ref="M1287">IF($A1287="","",IF($L1287="Atendido",IFERROR($I1287*INDEX(Config!$B:$B,MATCH($C1287,Config!$A:$A,0)),0),0))</f>
        <v/>
      </c>
      <c r="N1287" s="36" t="str">
        <f t="shared" si="2"/>
        <v/>
      </c>
      <c r="O1287" s="36" t="str">
        <f t="shared" si="3"/>
        <v/>
      </c>
      <c r="P1287" s="15"/>
      <c r="Q1287" s="37" t="str">
        <f t="shared" si="4"/>
        <v/>
      </c>
      <c r="R1287" s="37" t="str">
        <f t="shared" si="5"/>
        <v/>
      </c>
      <c r="S1287" s="32" t="str">
        <f t="shared" si="6"/>
        <v/>
      </c>
      <c r="T1287" s="37" t="str">
        <f t="shared" si="7"/>
        <v/>
      </c>
      <c r="U1287" s="37" t="str">
        <f t="array" ref="U1287">IF($F1287="","",IFERROR(INDEX(Config!$F:$F,MATCH($F1287,Config!$D:$D,0)),0))</f>
        <v/>
      </c>
    </row>
    <row r="1288" ht="15.0" customHeight="1">
      <c r="A1288" s="34"/>
      <c r="B1288" s="35"/>
      <c r="C1288" s="15"/>
      <c r="D1288" s="15"/>
      <c r="E1288" s="15"/>
      <c r="F1288" s="15"/>
      <c r="G1288" s="36" t="str">
        <f t="array" ref="G1288">IF($F1288="","",IFERROR(INDEX(Config!$E:$E,MATCH($F1288,Config!$D:$D,0)),0))</f>
        <v/>
      </c>
      <c r="H1288" s="16"/>
      <c r="I1288" s="36" t="str">
        <f t="shared" si="1"/>
        <v/>
      </c>
      <c r="J1288" s="16"/>
      <c r="K1288" s="15"/>
      <c r="L1288" s="15"/>
      <c r="M1288" s="36" t="str">
        <f t="array" ref="M1288">IF($A1288="","",IF($L1288="Atendido",IFERROR($I1288*INDEX(Config!$B:$B,MATCH($C1288,Config!$A:$A,0)),0),0))</f>
        <v/>
      </c>
      <c r="N1288" s="36" t="str">
        <f t="shared" si="2"/>
        <v/>
      </c>
      <c r="O1288" s="36" t="str">
        <f t="shared" si="3"/>
        <v/>
      </c>
      <c r="P1288" s="15"/>
      <c r="Q1288" s="37" t="str">
        <f t="shared" si="4"/>
        <v/>
      </c>
      <c r="R1288" s="37" t="str">
        <f t="shared" si="5"/>
        <v/>
      </c>
      <c r="S1288" s="32" t="str">
        <f t="shared" si="6"/>
        <v/>
      </c>
      <c r="T1288" s="37" t="str">
        <f t="shared" si="7"/>
        <v/>
      </c>
      <c r="U1288" s="37" t="str">
        <f t="array" ref="U1288">IF($F1288="","",IFERROR(INDEX(Config!$F:$F,MATCH($F1288,Config!$D:$D,0)),0))</f>
        <v/>
      </c>
    </row>
    <row r="1289" ht="15.0" customHeight="1">
      <c r="A1289" s="34"/>
      <c r="B1289" s="35"/>
      <c r="C1289" s="15"/>
      <c r="D1289" s="15"/>
      <c r="E1289" s="15"/>
      <c r="F1289" s="15"/>
      <c r="G1289" s="36" t="str">
        <f t="array" ref="G1289">IF($F1289="","",IFERROR(INDEX(Config!$E:$E,MATCH($F1289,Config!$D:$D,0)),0))</f>
        <v/>
      </c>
      <c r="H1289" s="16"/>
      <c r="I1289" s="36" t="str">
        <f t="shared" si="1"/>
        <v/>
      </c>
      <c r="J1289" s="16"/>
      <c r="K1289" s="15"/>
      <c r="L1289" s="15"/>
      <c r="M1289" s="36" t="str">
        <f t="array" ref="M1289">IF($A1289="","",IF($L1289="Atendido",IFERROR($I1289*INDEX(Config!$B:$B,MATCH($C1289,Config!$A:$A,0)),0),0))</f>
        <v/>
      </c>
      <c r="N1289" s="36" t="str">
        <f t="shared" si="2"/>
        <v/>
      </c>
      <c r="O1289" s="36" t="str">
        <f t="shared" si="3"/>
        <v/>
      </c>
      <c r="P1289" s="15"/>
      <c r="Q1289" s="37" t="str">
        <f t="shared" si="4"/>
        <v/>
      </c>
      <c r="R1289" s="37" t="str">
        <f t="shared" si="5"/>
        <v/>
      </c>
      <c r="S1289" s="32" t="str">
        <f t="shared" si="6"/>
        <v/>
      </c>
      <c r="T1289" s="37" t="str">
        <f t="shared" si="7"/>
        <v/>
      </c>
      <c r="U1289" s="37" t="str">
        <f t="array" ref="U1289">IF($F1289="","",IFERROR(INDEX(Config!$F:$F,MATCH($F1289,Config!$D:$D,0)),0))</f>
        <v/>
      </c>
    </row>
    <row r="1290" ht="15.0" customHeight="1">
      <c r="A1290" s="34"/>
      <c r="B1290" s="35"/>
      <c r="C1290" s="15"/>
      <c r="D1290" s="15"/>
      <c r="E1290" s="15"/>
      <c r="F1290" s="15"/>
      <c r="G1290" s="36" t="str">
        <f t="array" ref="G1290">IF($F1290="","",IFERROR(INDEX(Config!$E:$E,MATCH($F1290,Config!$D:$D,0)),0))</f>
        <v/>
      </c>
      <c r="H1290" s="16"/>
      <c r="I1290" s="36" t="str">
        <f t="shared" si="1"/>
        <v/>
      </c>
      <c r="J1290" s="16"/>
      <c r="K1290" s="15"/>
      <c r="L1290" s="15"/>
      <c r="M1290" s="36" t="str">
        <f t="array" ref="M1290">IF($A1290="","",IF($L1290="Atendido",IFERROR($I1290*INDEX(Config!$B:$B,MATCH($C1290,Config!$A:$A,0)),0),0))</f>
        <v/>
      </c>
      <c r="N1290" s="36" t="str">
        <f t="shared" si="2"/>
        <v/>
      </c>
      <c r="O1290" s="36" t="str">
        <f t="shared" si="3"/>
        <v/>
      </c>
      <c r="P1290" s="15"/>
      <c r="Q1290" s="37" t="str">
        <f t="shared" si="4"/>
        <v/>
      </c>
      <c r="R1290" s="37" t="str">
        <f t="shared" si="5"/>
        <v/>
      </c>
      <c r="S1290" s="32" t="str">
        <f t="shared" si="6"/>
        <v/>
      </c>
      <c r="T1290" s="37" t="str">
        <f t="shared" si="7"/>
        <v/>
      </c>
      <c r="U1290" s="37" t="str">
        <f t="array" ref="U1290">IF($F1290="","",IFERROR(INDEX(Config!$F:$F,MATCH($F1290,Config!$D:$D,0)),0))</f>
        <v/>
      </c>
    </row>
    <row r="1291" ht="15.0" customHeight="1">
      <c r="A1291" s="34"/>
      <c r="B1291" s="35"/>
      <c r="C1291" s="15"/>
      <c r="D1291" s="15"/>
      <c r="E1291" s="15"/>
      <c r="F1291" s="15"/>
      <c r="G1291" s="36" t="str">
        <f t="array" ref="G1291">IF($F1291="","",IFERROR(INDEX(Config!$E:$E,MATCH($F1291,Config!$D:$D,0)),0))</f>
        <v/>
      </c>
      <c r="H1291" s="16"/>
      <c r="I1291" s="36" t="str">
        <f t="shared" si="1"/>
        <v/>
      </c>
      <c r="J1291" s="16"/>
      <c r="K1291" s="15"/>
      <c r="L1291" s="15"/>
      <c r="M1291" s="36" t="str">
        <f t="array" ref="M1291">IF($A1291="","",IF($L1291="Atendido",IFERROR($I1291*INDEX(Config!$B:$B,MATCH($C1291,Config!$A:$A,0)),0),0))</f>
        <v/>
      </c>
      <c r="N1291" s="36" t="str">
        <f t="shared" si="2"/>
        <v/>
      </c>
      <c r="O1291" s="36" t="str">
        <f t="shared" si="3"/>
        <v/>
      </c>
      <c r="P1291" s="15"/>
      <c r="Q1291" s="37" t="str">
        <f t="shared" si="4"/>
        <v/>
      </c>
      <c r="R1291" s="37" t="str">
        <f t="shared" si="5"/>
        <v/>
      </c>
      <c r="S1291" s="32" t="str">
        <f t="shared" si="6"/>
        <v/>
      </c>
      <c r="T1291" s="37" t="str">
        <f t="shared" si="7"/>
        <v/>
      </c>
      <c r="U1291" s="37" t="str">
        <f t="array" ref="U1291">IF($F1291="","",IFERROR(INDEX(Config!$F:$F,MATCH($F1291,Config!$D:$D,0)),0))</f>
        <v/>
      </c>
    </row>
    <row r="1292" ht="15.0" customHeight="1">
      <c r="A1292" s="34"/>
      <c r="B1292" s="35"/>
      <c r="C1292" s="15"/>
      <c r="D1292" s="15"/>
      <c r="E1292" s="15"/>
      <c r="F1292" s="15"/>
      <c r="G1292" s="36" t="str">
        <f t="array" ref="G1292">IF($F1292="","",IFERROR(INDEX(Config!$E:$E,MATCH($F1292,Config!$D:$D,0)),0))</f>
        <v/>
      </c>
      <c r="H1292" s="16"/>
      <c r="I1292" s="36" t="str">
        <f t="shared" si="1"/>
        <v/>
      </c>
      <c r="J1292" s="16"/>
      <c r="K1292" s="15"/>
      <c r="L1292" s="15"/>
      <c r="M1292" s="36" t="str">
        <f t="array" ref="M1292">IF($A1292="","",IF($L1292="Atendido",IFERROR($I1292*INDEX(Config!$B:$B,MATCH($C1292,Config!$A:$A,0)),0),0))</f>
        <v/>
      </c>
      <c r="N1292" s="36" t="str">
        <f t="shared" si="2"/>
        <v/>
      </c>
      <c r="O1292" s="36" t="str">
        <f t="shared" si="3"/>
        <v/>
      </c>
      <c r="P1292" s="15"/>
      <c r="Q1292" s="37" t="str">
        <f t="shared" si="4"/>
        <v/>
      </c>
      <c r="R1292" s="37" t="str">
        <f t="shared" si="5"/>
        <v/>
      </c>
      <c r="S1292" s="32" t="str">
        <f t="shared" si="6"/>
        <v/>
      </c>
      <c r="T1292" s="37" t="str">
        <f t="shared" si="7"/>
        <v/>
      </c>
      <c r="U1292" s="37" t="str">
        <f t="array" ref="U1292">IF($F1292="","",IFERROR(INDEX(Config!$F:$F,MATCH($F1292,Config!$D:$D,0)),0))</f>
        <v/>
      </c>
    </row>
    <row r="1293" ht="15.0" customHeight="1">
      <c r="A1293" s="34"/>
      <c r="B1293" s="35"/>
      <c r="C1293" s="15"/>
      <c r="D1293" s="15"/>
      <c r="E1293" s="15"/>
      <c r="F1293" s="15"/>
      <c r="G1293" s="36" t="str">
        <f t="array" ref="G1293">IF($F1293="","",IFERROR(INDEX(Config!$E:$E,MATCH($F1293,Config!$D:$D,0)),0))</f>
        <v/>
      </c>
      <c r="H1293" s="16"/>
      <c r="I1293" s="36" t="str">
        <f t="shared" si="1"/>
        <v/>
      </c>
      <c r="J1293" s="16"/>
      <c r="K1293" s="15"/>
      <c r="L1293" s="15"/>
      <c r="M1293" s="36" t="str">
        <f t="array" ref="M1293">IF($A1293="","",IF($L1293="Atendido",IFERROR($I1293*INDEX(Config!$B:$B,MATCH($C1293,Config!$A:$A,0)),0),0))</f>
        <v/>
      </c>
      <c r="N1293" s="36" t="str">
        <f t="shared" si="2"/>
        <v/>
      </c>
      <c r="O1293" s="36" t="str">
        <f t="shared" si="3"/>
        <v/>
      </c>
      <c r="P1293" s="15"/>
      <c r="Q1293" s="37" t="str">
        <f t="shared" si="4"/>
        <v/>
      </c>
      <c r="R1293" s="37" t="str">
        <f t="shared" si="5"/>
        <v/>
      </c>
      <c r="S1293" s="32" t="str">
        <f t="shared" si="6"/>
        <v/>
      </c>
      <c r="T1293" s="37" t="str">
        <f t="shared" si="7"/>
        <v/>
      </c>
      <c r="U1293" s="37" t="str">
        <f t="array" ref="U1293">IF($F1293="","",IFERROR(INDEX(Config!$F:$F,MATCH($F1293,Config!$D:$D,0)),0))</f>
        <v/>
      </c>
    </row>
    <row r="1294" ht="15.0" customHeight="1">
      <c r="A1294" s="34"/>
      <c r="B1294" s="35"/>
      <c r="C1294" s="15"/>
      <c r="D1294" s="15"/>
      <c r="E1294" s="15"/>
      <c r="F1294" s="15"/>
      <c r="G1294" s="36" t="str">
        <f t="array" ref="G1294">IF($F1294="","",IFERROR(INDEX(Config!$E:$E,MATCH($F1294,Config!$D:$D,0)),0))</f>
        <v/>
      </c>
      <c r="H1294" s="16"/>
      <c r="I1294" s="36" t="str">
        <f t="shared" si="1"/>
        <v/>
      </c>
      <c r="J1294" s="16"/>
      <c r="K1294" s="15"/>
      <c r="L1294" s="15"/>
      <c r="M1294" s="36" t="str">
        <f t="array" ref="M1294">IF($A1294="","",IF($L1294="Atendido",IFERROR($I1294*INDEX(Config!$B:$B,MATCH($C1294,Config!$A:$A,0)),0),0))</f>
        <v/>
      </c>
      <c r="N1294" s="36" t="str">
        <f t="shared" si="2"/>
        <v/>
      </c>
      <c r="O1294" s="36" t="str">
        <f t="shared" si="3"/>
        <v/>
      </c>
      <c r="P1294" s="15"/>
      <c r="Q1294" s="37" t="str">
        <f t="shared" si="4"/>
        <v/>
      </c>
      <c r="R1294" s="37" t="str">
        <f t="shared" si="5"/>
        <v/>
      </c>
      <c r="S1294" s="32" t="str">
        <f t="shared" si="6"/>
        <v/>
      </c>
      <c r="T1294" s="37" t="str">
        <f t="shared" si="7"/>
        <v/>
      </c>
      <c r="U1294" s="37" t="str">
        <f t="array" ref="U1294">IF($F1294="","",IFERROR(INDEX(Config!$F:$F,MATCH($F1294,Config!$D:$D,0)),0))</f>
        <v/>
      </c>
    </row>
    <row r="1295" ht="15.0" customHeight="1">
      <c r="A1295" s="34"/>
      <c r="B1295" s="35"/>
      <c r="C1295" s="15"/>
      <c r="D1295" s="15"/>
      <c r="E1295" s="15"/>
      <c r="F1295" s="15"/>
      <c r="G1295" s="36" t="str">
        <f t="array" ref="G1295">IF($F1295="","",IFERROR(INDEX(Config!$E:$E,MATCH($F1295,Config!$D:$D,0)),0))</f>
        <v/>
      </c>
      <c r="H1295" s="16"/>
      <c r="I1295" s="36" t="str">
        <f t="shared" si="1"/>
        <v/>
      </c>
      <c r="J1295" s="16"/>
      <c r="K1295" s="15"/>
      <c r="L1295" s="15"/>
      <c r="M1295" s="36" t="str">
        <f t="array" ref="M1295">IF($A1295="","",IF($L1295="Atendido",IFERROR($I1295*INDEX(Config!$B:$B,MATCH($C1295,Config!$A:$A,0)),0),0))</f>
        <v/>
      </c>
      <c r="N1295" s="36" t="str">
        <f t="shared" si="2"/>
        <v/>
      </c>
      <c r="O1295" s="36" t="str">
        <f t="shared" si="3"/>
        <v/>
      </c>
      <c r="P1295" s="15"/>
      <c r="Q1295" s="37" t="str">
        <f t="shared" si="4"/>
        <v/>
      </c>
      <c r="R1295" s="37" t="str">
        <f t="shared" si="5"/>
        <v/>
      </c>
      <c r="S1295" s="32" t="str">
        <f t="shared" si="6"/>
        <v/>
      </c>
      <c r="T1295" s="37" t="str">
        <f t="shared" si="7"/>
        <v/>
      </c>
      <c r="U1295" s="37" t="str">
        <f t="array" ref="U1295">IF($F1295="","",IFERROR(INDEX(Config!$F:$F,MATCH($F1295,Config!$D:$D,0)),0))</f>
        <v/>
      </c>
    </row>
    <row r="1296" ht="15.0" customHeight="1">
      <c r="A1296" s="34"/>
      <c r="B1296" s="35"/>
      <c r="C1296" s="15"/>
      <c r="D1296" s="15"/>
      <c r="E1296" s="15"/>
      <c r="F1296" s="15"/>
      <c r="G1296" s="36" t="str">
        <f t="array" ref="G1296">IF($F1296="","",IFERROR(INDEX(Config!$E:$E,MATCH($F1296,Config!$D:$D,0)),0))</f>
        <v/>
      </c>
      <c r="H1296" s="16"/>
      <c r="I1296" s="36" t="str">
        <f t="shared" si="1"/>
        <v/>
      </c>
      <c r="J1296" s="16"/>
      <c r="K1296" s="15"/>
      <c r="L1296" s="15"/>
      <c r="M1296" s="36" t="str">
        <f t="array" ref="M1296">IF($A1296="","",IF($L1296="Atendido",IFERROR($I1296*INDEX(Config!$B:$B,MATCH($C1296,Config!$A:$A,0)),0),0))</f>
        <v/>
      </c>
      <c r="N1296" s="36" t="str">
        <f t="shared" si="2"/>
        <v/>
      </c>
      <c r="O1296" s="36" t="str">
        <f t="shared" si="3"/>
        <v/>
      </c>
      <c r="P1296" s="15"/>
      <c r="Q1296" s="37" t="str">
        <f t="shared" si="4"/>
        <v/>
      </c>
      <c r="R1296" s="37" t="str">
        <f t="shared" si="5"/>
        <v/>
      </c>
      <c r="S1296" s="32" t="str">
        <f t="shared" si="6"/>
        <v/>
      </c>
      <c r="T1296" s="37" t="str">
        <f t="shared" si="7"/>
        <v/>
      </c>
      <c r="U1296" s="37" t="str">
        <f t="array" ref="U1296">IF($F1296="","",IFERROR(INDEX(Config!$F:$F,MATCH($F1296,Config!$D:$D,0)),0))</f>
        <v/>
      </c>
    </row>
    <row r="1297" ht="15.0" customHeight="1">
      <c r="A1297" s="34"/>
      <c r="B1297" s="35"/>
      <c r="C1297" s="15"/>
      <c r="D1297" s="15"/>
      <c r="E1297" s="15"/>
      <c r="F1297" s="15"/>
      <c r="G1297" s="36" t="str">
        <f t="array" ref="G1297">IF($F1297="","",IFERROR(INDEX(Config!$E:$E,MATCH($F1297,Config!$D:$D,0)),0))</f>
        <v/>
      </c>
      <c r="H1297" s="16"/>
      <c r="I1297" s="36" t="str">
        <f t="shared" si="1"/>
        <v/>
      </c>
      <c r="J1297" s="16"/>
      <c r="K1297" s="15"/>
      <c r="L1297" s="15"/>
      <c r="M1297" s="36" t="str">
        <f t="array" ref="M1297">IF($A1297="","",IF($L1297="Atendido",IFERROR($I1297*INDEX(Config!$B:$B,MATCH($C1297,Config!$A:$A,0)),0),0))</f>
        <v/>
      </c>
      <c r="N1297" s="36" t="str">
        <f t="shared" si="2"/>
        <v/>
      </c>
      <c r="O1297" s="36" t="str">
        <f t="shared" si="3"/>
        <v/>
      </c>
      <c r="P1297" s="15"/>
      <c r="Q1297" s="37" t="str">
        <f t="shared" si="4"/>
        <v/>
      </c>
      <c r="R1297" s="37" t="str">
        <f t="shared" si="5"/>
        <v/>
      </c>
      <c r="S1297" s="32" t="str">
        <f t="shared" si="6"/>
        <v/>
      </c>
      <c r="T1297" s="37" t="str">
        <f t="shared" si="7"/>
        <v/>
      </c>
      <c r="U1297" s="37" t="str">
        <f t="array" ref="U1297">IF($F1297="","",IFERROR(INDEX(Config!$F:$F,MATCH($F1297,Config!$D:$D,0)),0))</f>
        <v/>
      </c>
    </row>
    <row r="1298" ht="15.0" customHeight="1">
      <c r="A1298" s="34"/>
      <c r="B1298" s="35"/>
      <c r="C1298" s="15"/>
      <c r="D1298" s="15"/>
      <c r="E1298" s="15"/>
      <c r="F1298" s="15"/>
      <c r="G1298" s="36" t="str">
        <f t="array" ref="G1298">IF($F1298="","",IFERROR(INDEX(Config!$E:$E,MATCH($F1298,Config!$D:$D,0)),0))</f>
        <v/>
      </c>
      <c r="H1298" s="16"/>
      <c r="I1298" s="36" t="str">
        <f t="shared" si="1"/>
        <v/>
      </c>
      <c r="J1298" s="16"/>
      <c r="K1298" s="15"/>
      <c r="L1298" s="15"/>
      <c r="M1298" s="36" t="str">
        <f t="array" ref="M1298">IF($A1298="","",IF($L1298="Atendido",IFERROR($I1298*INDEX(Config!$B:$B,MATCH($C1298,Config!$A:$A,0)),0),0))</f>
        <v/>
      </c>
      <c r="N1298" s="36" t="str">
        <f t="shared" si="2"/>
        <v/>
      </c>
      <c r="O1298" s="36" t="str">
        <f t="shared" si="3"/>
        <v/>
      </c>
      <c r="P1298" s="15"/>
      <c r="Q1298" s="37" t="str">
        <f t="shared" si="4"/>
        <v/>
      </c>
      <c r="R1298" s="37" t="str">
        <f t="shared" si="5"/>
        <v/>
      </c>
      <c r="S1298" s="32" t="str">
        <f t="shared" si="6"/>
        <v/>
      </c>
      <c r="T1298" s="37" t="str">
        <f t="shared" si="7"/>
        <v/>
      </c>
      <c r="U1298" s="37" t="str">
        <f t="array" ref="U1298">IF($F1298="","",IFERROR(INDEX(Config!$F:$F,MATCH($F1298,Config!$D:$D,0)),0))</f>
        <v/>
      </c>
    </row>
    <row r="1299" ht="15.0" customHeight="1">
      <c r="A1299" s="34"/>
      <c r="B1299" s="35"/>
      <c r="C1299" s="15"/>
      <c r="D1299" s="15"/>
      <c r="E1299" s="15"/>
      <c r="F1299" s="15"/>
      <c r="G1299" s="36" t="str">
        <f t="array" ref="G1299">IF($F1299="","",IFERROR(INDEX(Config!$E:$E,MATCH($F1299,Config!$D:$D,0)),0))</f>
        <v/>
      </c>
      <c r="H1299" s="16"/>
      <c r="I1299" s="36" t="str">
        <f t="shared" si="1"/>
        <v/>
      </c>
      <c r="J1299" s="16"/>
      <c r="K1299" s="15"/>
      <c r="L1299" s="15"/>
      <c r="M1299" s="36" t="str">
        <f t="array" ref="M1299">IF($A1299="","",IF($L1299="Atendido",IFERROR($I1299*INDEX(Config!$B:$B,MATCH($C1299,Config!$A:$A,0)),0),0))</f>
        <v/>
      </c>
      <c r="N1299" s="36" t="str">
        <f t="shared" si="2"/>
        <v/>
      </c>
      <c r="O1299" s="36" t="str">
        <f t="shared" si="3"/>
        <v/>
      </c>
      <c r="P1299" s="15"/>
      <c r="Q1299" s="37" t="str">
        <f t="shared" si="4"/>
        <v/>
      </c>
      <c r="R1299" s="37" t="str">
        <f t="shared" si="5"/>
        <v/>
      </c>
      <c r="S1299" s="32" t="str">
        <f t="shared" si="6"/>
        <v/>
      </c>
      <c r="T1299" s="37" t="str">
        <f t="shared" si="7"/>
        <v/>
      </c>
      <c r="U1299" s="37" t="str">
        <f t="array" ref="U1299">IF($F1299="","",IFERROR(INDEX(Config!$F:$F,MATCH($F1299,Config!$D:$D,0)),0))</f>
        <v/>
      </c>
    </row>
    <row r="1300" ht="15.0" customHeight="1">
      <c r="A1300" s="34"/>
      <c r="B1300" s="35"/>
      <c r="C1300" s="15"/>
      <c r="D1300" s="15"/>
      <c r="E1300" s="15"/>
      <c r="F1300" s="15"/>
      <c r="G1300" s="36" t="str">
        <f t="array" ref="G1300">IF($F1300="","",IFERROR(INDEX(Config!$E:$E,MATCH($F1300,Config!$D:$D,0)),0))</f>
        <v/>
      </c>
      <c r="H1300" s="16"/>
      <c r="I1300" s="36" t="str">
        <f t="shared" si="1"/>
        <v/>
      </c>
      <c r="J1300" s="16"/>
      <c r="K1300" s="15"/>
      <c r="L1300" s="15"/>
      <c r="M1300" s="36" t="str">
        <f t="array" ref="M1300">IF($A1300="","",IF($L1300="Atendido",IFERROR($I1300*INDEX(Config!$B:$B,MATCH($C1300,Config!$A:$A,0)),0),0))</f>
        <v/>
      </c>
      <c r="N1300" s="36" t="str">
        <f t="shared" si="2"/>
        <v/>
      </c>
      <c r="O1300" s="36" t="str">
        <f t="shared" si="3"/>
        <v/>
      </c>
      <c r="P1300" s="15"/>
      <c r="Q1300" s="37" t="str">
        <f t="shared" si="4"/>
        <v/>
      </c>
      <c r="R1300" s="37" t="str">
        <f t="shared" si="5"/>
        <v/>
      </c>
      <c r="S1300" s="32" t="str">
        <f t="shared" si="6"/>
        <v/>
      </c>
      <c r="T1300" s="37" t="str">
        <f t="shared" si="7"/>
        <v/>
      </c>
      <c r="U1300" s="37" t="str">
        <f t="array" ref="U1300">IF($F1300="","",IFERROR(INDEX(Config!$F:$F,MATCH($F1300,Config!$D:$D,0)),0))</f>
        <v/>
      </c>
    </row>
    <row r="1301" ht="15.0" customHeight="1">
      <c r="A1301" s="34"/>
      <c r="B1301" s="35"/>
      <c r="C1301" s="15"/>
      <c r="D1301" s="15"/>
      <c r="E1301" s="15"/>
      <c r="F1301" s="15"/>
      <c r="G1301" s="36" t="str">
        <f t="array" ref="G1301">IF($F1301="","",IFERROR(INDEX(Config!$E:$E,MATCH($F1301,Config!$D:$D,0)),0))</f>
        <v/>
      </c>
      <c r="H1301" s="16"/>
      <c r="I1301" s="36" t="str">
        <f t="shared" si="1"/>
        <v/>
      </c>
      <c r="J1301" s="16"/>
      <c r="K1301" s="15"/>
      <c r="L1301" s="15"/>
      <c r="M1301" s="36" t="str">
        <f t="array" ref="M1301">IF($A1301="","",IF($L1301="Atendido",IFERROR($I1301*INDEX(Config!$B:$B,MATCH($C1301,Config!$A:$A,0)),0),0))</f>
        <v/>
      </c>
      <c r="N1301" s="36" t="str">
        <f t="shared" si="2"/>
        <v/>
      </c>
      <c r="O1301" s="36" t="str">
        <f t="shared" si="3"/>
        <v/>
      </c>
      <c r="P1301" s="15"/>
      <c r="Q1301" s="37" t="str">
        <f t="shared" si="4"/>
        <v/>
      </c>
      <c r="R1301" s="37" t="str">
        <f t="shared" si="5"/>
        <v/>
      </c>
      <c r="S1301" s="32" t="str">
        <f t="shared" si="6"/>
        <v/>
      </c>
      <c r="T1301" s="37" t="str">
        <f t="shared" si="7"/>
        <v/>
      </c>
      <c r="U1301" s="37" t="str">
        <f t="array" ref="U1301">IF($F1301="","",IFERROR(INDEX(Config!$F:$F,MATCH($F1301,Config!$D:$D,0)),0))</f>
        <v/>
      </c>
    </row>
    <row r="1302" ht="15.0" customHeight="1">
      <c r="A1302" s="34"/>
      <c r="B1302" s="35"/>
      <c r="C1302" s="15"/>
      <c r="D1302" s="15"/>
      <c r="E1302" s="15"/>
      <c r="F1302" s="15"/>
      <c r="G1302" s="36" t="str">
        <f t="array" ref="G1302">IF($F1302="","",IFERROR(INDEX(Config!$E:$E,MATCH($F1302,Config!$D:$D,0)),0))</f>
        <v/>
      </c>
      <c r="H1302" s="16"/>
      <c r="I1302" s="36" t="str">
        <f t="shared" si="1"/>
        <v/>
      </c>
      <c r="J1302" s="16"/>
      <c r="K1302" s="15"/>
      <c r="L1302" s="15"/>
      <c r="M1302" s="36" t="str">
        <f t="array" ref="M1302">IF($A1302="","",IF($L1302="Atendido",IFERROR($I1302*INDEX(Config!$B:$B,MATCH($C1302,Config!$A:$A,0)),0),0))</f>
        <v/>
      </c>
      <c r="N1302" s="36" t="str">
        <f t="shared" si="2"/>
        <v/>
      </c>
      <c r="O1302" s="36" t="str">
        <f t="shared" si="3"/>
        <v/>
      </c>
      <c r="P1302" s="15"/>
      <c r="Q1302" s="37" t="str">
        <f t="shared" si="4"/>
        <v/>
      </c>
      <c r="R1302" s="37" t="str">
        <f t="shared" si="5"/>
        <v/>
      </c>
      <c r="S1302" s="32" t="str">
        <f t="shared" si="6"/>
        <v/>
      </c>
      <c r="T1302" s="37" t="str">
        <f t="shared" si="7"/>
        <v/>
      </c>
      <c r="U1302" s="37" t="str">
        <f t="array" ref="U1302">IF($F1302="","",IFERROR(INDEX(Config!$F:$F,MATCH($F1302,Config!$D:$D,0)),0))</f>
        <v/>
      </c>
    </row>
    <row r="1303" ht="15.0" customHeight="1">
      <c r="A1303" s="34"/>
      <c r="B1303" s="35"/>
      <c r="C1303" s="15"/>
      <c r="D1303" s="15"/>
      <c r="E1303" s="15"/>
      <c r="F1303" s="15"/>
      <c r="G1303" s="36" t="str">
        <f t="array" ref="G1303">IF($F1303="","",IFERROR(INDEX(Config!$E:$E,MATCH($F1303,Config!$D:$D,0)),0))</f>
        <v/>
      </c>
      <c r="H1303" s="16"/>
      <c r="I1303" s="36" t="str">
        <f t="shared" si="1"/>
        <v/>
      </c>
      <c r="J1303" s="16"/>
      <c r="K1303" s="15"/>
      <c r="L1303" s="15"/>
      <c r="M1303" s="36" t="str">
        <f t="array" ref="M1303">IF($A1303="","",IF($L1303="Atendido",IFERROR($I1303*INDEX(Config!$B:$B,MATCH($C1303,Config!$A:$A,0)),0),0))</f>
        <v/>
      </c>
      <c r="N1303" s="36" t="str">
        <f t="shared" si="2"/>
        <v/>
      </c>
      <c r="O1303" s="36" t="str">
        <f t="shared" si="3"/>
        <v/>
      </c>
      <c r="P1303" s="15"/>
      <c r="Q1303" s="37" t="str">
        <f t="shared" si="4"/>
        <v/>
      </c>
      <c r="R1303" s="37" t="str">
        <f t="shared" si="5"/>
        <v/>
      </c>
      <c r="S1303" s="32" t="str">
        <f t="shared" si="6"/>
        <v/>
      </c>
      <c r="T1303" s="37" t="str">
        <f t="shared" si="7"/>
        <v/>
      </c>
      <c r="U1303" s="37" t="str">
        <f t="array" ref="U1303">IF($F1303="","",IFERROR(INDEX(Config!$F:$F,MATCH($F1303,Config!$D:$D,0)),0))</f>
        <v/>
      </c>
    </row>
    <row r="1304" ht="15.0" customHeight="1">
      <c r="A1304" s="34"/>
      <c r="B1304" s="35"/>
      <c r="C1304" s="15"/>
      <c r="D1304" s="15"/>
      <c r="E1304" s="15"/>
      <c r="F1304" s="15"/>
      <c r="G1304" s="36" t="str">
        <f t="array" ref="G1304">IF($F1304="","",IFERROR(INDEX(Config!$E:$E,MATCH($F1304,Config!$D:$D,0)),0))</f>
        <v/>
      </c>
      <c r="H1304" s="16"/>
      <c r="I1304" s="36" t="str">
        <f t="shared" si="1"/>
        <v/>
      </c>
      <c r="J1304" s="16"/>
      <c r="K1304" s="15"/>
      <c r="L1304" s="15"/>
      <c r="M1304" s="36" t="str">
        <f t="array" ref="M1304">IF($A1304="","",IF($L1304="Atendido",IFERROR($I1304*INDEX(Config!$B:$B,MATCH($C1304,Config!$A:$A,0)),0),0))</f>
        <v/>
      </c>
      <c r="N1304" s="36" t="str">
        <f t="shared" si="2"/>
        <v/>
      </c>
      <c r="O1304" s="36" t="str">
        <f t="shared" si="3"/>
        <v/>
      </c>
      <c r="P1304" s="15"/>
      <c r="Q1304" s="37" t="str">
        <f t="shared" si="4"/>
        <v/>
      </c>
      <c r="R1304" s="37" t="str">
        <f t="shared" si="5"/>
        <v/>
      </c>
      <c r="S1304" s="32" t="str">
        <f t="shared" si="6"/>
        <v/>
      </c>
      <c r="T1304" s="37" t="str">
        <f t="shared" si="7"/>
        <v/>
      </c>
      <c r="U1304" s="37" t="str">
        <f t="array" ref="U1304">IF($F1304="","",IFERROR(INDEX(Config!$F:$F,MATCH($F1304,Config!$D:$D,0)),0))</f>
        <v/>
      </c>
    </row>
    <row r="1305" ht="15.0" customHeight="1">
      <c r="A1305" s="34"/>
      <c r="B1305" s="35"/>
      <c r="C1305" s="15"/>
      <c r="D1305" s="15"/>
      <c r="E1305" s="15"/>
      <c r="F1305" s="15"/>
      <c r="G1305" s="36" t="str">
        <f t="array" ref="G1305">IF($F1305="","",IFERROR(INDEX(Config!$E:$E,MATCH($F1305,Config!$D:$D,0)),0))</f>
        <v/>
      </c>
      <c r="H1305" s="16"/>
      <c r="I1305" s="36" t="str">
        <f t="shared" si="1"/>
        <v/>
      </c>
      <c r="J1305" s="16"/>
      <c r="K1305" s="15"/>
      <c r="L1305" s="15"/>
      <c r="M1305" s="36" t="str">
        <f t="array" ref="M1305">IF($A1305="","",IF($L1305="Atendido",IFERROR($I1305*INDEX(Config!$B:$B,MATCH($C1305,Config!$A:$A,0)),0),0))</f>
        <v/>
      </c>
      <c r="N1305" s="36" t="str">
        <f t="shared" si="2"/>
        <v/>
      </c>
      <c r="O1305" s="36" t="str">
        <f t="shared" si="3"/>
        <v/>
      </c>
      <c r="P1305" s="15"/>
      <c r="Q1305" s="37" t="str">
        <f t="shared" si="4"/>
        <v/>
      </c>
      <c r="R1305" s="37" t="str">
        <f t="shared" si="5"/>
        <v/>
      </c>
      <c r="S1305" s="32" t="str">
        <f t="shared" si="6"/>
        <v/>
      </c>
      <c r="T1305" s="37" t="str">
        <f t="shared" si="7"/>
        <v/>
      </c>
      <c r="U1305" s="37" t="str">
        <f t="array" ref="U1305">IF($F1305="","",IFERROR(INDEX(Config!$F:$F,MATCH($F1305,Config!$D:$D,0)),0))</f>
        <v/>
      </c>
    </row>
    <row r="1306" ht="15.0" customHeight="1">
      <c r="A1306" s="34"/>
      <c r="B1306" s="35"/>
      <c r="C1306" s="15"/>
      <c r="D1306" s="15"/>
      <c r="E1306" s="15"/>
      <c r="F1306" s="15"/>
      <c r="G1306" s="36" t="str">
        <f t="array" ref="G1306">IF($F1306="","",IFERROR(INDEX(Config!$E:$E,MATCH($F1306,Config!$D:$D,0)),0))</f>
        <v/>
      </c>
      <c r="H1306" s="16"/>
      <c r="I1306" s="36" t="str">
        <f t="shared" si="1"/>
        <v/>
      </c>
      <c r="J1306" s="16"/>
      <c r="K1306" s="15"/>
      <c r="L1306" s="15"/>
      <c r="M1306" s="36" t="str">
        <f t="array" ref="M1306">IF($A1306="","",IF($L1306="Atendido",IFERROR($I1306*INDEX(Config!$B:$B,MATCH($C1306,Config!$A:$A,0)),0),0))</f>
        <v/>
      </c>
      <c r="N1306" s="36" t="str">
        <f t="shared" si="2"/>
        <v/>
      </c>
      <c r="O1306" s="36" t="str">
        <f t="shared" si="3"/>
        <v/>
      </c>
      <c r="P1306" s="15"/>
      <c r="Q1306" s="37" t="str">
        <f t="shared" si="4"/>
        <v/>
      </c>
      <c r="R1306" s="37" t="str">
        <f t="shared" si="5"/>
        <v/>
      </c>
      <c r="S1306" s="32" t="str">
        <f t="shared" si="6"/>
        <v/>
      </c>
      <c r="T1306" s="37" t="str">
        <f t="shared" si="7"/>
        <v/>
      </c>
      <c r="U1306" s="37" t="str">
        <f t="array" ref="U1306">IF($F1306="","",IFERROR(INDEX(Config!$F:$F,MATCH($F1306,Config!$D:$D,0)),0))</f>
        <v/>
      </c>
    </row>
    <row r="1307" ht="15.0" customHeight="1">
      <c r="A1307" s="34"/>
      <c r="B1307" s="35"/>
      <c r="C1307" s="15"/>
      <c r="D1307" s="15"/>
      <c r="E1307" s="15"/>
      <c r="F1307" s="15"/>
      <c r="G1307" s="36" t="str">
        <f t="array" ref="G1307">IF($F1307="","",IFERROR(INDEX(Config!$E:$E,MATCH($F1307,Config!$D:$D,0)),0))</f>
        <v/>
      </c>
      <c r="H1307" s="16"/>
      <c r="I1307" s="36" t="str">
        <f t="shared" si="1"/>
        <v/>
      </c>
      <c r="J1307" s="16"/>
      <c r="K1307" s="15"/>
      <c r="L1307" s="15"/>
      <c r="M1307" s="36" t="str">
        <f t="array" ref="M1307">IF($A1307="","",IF($L1307="Atendido",IFERROR($I1307*INDEX(Config!$B:$B,MATCH($C1307,Config!$A:$A,0)),0),0))</f>
        <v/>
      </c>
      <c r="N1307" s="36" t="str">
        <f t="shared" si="2"/>
        <v/>
      </c>
      <c r="O1307" s="36" t="str">
        <f t="shared" si="3"/>
        <v/>
      </c>
      <c r="P1307" s="15"/>
      <c r="Q1307" s="37" t="str">
        <f t="shared" si="4"/>
        <v/>
      </c>
      <c r="R1307" s="37" t="str">
        <f t="shared" si="5"/>
        <v/>
      </c>
      <c r="S1307" s="32" t="str">
        <f t="shared" si="6"/>
        <v/>
      </c>
      <c r="T1307" s="37" t="str">
        <f t="shared" si="7"/>
        <v/>
      </c>
      <c r="U1307" s="37" t="str">
        <f t="array" ref="U1307">IF($F1307="","",IFERROR(INDEX(Config!$F:$F,MATCH($F1307,Config!$D:$D,0)),0))</f>
        <v/>
      </c>
    </row>
    <row r="1308" ht="15.0" customHeight="1">
      <c r="A1308" s="34"/>
      <c r="B1308" s="35"/>
      <c r="C1308" s="15"/>
      <c r="D1308" s="15"/>
      <c r="E1308" s="15"/>
      <c r="F1308" s="15"/>
      <c r="G1308" s="36" t="str">
        <f t="array" ref="G1308">IF($F1308="","",IFERROR(INDEX(Config!$E:$E,MATCH($F1308,Config!$D:$D,0)),0))</f>
        <v/>
      </c>
      <c r="H1308" s="16"/>
      <c r="I1308" s="36" t="str">
        <f t="shared" si="1"/>
        <v/>
      </c>
      <c r="J1308" s="16"/>
      <c r="K1308" s="15"/>
      <c r="L1308" s="15"/>
      <c r="M1308" s="36" t="str">
        <f t="array" ref="M1308">IF($A1308="","",IF($L1308="Atendido",IFERROR($I1308*INDEX(Config!$B:$B,MATCH($C1308,Config!$A:$A,0)),0),0))</f>
        <v/>
      </c>
      <c r="N1308" s="36" t="str">
        <f t="shared" si="2"/>
        <v/>
      </c>
      <c r="O1308" s="36" t="str">
        <f t="shared" si="3"/>
        <v/>
      </c>
      <c r="P1308" s="15"/>
      <c r="Q1308" s="37" t="str">
        <f t="shared" si="4"/>
        <v/>
      </c>
      <c r="R1308" s="37" t="str">
        <f t="shared" si="5"/>
        <v/>
      </c>
      <c r="S1308" s="32" t="str">
        <f t="shared" si="6"/>
        <v/>
      </c>
      <c r="T1308" s="37" t="str">
        <f t="shared" si="7"/>
        <v/>
      </c>
      <c r="U1308" s="37" t="str">
        <f t="array" ref="U1308">IF($F1308="","",IFERROR(INDEX(Config!$F:$F,MATCH($F1308,Config!$D:$D,0)),0))</f>
        <v/>
      </c>
    </row>
    <row r="1309" ht="15.0" customHeight="1">
      <c r="A1309" s="34"/>
      <c r="B1309" s="35"/>
      <c r="C1309" s="15"/>
      <c r="D1309" s="15"/>
      <c r="E1309" s="15"/>
      <c r="F1309" s="15"/>
      <c r="G1309" s="36" t="str">
        <f t="array" ref="G1309">IF($F1309="","",IFERROR(INDEX(Config!$E:$E,MATCH($F1309,Config!$D:$D,0)),0))</f>
        <v/>
      </c>
      <c r="H1309" s="16"/>
      <c r="I1309" s="36" t="str">
        <f t="shared" si="1"/>
        <v/>
      </c>
      <c r="J1309" s="16"/>
      <c r="K1309" s="15"/>
      <c r="L1309" s="15"/>
      <c r="M1309" s="36" t="str">
        <f t="array" ref="M1309">IF($A1309="","",IF($L1309="Atendido",IFERROR($I1309*INDEX(Config!$B:$B,MATCH($C1309,Config!$A:$A,0)),0),0))</f>
        <v/>
      </c>
      <c r="N1309" s="36" t="str">
        <f t="shared" si="2"/>
        <v/>
      </c>
      <c r="O1309" s="36" t="str">
        <f t="shared" si="3"/>
        <v/>
      </c>
      <c r="P1309" s="15"/>
      <c r="Q1309" s="37" t="str">
        <f t="shared" si="4"/>
        <v/>
      </c>
      <c r="R1309" s="37" t="str">
        <f t="shared" si="5"/>
        <v/>
      </c>
      <c r="S1309" s="32" t="str">
        <f t="shared" si="6"/>
        <v/>
      </c>
      <c r="T1309" s="37" t="str">
        <f t="shared" si="7"/>
        <v/>
      </c>
      <c r="U1309" s="37" t="str">
        <f t="array" ref="U1309">IF($F1309="","",IFERROR(INDEX(Config!$F:$F,MATCH($F1309,Config!$D:$D,0)),0))</f>
        <v/>
      </c>
    </row>
    <row r="1310" ht="15.0" customHeight="1">
      <c r="A1310" s="34"/>
      <c r="B1310" s="35"/>
      <c r="C1310" s="15"/>
      <c r="D1310" s="15"/>
      <c r="E1310" s="15"/>
      <c r="F1310" s="15"/>
      <c r="G1310" s="36" t="str">
        <f t="array" ref="G1310">IF($F1310="","",IFERROR(INDEX(Config!$E:$E,MATCH($F1310,Config!$D:$D,0)),0))</f>
        <v/>
      </c>
      <c r="H1310" s="16"/>
      <c r="I1310" s="36" t="str">
        <f t="shared" si="1"/>
        <v/>
      </c>
      <c r="J1310" s="16"/>
      <c r="K1310" s="15"/>
      <c r="L1310" s="15"/>
      <c r="M1310" s="36" t="str">
        <f t="array" ref="M1310">IF($A1310="","",IF($L1310="Atendido",IFERROR($I1310*INDEX(Config!$B:$B,MATCH($C1310,Config!$A:$A,0)),0),0))</f>
        <v/>
      </c>
      <c r="N1310" s="36" t="str">
        <f t="shared" si="2"/>
        <v/>
      </c>
      <c r="O1310" s="36" t="str">
        <f t="shared" si="3"/>
        <v/>
      </c>
      <c r="P1310" s="15"/>
      <c r="Q1310" s="37" t="str">
        <f t="shared" si="4"/>
        <v/>
      </c>
      <c r="R1310" s="37" t="str">
        <f t="shared" si="5"/>
        <v/>
      </c>
      <c r="S1310" s="32" t="str">
        <f t="shared" si="6"/>
        <v/>
      </c>
      <c r="T1310" s="37" t="str">
        <f t="shared" si="7"/>
        <v/>
      </c>
      <c r="U1310" s="37" t="str">
        <f t="array" ref="U1310">IF($F1310="","",IFERROR(INDEX(Config!$F:$F,MATCH($F1310,Config!$D:$D,0)),0))</f>
        <v/>
      </c>
    </row>
    <row r="1311" ht="15.0" customHeight="1">
      <c r="A1311" s="34"/>
      <c r="B1311" s="35"/>
      <c r="C1311" s="15"/>
      <c r="D1311" s="15"/>
      <c r="E1311" s="15"/>
      <c r="F1311" s="15"/>
      <c r="G1311" s="36" t="str">
        <f t="array" ref="G1311">IF($F1311="","",IFERROR(INDEX(Config!$E:$E,MATCH($F1311,Config!$D:$D,0)),0))</f>
        <v/>
      </c>
      <c r="H1311" s="16"/>
      <c r="I1311" s="36" t="str">
        <f t="shared" si="1"/>
        <v/>
      </c>
      <c r="J1311" s="16"/>
      <c r="K1311" s="15"/>
      <c r="L1311" s="15"/>
      <c r="M1311" s="36" t="str">
        <f t="array" ref="M1311">IF($A1311="","",IF($L1311="Atendido",IFERROR($I1311*INDEX(Config!$B:$B,MATCH($C1311,Config!$A:$A,0)),0),0))</f>
        <v/>
      </c>
      <c r="N1311" s="36" t="str">
        <f t="shared" si="2"/>
        <v/>
      </c>
      <c r="O1311" s="36" t="str">
        <f t="shared" si="3"/>
        <v/>
      </c>
      <c r="P1311" s="15"/>
      <c r="Q1311" s="37" t="str">
        <f t="shared" si="4"/>
        <v/>
      </c>
      <c r="R1311" s="37" t="str">
        <f t="shared" si="5"/>
        <v/>
      </c>
      <c r="S1311" s="32" t="str">
        <f t="shared" si="6"/>
        <v/>
      </c>
      <c r="T1311" s="37" t="str">
        <f t="shared" si="7"/>
        <v/>
      </c>
      <c r="U1311" s="37" t="str">
        <f t="array" ref="U1311">IF($F1311="","",IFERROR(INDEX(Config!$F:$F,MATCH($F1311,Config!$D:$D,0)),0))</f>
        <v/>
      </c>
    </row>
    <row r="1312" ht="15.0" customHeight="1">
      <c r="A1312" s="34"/>
      <c r="B1312" s="35"/>
      <c r="C1312" s="15"/>
      <c r="D1312" s="15"/>
      <c r="E1312" s="15"/>
      <c r="F1312" s="15"/>
      <c r="G1312" s="36" t="str">
        <f t="array" ref="G1312">IF($F1312="","",IFERROR(INDEX(Config!$E:$E,MATCH($F1312,Config!$D:$D,0)),0))</f>
        <v/>
      </c>
      <c r="H1312" s="16"/>
      <c r="I1312" s="36" t="str">
        <f t="shared" si="1"/>
        <v/>
      </c>
      <c r="J1312" s="16"/>
      <c r="K1312" s="15"/>
      <c r="L1312" s="15"/>
      <c r="M1312" s="36" t="str">
        <f t="array" ref="M1312">IF($A1312="","",IF($L1312="Atendido",IFERROR($I1312*INDEX(Config!$B:$B,MATCH($C1312,Config!$A:$A,0)),0),0))</f>
        <v/>
      </c>
      <c r="N1312" s="36" t="str">
        <f t="shared" si="2"/>
        <v/>
      </c>
      <c r="O1312" s="36" t="str">
        <f t="shared" si="3"/>
        <v/>
      </c>
      <c r="P1312" s="15"/>
      <c r="Q1312" s="37" t="str">
        <f t="shared" si="4"/>
        <v/>
      </c>
      <c r="R1312" s="37" t="str">
        <f t="shared" si="5"/>
        <v/>
      </c>
      <c r="S1312" s="32" t="str">
        <f t="shared" si="6"/>
        <v/>
      </c>
      <c r="T1312" s="37" t="str">
        <f t="shared" si="7"/>
        <v/>
      </c>
      <c r="U1312" s="37" t="str">
        <f t="array" ref="U1312">IF($F1312="","",IFERROR(INDEX(Config!$F:$F,MATCH($F1312,Config!$D:$D,0)),0))</f>
        <v/>
      </c>
    </row>
    <row r="1313" ht="15.0" customHeight="1">
      <c r="A1313" s="34"/>
      <c r="B1313" s="35"/>
      <c r="C1313" s="15"/>
      <c r="D1313" s="15"/>
      <c r="E1313" s="15"/>
      <c r="F1313" s="15"/>
      <c r="G1313" s="36" t="str">
        <f t="array" ref="G1313">IF($F1313="","",IFERROR(INDEX(Config!$E:$E,MATCH($F1313,Config!$D:$D,0)),0))</f>
        <v/>
      </c>
      <c r="H1313" s="16"/>
      <c r="I1313" s="36" t="str">
        <f t="shared" si="1"/>
        <v/>
      </c>
      <c r="J1313" s="16"/>
      <c r="K1313" s="15"/>
      <c r="L1313" s="15"/>
      <c r="M1313" s="36" t="str">
        <f t="array" ref="M1313">IF($A1313="","",IF($L1313="Atendido",IFERROR($I1313*INDEX(Config!$B:$B,MATCH($C1313,Config!$A:$A,0)),0),0))</f>
        <v/>
      </c>
      <c r="N1313" s="36" t="str">
        <f t="shared" si="2"/>
        <v/>
      </c>
      <c r="O1313" s="36" t="str">
        <f t="shared" si="3"/>
        <v/>
      </c>
      <c r="P1313" s="15"/>
      <c r="Q1313" s="37" t="str">
        <f t="shared" si="4"/>
        <v/>
      </c>
      <c r="R1313" s="37" t="str">
        <f t="shared" si="5"/>
        <v/>
      </c>
      <c r="S1313" s="32" t="str">
        <f t="shared" si="6"/>
        <v/>
      </c>
      <c r="T1313" s="37" t="str">
        <f t="shared" si="7"/>
        <v/>
      </c>
      <c r="U1313" s="37" t="str">
        <f t="array" ref="U1313">IF($F1313="","",IFERROR(INDEX(Config!$F:$F,MATCH($F1313,Config!$D:$D,0)),0))</f>
        <v/>
      </c>
    </row>
    <row r="1314" ht="15.0" customHeight="1">
      <c r="A1314" s="34"/>
      <c r="B1314" s="35"/>
      <c r="C1314" s="15"/>
      <c r="D1314" s="15"/>
      <c r="E1314" s="15"/>
      <c r="F1314" s="15"/>
      <c r="G1314" s="36" t="str">
        <f t="array" ref="G1314">IF($F1314="","",IFERROR(INDEX(Config!$E:$E,MATCH($F1314,Config!$D:$D,0)),0))</f>
        <v/>
      </c>
      <c r="H1314" s="16"/>
      <c r="I1314" s="36" t="str">
        <f t="shared" si="1"/>
        <v/>
      </c>
      <c r="J1314" s="16"/>
      <c r="K1314" s="15"/>
      <c r="L1314" s="15"/>
      <c r="M1314" s="36" t="str">
        <f t="array" ref="M1314">IF($A1314="","",IF($L1314="Atendido",IFERROR($I1314*INDEX(Config!$B:$B,MATCH($C1314,Config!$A:$A,0)),0),0))</f>
        <v/>
      </c>
      <c r="N1314" s="36" t="str">
        <f t="shared" si="2"/>
        <v/>
      </c>
      <c r="O1314" s="36" t="str">
        <f t="shared" si="3"/>
        <v/>
      </c>
      <c r="P1314" s="15"/>
      <c r="Q1314" s="37" t="str">
        <f t="shared" si="4"/>
        <v/>
      </c>
      <c r="R1314" s="37" t="str">
        <f t="shared" si="5"/>
        <v/>
      </c>
      <c r="S1314" s="32" t="str">
        <f t="shared" si="6"/>
        <v/>
      </c>
      <c r="T1314" s="37" t="str">
        <f t="shared" si="7"/>
        <v/>
      </c>
      <c r="U1314" s="37" t="str">
        <f t="array" ref="U1314">IF($F1314="","",IFERROR(INDEX(Config!$F:$F,MATCH($F1314,Config!$D:$D,0)),0))</f>
        <v/>
      </c>
    </row>
    <row r="1315" ht="15.0" customHeight="1">
      <c r="A1315" s="34"/>
      <c r="B1315" s="35"/>
      <c r="C1315" s="15"/>
      <c r="D1315" s="15"/>
      <c r="E1315" s="15"/>
      <c r="F1315" s="15"/>
      <c r="G1315" s="36" t="str">
        <f t="array" ref="G1315">IF($F1315="","",IFERROR(INDEX(Config!$E:$E,MATCH($F1315,Config!$D:$D,0)),0))</f>
        <v/>
      </c>
      <c r="H1315" s="16"/>
      <c r="I1315" s="36" t="str">
        <f t="shared" si="1"/>
        <v/>
      </c>
      <c r="J1315" s="16"/>
      <c r="K1315" s="15"/>
      <c r="L1315" s="15"/>
      <c r="M1315" s="36" t="str">
        <f t="array" ref="M1315">IF($A1315="","",IF($L1315="Atendido",IFERROR($I1315*INDEX(Config!$B:$B,MATCH($C1315,Config!$A:$A,0)),0),0))</f>
        <v/>
      </c>
      <c r="N1315" s="36" t="str">
        <f t="shared" si="2"/>
        <v/>
      </c>
      <c r="O1315" s="36" t="str">
        <f t="shared" si="3"/>
        <v/>
      </c>
      <c r="P1315" s="15"/>
      <c r="Q1315" s="37" t="str">
        <f t="shared" si="4"/>
        <v/>
      </c>
      <c r="R1315" s="37" t="str">
        <f t="shared" si="5"/>
        <v/>
      </c>
      <c r="S1315" s="32" t="str">
        <f t="shared" si="6"/>
        <v/>
      </c>
      <c r="T1315" s="37" t="str">
        <f t="shared" si="7"/>
        <v/>
      </c>
      <c r="U1315" s="37" t="str">
        <f t="array" ref="U1315">IF($F1315="","",IFERROR(INDEX(Config!$F:$F,MATCH($F1315,Config!$D:$D,0)),0))</f>
        <v/>
      </c>
    </row>
    <row r="1316" ht="15.0" customHeight="1">
      <c r="A1316" s="34"/>
      <c r="B1316" s="35"/>
      <c r="C1316" s="15"/>
      <c r="D1316" s="15"/>
      <c r="E1316" s="15"/>
      <c r="F1316" s="15"/>
      <c r="G1316" s="36" t="str">
        <f t="array" ref="G1316">IF($F1316="","",IFERROR(INDEX(Config!$E:$E,MATCH($F1316,Config!$D:$D,0)),0))</f>
        <v/>
      </c>
      <c r="H1316" s="16"/>
      <c r="I1316" s="36" t="str">
        <f t="shared" si="1"/>
        <v/>
      </c>
      <c r="J1316" s="16"/>
      <c r="K1316" s="15"/>
      <c r="L1316" s="15"/>
      <c r="M1316" s="36" t="str">
        <f t="array" ref="M1316">IF($A1316="","",IF($L1316="Atendido",IFERROR($I1316*INDEX(Config!$B:$B,MATCH($C1316,Config!$A:$A,0)),0),0))</f>
        <v/>
      </c>
      <c r="N1316" s="36" t="str">
        <f t="shared" si="2"/>
        <v/>
      </c>
      <c r="O1316" s="36" t="str">
        <f t="shared" si="3"/>
        <v/>
      </c>
      <c r="P1316" s="15"/>
      <c r="Q1316" s="37" t="str">
        <f t="shared" si="4"/>
        <v/>
      </c>
      <c r="R1316" s="37" t="str">
        <f t="shared" si="5"/>
        <v/>
      </c>
      <c r="S1316" s="32" t="str">
        <f t="shared" si="6"/>
        <v/>
      </c>
      <c r="T1316" s="37" t="str">
        <f t="shared" si="7"/>
        <v/>
      </c>
      <c r="U1316" s="37" t="str">
        <f t="array" ref="U1316">IF($F1316="","",IFERROR(INDEX(Config!$F:$F,MATCH($F1316,Config!$D:$D,0)),0))</f>
        <v/>
      </c>
    </row>
    <row r="1317" ht="15.0" customHeight="1">
      <c r="A1317" s="34"/>
      <c r="B1317" s="35"/>
      <c r="C1317" s="15"/>
      <c r="D1317" s="15"/>
      <c r="E1317" s="15"/>
      <c r="F1317" s="15"/>
      <c r="G1317" s="36" t="str">
        <f t="array" ref="G1317">IF($F1317="","",IFERROR(INDEX(Config!$E:$E,MATCH($F1317,Config!$D:$D,0)),0))</f>
        <v/>
      </c>
      <c r="H1317" s="16"/>
      <c r="I1317" s="36" t="str">
        <f t="shared" si="1"/>
        <v/>
      </c>
      <c r="J1317" s="16"/>
      <c r="K1317" s="15"/>
      <c r="L1317" s="15"/>
      <c r="M1317" s="36" t="str">
        <f t="array" ref="M1317">IF($A1317="","",IF($L1317="Atendido",IFERROR($I1317*INDEX(Config!$B:$B,MATCH($C1317,Config!$A:$A,0)),0),0))</f>
        <v/>
      </c>
      <c r="N1317" s="36" t="str">
        <f t="shared" si="2"/>
        <v/>
      </c>
      <c r="O1317" s="36" t="str">
        <f t="shared" si="3"/>
        <v/>
      </c>
      <c r="P1317" s="15"/>
      <c r="Q1317" s="37" t="str">
        <f t="shared" si="4"/>
        <v/>
      </c>
      <c r="R1317" s="37" t="str">
        <f t="shared" si="5"/>
        <v/>
      </c>
      <c r="S1317" s="32" t="str">
        <f t="shared" si="6"/>
        <v/>
      </c>
      <c r="T1317" s="37" t="str">
        <f t="shared" si="7"/>
        <v/>
      </c>
      <c r="U1317" s="37" t="str">
        <f t="array" ref="U1317">IF($F1317="","",IFERROR(INDEX(Config!$F:$F,MATCH($F1317,Config!$D:$D,0)),0))</f>
        <v/>
      </c>
    </row>
    <row r="1318" ht="15.0" customHeight="1">
      <c r="A1318" s="34"/>
      <c r="B1318" s="35"/>
      <c r="C1318" s="15"/>
      <c r="D1318" s="15"/>
      <c r="E1318" s="15"/>
      <c r="F1318" s="15"/>
      <c r="G1318" s="36" t="str">
        <f t="array" ref="G1318">IF($F1318="","",IFERROR(INDEX(Config!$E:$E,MATCH($F1318,Config!$D:$D,0)),0))</f>
        <v/>
      </c>
      <c r="H1318" s="16"/>
      <c r="I1318" s="36" t="str">
        <f t="shared" si="1"/>
        <v/>
      </c>
      <c r="J1318" s="16"/>
      <c r="K1318" s="15"/>
      <c r="L1318" s="15"/>
      <c r="M1318" s="36" t="str">
        <f t="array" ref="M1318">IF($A1318="","",IF($L1318="Atendido",IFERROR($I1318*INDEX(Config!$B:$B,MATCH($C1318,Config!$A:$A,0)),0),0))</f>
        <v/>
      </c>
      <c r="N1318" s="36" t="str">
        <f t="shared" si="2"/>
        <v/>
      </c>
      <c r="O1318" s="36" t="str">
        <f t="shared" si="3"/>
        <v/>
      </c>
      <c r="P1318" s="15"/>
      <c r="Q1318" s="37" t="str">
        <f t="shared" si="4"/>
        <v/>
      </c>
      <c r="R1318" s="37" t="str">
        <f t="shared" si="5"/>
        <v/>
      </c>
      <c r="S1318" s="32" t="str">
        <f t="shared" si="6"/>
        <v/>
      </c>
      <c r="T1318" s="37" t="str">
        <f t="shared" si="7"/>
        <v/>
      </c>
      <c r="U1318" s="37" t="str">
        <f t="array" ref="U1318">IF($F1318="","",IFERROR(INDEX(Config!$F:$F,MATCH($F1318,Config!$D:$D,0)),0))</f>
        <v/>
      </c>
    </row>
    <row r="1319" ht="15.0" customHeight="1">
      <c r="A1319" s="34"/>
      <c r="B1319" s="35"/>
      <c r="C1319" s="15"/>
      <c r="D1319" s="15"/>
      <c r="E1319" s="15"/>
      <c r="F1319" s="15"/>
      <c r="G1319" s="36" t="str">
        <f t="array" ref="G1319">IF($F1319="","",IFERROR(INDEX(Config!$E:$E,MATCH($F1319,Config!$D:$D,0)),0))</f>
        <v/>
      </c>
      <c r="H1319" s="16"/>
      <c r="I1319" s="36" t="str">
        <f t="shared" si="1"/>
        <v/>
      </c>
      <c r="J1319" s="16"/>
      <c r="K1319" s="15"/>
      <c r="L1319" s="15"/>
      <c r="M1319" s="36" t="str">
        <f t="array" ref="M1319">IF($A1319="","",IF($L1319="Atendido",IFERROR($I1319*INDEX(Config!$B:$B,MATCH($C1319,Config!$A:$A,0)),0),0))</f>
        <v/>
      </c>
      <c r="N1319" s="36" t="str">
        <f t="shared" si="2"/>
        <v/>
      </c>
      <c r="O1319" s="36" t="str">
        <f t="shared" si="3"/>
        <v/>
      </c>
      <c r="P1319" s="15"/>
      <c r="Q1319" s="37" t="str">
        <f t="shared" si="4"/>
        <v/>
      </c>
      <c r="R1319" s="37" t="str">
        <f t="shared" si="5"/>
        <v/>
      </c>
      <c r="S1319" s="32" t="str">
        <f t="shared" si="6"/>
        <v/>
      </c>
      <c r="T1319" s="37" t="str">
        <f t="shared" si="7"/>
        <v/>
      </c>
      <c r="U1319" s="37" t="str">
        <f t="array" ref="U1319">IF($F1319="","",IFERROR(INDEX(Config!$F:$F,MATCH($F1319,Config!$D:$D,0)),0))</f>
        <v/>
      </c>
    </row>
    <row r="1320" ht="15.0" customHeight="1">
      <c r="A1320" s="34"/>
      <c r="B1320" s="35"/>
      <c r="C1320" s="15"/>
      <c r="D1320" s="15"/>
      <c r="E1320" s="15"/>
      <c r="F1320" s="15"/>
      <c r="G1320" s="36" t="str">
        <f t="array" ref="G1320">IF($F1320="","",IFERROR(INDEX(Config!$E:$E,MATCH($F1320,Config!$D:$D,0)),0))</f>
        <v/>
      </c>
      <c r="H1320" s="16"/>
      <c r="I1320" s="36" t="str">
        <f t="shared" si="1"/>
        <v/>
      </c>
      <c r="J1320" s="16"/>
      <c r="K1320" s="15"/>
      <c r="L1320" s="15"/>
      <c r="M1320" s="36" t="str">
        <f t="array" ref="M1320">IF($A1320="","",IF($L1320="Atendido",IFERROR($I1320*INDEX(Config!$B:$B,MATCH($C1320,Config!$A:$A,0)),0),0))</f>
        <v/>
      </c>
      <c r="N1320" s="36" t="str">
        <f t="shared" si="2"/>
        <v/>
      </c>
      <c r="O1320" s="36" t="str">
        <f t="shared" si="3"/>
        <v/>
      </c>
      <c r="P1320" s="15"/>
      <c r="Q1320" s="37" t="str">
        <f t="shared" si="4"/>
        <v/>
      </c>
      <c r="R1320" s="37" t="str">
        <f t="shared" si="5"/>
        <v/>
      </c>
      <c r="S1320" s="32" t="str">
        <f t="shared" si="6"/>
        <v/>
      </c>
      <c r="T1320" s="37" t="str">
        <f t="shared" si="7"/>
        <v/>
      </c>
      <c r="U1320" s="37" t="str">
        <f t="array" ref="U1320">IF($F1320="","",IFERROR(INDEX(Config!$F:$F,MATCH($F1320,Config!$D:$D,0)),0))</f>
        <v/>
      </c>
    </row>
    <row r="1321" ht="15.0" customHeight="1">
      <c r="A1321" s="34"/>
      <c r="B1321" s="35"/>
      <c r="C1321" s="15"/>
      <c r="D1321" s="15"/>
      <c r="E1321" s="15"/>
      <c r="F1321" s="15"/>
      <c r="G1321" s="36" t="str">
        <f t="array" ref="G1321">IF($F1321="","",IFERROR(INDEX(Config!$E:$E,MATCH($F1321,Config!$D:$D,0)),0))</f>
        <v/>
      </c>
      <c r="H1321" s="16"/>
      <c r="I1321" s="36" t="str">
        <f t="shared" si="1"/>
        <v/>
      </c>
      <c r="J1321" s="16"/>
      <c r="K1321" s="15"/>
      <c r="L1321" s="15"/>
      <c r="M1321" s="36" t="str">
        <f t="array" ref="M1321">IF($A1321="","",IF($L1321="Atendido",IFERROR($I1321*INDEX(Config!$B:$B,MATCH($C1321,Config!$A:$A,0)),0),0))</f>
        <v/>
      </c>
      <c r="N1321" s="36" t="str">
        <f t="shared" si="2"/>
        <v/>
      </c>
      <c r="O1321" s="36" t="str">
        <f t="shared" si="3"/>
        <v/>
      </c>
      <c r="P1321" s="15"/>
      <c r="Q1321" s="37" t="str">
        <f t="shared" si="4"/>
        <v/>
      </c>
      <c r="R1321" s="37" t="str">
        <f t="shared" si="5"/>
        <v/>
      </c>
      <c r="S1321" s="32" t="str">
        <f t="shared" si="6"/>
        <v/>
      </c>
      <c r="T1321" s="37" t="str">
        <f t="shared" si="7"/>
        <v/>
      </c>
      <c r="U1321" s="37" t="str">
        <f t="array" ref="U1321">IF($F1321="","",IFERROR(INDEX(Config!$F:$F,MATCH($F1321,Config!$D:$D,0)),0))</f>
        <v/>
      </c>
    </row>
    <row r="1322" ht="15.0" customHeight="1">
      <c r="A1322" s="34"/>
      <c r="B1322" s="35"/>
      <c r="C1322" s="15"/>
      <c r="D1322" s="15"/>
      <c r="E1322" s="15"/>
      <c r="F1322" s="15"/>
      <c r="G1322" s="36" t="str">
        <f t="array" ref="G1322">IF($F1322="","",IFERROR(INDEX(Config!$E:$E,MATCH($F1322,Config!$D:$D,0)),0))</f>
        <v/>
      </c>
      <c r="H1322" s="16"/>
      <c r="I1322" s="36" t="str">
        <f t="shared" si="1"/>
        <v/>
      </c>
      <c r="J1322" s="16"/>
      <c r="K1322" s="15"/>
      <c r="L1322" s="15"/>
      <c r="M1322" s="36" t="str">
        <f t="array" ref="M1322">IF($A1322="","",IF($L1322="Atendido",IFERROR($I1322*INDEX(Config!$B:$B,MATCH($C1322,Config!$A:$A,0)),0),0))</f>
        <v/>
      </c>
      <c r="N1322" s="36" t="str">
        <f t="shared" si="2"/>
        <v/>
      </c>
      <c r="O1322" s="36" t="str">
        <f t="shared" si="3"/>
        <v/>
      </c>
      <c r="P1322" s="15"/>
      <c r="Q1322" s="37" t="str">
        <f t="shared" si="4"/>
        <v/>
      </c>
      <c r="R1322" s="37" t="str">
        <f t="shared" si="5"/>
        <v/>
      </c>
      <c r="S1322" s="32" t="str">
        <f t="shared" si="6"/>
        <v/>
      </c>
      <c r="T1322" s="37" t="str">
        <f t="shared" si="7"/>
        <v/>
      </c>
      <c r="U1322" s="37" t="str">
        <f t="array" ref="U1322">IF($F1322="","",IFERROR(INDEX(Config!$F:$F,MATCH($F1322,Config!$D:$D,0)),0))</f>
        <v/>
      </c>
    </row>
    <row r="1323" ht="15.0" customHeight="1">
      <c r="A1323" s="34"/>
      <c r="B1323" s="35"/>
      <c r="C1323" s="15"/>
      <c r="D1323" s="15"/>
      <c r="E1323" s="15"/>
      <c r="F1323" s="15"/>
      <c r="G1323" s="36" t="str">
        <f t="array" ref="G1323">IF($F1323="","",IFERROR(INDEX(Config!$E:$E,MATCH($F1323,Config!$D:$D,0)),0))</f>
        <v/>
      </c>
      <c r="H1323" s="16"/>
      <c r="I1323" s="36" t="str">
        <f t="shared" si="1"/>
        <v/>
      </c>
      <c r="J1323" s="16"/>
      <c r="K1323" s="15"/>
      <c r="L1323" s="15"/>
      <c r="M1323" s="36" t="str">
        <f t="array" ref="M1323">IF($A1323="","",IF($L1323="Atendido",IFERROR($I1323*INDEX(Config!$B:$B,MATCH($C1323,Config!$A:$A,0)),0),0))</f>
        <v/>
      </c>
      <c r="N1323" s="36" t="str">
        <f t="shared" si="2"/>
        <v/>
      </c>
      <c r="O1323" s="36" t="str">
        <f t="shared" si="3"/>
        <v/>
      </c>
      <c r="P1323" s="15"/>
      <c r="Q1323" s="37" t="str">
        <f t="shared" si="4"/>
        <v/>
      </c>
      <c r="R1323" s="37" t="str">
        <f t="shared" si="5"/>
        <v/>
      </c>
      <c r="S1323" s="32" t="str">
        <f t="shared" si="6"/>
        <v/>
      </c>
      <c r="T1323" s="37" t="str">
        <f t="shared" si="7"/>
        <v/>
      </c>
      <c r="U1323" s="37" t="str">
        <f t="array" ref="U1323">IF($F1323="","",IFERROR(INDEX(Config!$F:$F,MATCH($F1323,Config!$D:$D,0)),0))</f>
        <v/>
      </c>
    </row>
    <row r="1324" ht="15.0" customHeight="1">
      <c r="A1324" s="34"/>
      <c r="B1324" s="35"/>
      <c r="C1324" s="15"/>
      <c r="D1324" s="15"/>
      <c r="E1324" s="15"/>
      <c r="F1324" s="15"/>
      <c r="G1324" s="36" t="str">
        <f t="array" ref="G1324">IF($F1324="","",IFERROR(INDEX(Config!$E:$E,MATCH($F1324,Config!$D:$D,0)),0))</f>
        <v/>
      </c>
      <c r="H1324" s="16"/>
      <c r="I1324" s="36" t="str">
        <f t="shared" si="1"/>
        <v/>
      </c>
      <c r="J1324" s="16"/>
      <c r="K1324" s="15"/>
      <c r="L1324" s="15"/>
      <c r="M1324" s="36" t="str">
        <f t="array" ref="M1324">IF($A1324="","",IF($L1324="Atendido",IFERROR($I1324*INDEX(Config!$B:$B,MATCH($C1324,Config!$A:$A,0)),0),0))</f>
        <v/>
      </c>
      <c r="N1324" s="36" t="str">
        <f t="shared" si="2"/>
        <v/>
      </c>
      <c r="O1324" s="36" t="str">
        <f t="shared" si="3"/>
        <v/>
      </c>
      <c r="P1324" s="15"/>
      <c r="Q1324" s="37" t="str">
        <f t="shared" si="4"/>
        <v/>
      </c>
      <c r="R1324" s="37" t="str">
        <f t="shared" si="5"/>
        <v/>
      </c>
      <c r="S1324" s="32" t="str">
        <f t="shared" si="6"/>
        <v/>
      </c>
      <c r="T1324" s="37" t="str">
        <f t="shared" si="7"/>
        <v/>
      </c>
      <c r="U1324" s="37" t="str">
        <f t="array" ref="U1324">IF($F1324="","",IFERROR(INDEX(Config!$F:$F,MATCH($F1324,Config!$D:$D,0)),0))</f>
        <v/>
      </c>
    </row>
    <row r="1325" ht="15.0" customHeight="1">
      <c r="A1325" s="34"/>
      <c r="B1325" s="35"/>
      <c r="C1325" s="15"/>
      <c r="D1325" s="15"/>
      <c r="E1325" s="15"/>
      <c r="F1325" s="15"/>
      <c r="G1325" s="36" t="str">
        <f t="array" ref="G1325">IF($F1325="","",IFERROR(INDEX(Config!$E:$E,MATCH($F1325,Config!$D:$D,0)),0))</f>
        <v/>
      </c>
      <c r="H1325" s="16"/>
      <c r="I1325" s="36" t="str">
        <f t="shared" si="1"/>
        <v/>
      </c>
      <c r="J1325" s="16"/>
      <c r="K1325" s="15"/>
      <c r="L1325" s="15"/>
      <c r="M1325" s="36" t="str">
        <f t="array" ref="M1325">IF($A1325="","",IF($L1325="Atendido",IFERROR($I1325*INDEX(Config!$B:$B,MATCH($C1325,Config!$A:$A,0)),0),0))</f>
        <v/>
      </c>
      <c r="N1325" s="36" t="str">
        <f t="shared" si="2"/>
        <v/>
      </c>
      <c r="O1325" s="36" t="str">
        <f t="shared" si="3"/>
        <v/>
      </c>
      <c r="P1325" s="15"/>
      <c r="Q1325" s="37" t="str">
        <f t="shared" si="4"/>
        <v/>
      </c>
      <c r="R1325" s="37" t="str">
        <f t="shared" si="5"/>
        <v/>
      </c>
      <c r="S1325" s="32" t="str">
        <f t="shared" si="6"/>
        <v/>
      </c>
      <c r="T1325" s="37" t="str">
        <f t="shared" si="7"/>
        <v/>
      </c>
      <c r="U1325" s="37" t="str">
        <f t="array" ref="U1325">IF($F1325="","",IFERROR(INDEX(Config!$F:$F,MATCH($F1325,Config!$D:$D,0)),0))</f>
        <v/>
      </c>
    </row>
    <row r="1326" ht="15.0" customHeight="1">
      <c r="A1326" s="34"/>
      <c r="B1326" s="35"/>
      <c r="C1326" s="15"/>
      <c r="D1326" s="15"/>
      <c r="E1326" s="15"/>
      <c r="F1326" s="15"/>
      <c r="G1326" s="36" t="str">
        <f t="array" ref="G1326">IF($F1326="","",IFERROR(INDEX(Config!$E:$E,MATCH($F1326,Config!$D:$D,0)),0))</f>
        <v/>
      </c>
      <c r="H1326" s="16"/>
      <c r="I1326" s="36" t="str">
        <f t="shared" si="1"/>
        <v/>
      </c>
      <c r="J1326" s="16"/>
      <c r="K1326" s="15"/>
      <c r="L1326" s="15"/>
      <c r="M1326" s="36" t="str">
        <f t="array" ref="M1326">IF($A1326="","",IF($L1326="Atendido",IFERROR($I1326*INDEX(Config!$B:$B,MATCH($C1326,Config!$A:$A,0)),0),0))</f>
        <v/>
      </c>
      <c r="N1326" s="36" t="str">
        <f t="shared" si="2"/>
        <v/>
      </c>
      <c r="O1326" s="36" t="str">
        <f t="shared" si="3"/>
        <v/>
      </c>
      <c r="P1326" s="15"/>
      <c r="Q1326" s="37" t="str">
        <f t="shared" si="4"/>
        <v/>
      </c>
      <c r="R1326" s="37" t="str">
        <f t="shared" si="5"/>
        <v/>
      </c>
      <c r="S1326" s="32" t="str">
        <f t="shared" si="6"/>
        <v/>
      </c>
      <c r="T1326" s="37" t="str">
        <f t="shared" si="7"/>
        <v/>
      </c>
      <c r="U1326" s="37" t="str">
        <f t="array" ref="U1326">IF($F1326="","",IFERROR(INDEX(Config!$F:$F,MATCH($F1326,Config!$D:$D,0)),0))</f>
        <v/>
      </c>
    </row>
    <row r="1327" ht="15.0" customHeight="1">
      <c r="A1327" s="34"/>
      <c r="B1327" s="35"/>
      <c r="C1327" s="15"/>
      <c r="D1327" s="15"/>
      <c r="E1327" s="15"/>
      <c r="F1327" s="15"/>
      <c r="G1327" s="36" t="str">
        <f t="array" ref="G1327">IF($F1327="","",IFERROR(INDEX(Config!$E:$E,MATCH($F1327,Config!$D:$D,0)),0))</f>
        <v/>
      </c>
      <c r="H1327" s="16"/>
      <c r="I1327" s="36" t="str">
        <f t="shared" si="1"/>
        <v/>
      </c>
      <c r="J1327" s="16"/>
      <c r="K1327" s="15"/>
      <c r="L1327" s="15"/>
      <c r="M1327" s="36" t="str">
        <f t="array" ref="M1327">IF($A1327="","",IF($L1327="Atendido",IFERROR($I1327*INDEX(Config!$B:$B,MATCH($C1327,Config!$A:$A,0)),0),0))</f>
        <v/>
      </c>
      <c r="N1327" s="36" t="str">
        <f t="shared" si="2"/>
        <v/>
      </c>
      <c r="O1327" s="36" t="str">
        <f t="shared" si="3"/>
        <v/>
      </c>
      <c r="P1327" s="15"/>
      <c r="Q1327" s="37" t="str">
        <f t="shared" si="4"/>
        <v/>
      </c>
      <c r="R1327" s="37" t="str">
        <f t="shared" si="5"/>
        <v/>
      </c>
      <c r="S1327" s="32" t="str">
        <f t="shared" si="6"/>
        <v/>
      </c>
      <c r="T1327" s="37" t="str">
        <f t="shared" si="7"/>
        <v/>
      </c>
      <c r="U1327" s="37" t="str">
        <f t="array" ref="U1327">IF($F1327="","",IFERROR(INDEX(Config!$F:$F,MATCH($F1327,Config!$D:$D,0)),0))</f>
        <v/>
      </c>
    </row>
    <row r="1328" ht="15.0" customHeight="1">
      <c r="A1328" s="34"/>
      <c r="B1328" s="35"/>
      <c r="C1328" s="15"/>
      <c r="D1328" s="15"/>
      <c r="E1328" s="15"/>
      <c r="F1328" s="15"/>
      <c r="G1328" s="36" t="str">
        <f t="array" ref="G1328">IF($F1328="","",IFERROR(INDEX(Config!$E:$E,MATCH($F1328,Config!$D:$D,0)),0))</f>
        <v/>
      </c>
      <c r="H1328" s="16"/>
      <c r="I1328" s="36" t="str">
        <f t="shared" si="1"/>
        <v/>
      </c>
      <c r="J1328" s="16"/>
      <c r="K1328" s="15"/>
      <c r="L1328" s="15"/>
      <c r="M1328" s="36" t="str">
        <f t="array" ref="M1328">IF($A1328="","",IF($L1328="Atendido",IFERROR($I1328*INDEX(Config!$B:$B,MATCH($C1328,Config!$A:$A,0)),0),0))</f>
        <v/>
      </c>
      <c r="N1328" s="36" t="str">
        <f t="shared" si="2"/>
        <v/>
      </c>
      <c r="O1328" s="36" t="str">
        <f t="shared" si="3"/>
        <v/>
      </c>
      <c r="P1328" s="15"/>
      <c r="Q1328" s="37" t="str">
        <f t="shared" si="4"/>
        <v/>
      </c>
      <c r="R1328" s="37" t="str">
        <f t="shared" si="5"/>
        <v/>
      </c>
      <c r="S1328" s="32" t="str">
        <f t="shared" si="6"/>
        <v/>
      </c>
      <c r="T1328" s="37" t="str">
        <f t="shared" si="7"/>
        <v/>
      </c>
      <c r="U1328" s="37" t="str">
        <f t="array" ref="U1328">IF($F1328="","",IFERROR(INDEX(Config!$F:$F,MATCH($F1328,Config!$D:$D,0)),0))</f>
        <v/>
      </c>
    </row>
    <row r="1329" ht="15.0" customHeight="1">
      <c r="A1329" s="34"/>
      <c r="B1329" s="35"/>
      <c r="C1329" s="15"/>
      <c r="D1329" s="15"/>
      <c r="E1329" s="15"/>
      <c r="F1329" s="15"/>
      <c r="G1329" s="36" t="str">
        <f t="array" ref="G1329">IF($F1329="","",IFERROR(INDEX(Config!$E:$E,MATCH($F1329,Config!$D:$D,0)),0))</f>
        <v/>
      </c>
      <c r="H1329" s="16"/>
      <c r="I1329" s="36" t="str">
        <f t="shared" si="1"/>
        <v/>
      </c>
      <c r="J1329" s="16"/>
      <c r="K1329" s="15"/>
      <c r="L1329" s="15"/>
      <c r="M1329" s="36" t="str">
        <f t="array" ref="M1329">IF($A1329="","",IF($L1329="Atendido",IFERROR($I1329*INDEX(Config!$B:$B,MATCH($C1329,Config!$A:$A,0)),0),0))</f>
        <v/>
      </c>
      <c r="N1329" s="36" t="str">
        <f t="shared" si="2"/>
        <v/>
      </c>
      <c r="O1329" s="36" t="str">
        <f t="shared" si="3"/>
        <v/>
      </c>
      <c r="P1329" s="15"/>
      <c r="Q1329" s="37" t="str">
        <f t="shared" si="4"/>
        <v/>
      </c>
      <c r="R1329" s="37" t="str">
        <f t="shared" si="5"/>
        <v/>
      </c>
      <c r="S1329" s="32" t="str">
        <f t="shared" si="6"/>
        <v/>
      </c>
      <c r="T1329" s="37" t="str">
        <f t="shared" si="7"/>
        <v/>
      </c>
      <c r="U1329" s="37" t="str">
        <f t="array" ref="U1329">IF($F1329="","",IFERROR(INDEX(Config!$F:$F,MATCH($F1329,Config!$D:$D,0)),0))</f>
        <v/>
      </c>
    </row>
    <row r="1330" ht="15.0" customHeight="1">
      <c r="A1330" s="34"/>
      <c r="B1330" s="35"/>
      <c r="C1330" s="15"/>
      <c r="D1330" s="15"/>
      <c r="E1330" s="15"/>
      <c r="F1330" s="15"/>
      <c r="G1330" s="36" t="str">
        <f t="array" ref="G1330">IF($F1330="","",IFERROR(INDEX(Config!$E:$E,MATCH($F1330,Config!$D:$D,0)),0))</f>
        <v/>
      </c>
      <c r="H1330" s="16"/>
      <c r="I1330" s="36" t="str">
        <f t="shared" si="1"/>
        <v/>
      </c>
      <c r="J1330" s="16"/>
      <c r="K1330" s="15"/>
      <c r="L1330" s="15"/>
      <c r="M1330" s="36" t="str">
        <f t="array" ref="M1330">IF($A1330="","",IF($L1330="Atendido",IFERROR($I1330*INDEX(Config!$B:$B,MATCH($C1330,Config!$A:$A,0)),0),0))</f>
        <v/>
      </c>
      <c r="N1330" s="36" t="str">
        <f t="shared" si="2"/>
        <v/>
      </c>
      <c r="O1330" s="36" t="str">
        <f t="shared" si="3"/>
        <v/>
      </c>
      <c r="P1330" s="15"/>
      <c r="Q1330" s="37" t="str">
        <f t="shared" si="4"/>
        <v/>
      </c>
      <c r="R1330" s="37" t="str">
        <f t="shared" si="5"/>
        <v/>
      </c>
      <c r="S1330" s="32" t="str">
        <f t="shared" si="6"/>
        <v/>
      </c>
      <c r="T1330" s="37" t="str">
        <f t="shared" si="7"/>
        <v/>
      </c>
      <c r="U1330" s="37" t="str">
        <f t="array" ref="U1330">IF($F1330="","",IFERROR(INDEX(Config!$F:$F,MATCH($F1330,Config!$D:$D,0)),0))</f>
        <v/>
      </c>
    </row>
    <row r="1331" ht="15.0" customHeight="1">
      <c r="A1331" s="34"/>
      <c r="B1331" s="35"/>
      <c r="C1331" s="15"/>
      <c r="D1331" s="15"/>
      <c r="E1331" s="15"/>
      <c r="F1331" s="15"/>
      <c r="G1331" s="36" t="str">
        <f t="array" ref="G1331">IF($F1331="","",IFERROR(INDEX(Config!$E:$E,MATCH($F1331,Config!$D:$D,0)),0))</f>
        <v/>
      </c>
      <c r="H1331" s="16"/>
      <c r="I1331" s="36" t="str">
        <f t="shared" si="1"/>
        <v/>
      </c>
      <c r="J1331" s="16"/>
      <c r="K1331" s="15"/>
      <c r="L1331" s="15"/>
      <c r="M1331" s="36" t="str">
        <f t="array" ref="M1331">IF($A1331="","",IF($L1331="Atendido",IFERROR($I1331*INDEX(Config!$B:$B,MATCH($C1331,Config!$A:$A,0)),0),0))</f>
        <v/>
      </c>
      <c r="N1331" s="36" t="str">
        <f t="shared" si="2"/>
        <v/>
      </c>
      <c r="O1331" s="36" t="str">
        <f t="shared" si="3"/>
        <v/>
      </c>
      <c r="P1331" s="15"/>
      <c r="Q1331" s="37" t="str">
        <f t="shared" si="4"/>
        <v/>
      </c>
      <c r="R1331" s="37" t="str">
        <f t="shared" si="5"/>
        <v/>
      </c>
      <c r="S1331" s="32" t="str">
        <f t="shared" si="6"/>
        <v/>
      </c>
      <c r="T1331" s="37" t="str">
        <f t="shared" si="7"/>
        <v/>
      </c>
      <c r="U1331" s="37" t="str">
        <f t="array" ref="U1331">IF($F1331="","",IFERROR(INDEX(Config!$F:$F,MATCH($F1331,Config!$D:$D,0)),0))</f>
        <v/>
      </c>
    </row>
    <row r="1332" ht="15.0" customHeight="1">
      <c r="A1332" s="34"/>
      <c r="B1332" s="35"/>
      <c r="C1332" s="15"/>
      <c r="D1332" s="15"/>
      <c r="E1332" s="15"/>
      <c r="F1332" s="15"/>
      <c r="G1332" s="36" t="str">
        <f t="array" ref="G1332">IF($F1332="","",IFERROR(INDEX(Config!$E:$E,MATCH($F1332,Config!$D:$D,0)),0))</f>
        <v/>
      </c>
      <c r="H1332" s="16"/>
      <c r="I1332" s="36" t="str">
        <f t="shared" si="1"/>
        <v/>
      </c>
      <c r="J1332" s="16"/>
      <c r="K1332" s="15"/>
      <c r="L1332" s="15"/>
      <c r="M1332" s="36" t="str">
        <f t="array" ref="M1332">IF($A1332="","",IF($L1332="Atendido",IFERROR($I1332*INDEX(Config!$B:$B,MATCH($C1332,Config!$A:$A,0)),0),0))</f>
        <v/>
      </c>
      <c r="N1332" s="36" t="str">
        <f t="shared" si="2"/>
        <v/>
      </c>
      <c r="O1332" s="36" t="str">
        <f t="shared" si="3"/>
        <v/>
      </c>
      <c r="P1332" s="15"/>
      <c r="Q1332" s="37" t="str">
        <f t="shared" si="4"/>
        <v/>
      </c>
      <c r="R1332" s="37" t="str">
        <f t="shared" si="5"/>
        <v/>
      </c>
      <c r="S1332" s="32" t="str">
        <f t="shared" si="6"/>
        <v/>
      </c>
      <c r="T1332" s="37" t="str">
        <f t="shared" si="7"/>
        <v/>
      </c>
      <c r="U1332" s="37" t="str">
        <f t="array" ref="U1332">IF($F1332="","",IFERROR(INDEX(Config!$F:$F,MATCH($F1332,Config!$D:$D,0)),0))</f>
        <v/>
      </c>
    </row>
    <row r="1333" ht="15.0" customHeight="1">
      <c r="A1333" s="34"/>
      <c r="B1333" s="35"/>
      <c r="C1333" s="15"/>
      <c r="D1333" s="15"/>
      <c r="E1333" s="15"/>
      <c r="F1333" s="15"/>
      <c r="G1333" s="36" t="str">
        <f t="array" ref="G1333">IF($F1333="","",IFERROR(INDEX(Config!$E:$E,MATCH($F1333,Config!$D:$D,0)),0))</f>
        <v/>
      </c>
      <c r="H1333" s="16"/>
      <c r="I1333" s="36" t="str">
        <f t="shared" si="1"/>
        <v/>
      </c>
      <c r="J1333" s="16"/>
      <c r="K1333" s="15"/>
      <c r="L1333" s="15"/>
      <c r="M1333" s="36" t="str">
        <f t="array" ref="M1333">IF($A1333="","",IF($L1333="Atendido",IFERROR($I1333*INDEX(Config!$B:$B,MATCH($C1333,Config!$A:$A,0)),0),0))</f>
        <v/>
      </c>
      <c r="N1333" s="36" t="str">
        <f t="shared" si="2"/>
        <v/>
      </c>
      <c r="O1333" s="36" t="str">
        <f t="shared" si="3"/>
        <v/>
      </c>
      <c r="P1333" s="15"/>
      <c r="Q1333" s="37" t="str">
        <f t="shared" si="4"/>
        <v/>
      </c>
      <c r="R1333" s="37" t="str">
        <f t="shared" si="5"/>
        <v/>
      </c>
      <c r="S1333" s="32" t="str">
        <f t="shared" si="6"/>
        <v/>
      </c>
      <c r="T1333" s="37" t="str">
        <f t="shared" si="7"/>
        <v/>
      </c>
      <c r="U1333" s="37" t="str">
        <f t="array" ref="U1333">IF($F1333="","",IFERROR(INDEX(Config!$F:$F,MATCH($F1333,Config!$D:$D,0)),0))</f>
        <v/>
      </c>
    </row>
    <row r="1334" ht="15.0" customHeight="1">
      <c r="A1334" s="34"/>
      <c r="B1334" s="35"/>
      <c r="C1334" s="15"/>
      <c r="D1334" s="15"/>
      <c r="E1334" s="15"/>
      <c r="F1334" s="15"/>
      <c r="G1334" s="36" t="str">
        <f t="array" ref="G1334">IF($F1334="","",IFERROR(INDEX(Config!$E:$E,MATCH($F1334,Config!$D:$D,0)),0))</f>
        <v/>
      </c>
      <c r="H1334" s="16"/>
      <c r="I1334" s="36" t="str">
        <f t="shared" si="1"/>
        <v/>
      </c>
      <c r="J1334" s="16"/>
      <c r="K1334" s="15"/>
      <c r="L1334" s="15"/>
      <c r="M1334" s="36" t="str">
        <f t="array" ref="M1334">IF($A1334="","",IF($L1334="Atendido",IFERROR($I1334*INDEX(Config!$B:$B,MATCH($C1334,Config!$A:$A,0)),0),0))</f>
        <v/>
      </c>
      <c r="N1334" s="36" t="str">
        <f t="shared" si="2"/>
        <v/>
      </c>
      <c r="O1334" s="36" t="str">
        <f t="shared" si="3"/>
        <v/>
      </c>
      <c r="P1334" s="15"/>
      <c r="Q1334" s="37" t="str">
        <f t="shared" si="4"/>
        <v/>
      </c>
      <c r="R1334" s="37" t="str">
        <f t="shared" si="5"/>
        <v/>
      </c>
      <c r="S1334" s="32" t="str">
        <f t="shared" si="6"/>
        <v/>
      </c>
      <c r="T1334" s="37" t="str">
        <f t="shared" si="7"/>
        <v/>
      </c>
      <c r="U1334" s="37" t="str">
        <f t="array" ref="U1334">IF($F1334="","",IFERROR(INDEX(Config!$F:$F,MATCH($F1334,Config!$D:$D,0)),0))</f>
        <v/>
      </c>
    </row>
    <row r="1335" ht="15.0" customHeight="1">
      <c r="A1335" s="34"/>
      <c r="B1335" s="35"/>
      <c r="C1335" s="15"/>
      <c r="D1335" s="15"/>
      <c r="E1335" s="15"/>
      <c r="F1335" s="15"/>
      <c r="G1335" s="36" t="str">
        <f t="array" ref="G1335">IF($F1335="","",IFERROR(INDEX(Config!$E:$E,MATCH($F1335,Config!$D:$D,0)),0))</f>
        <v/>
      </c>
      <c r="H1335" s="16"/>
      <c r="I1335" s="36" t="str">
        <f t="shared" si="1"/>
        <v/>
      </c>
      <c r="J1335" s="16"/>
      <c r="K1335" s="15"/>
      <c r="L1335" s="15"/>
      <c r="M1335" s="36" t="str">
        <f t="array" ref="M1335">IF($A1335="","",IF($L1335="Atendido",IFERROR($I1335*INDEX(Config!$B:$B,MATCH($C1335,Config!$A:$A,0)),0),0))</f>
        <v/>
      </c>
      <c r="N1335" s="36" t="str">
        <f t="shared" si="2"/>
        <v/>
      </c>
      <c r="O1335" s="36" t="str">
        <f t="shared" si="3"/>
        <v/>
      </c>
      <c r="P1335" s="15"/>
      <c r="Q1335" s="37" t="str">
        <f t="shared" si="4"/>
        <v/>
      </c>
      <c r="R1335" s="37" t="str">
        <f t="shared" si="5"/>
        <v/>
      </c>
      <c r="S1335" s="32" t="str">
        <f t="shared" si="6"/>
        <v/>
      </c>
      <c r="T1335" s="37" t="str">
        <f t="shared" si="7"/>
        <v/>
      </c>
      <c r="U1335" s="37" t="str">
        <f t="array" ref="U1335">IF($F1335="","",IFERROR(INDEX(Config!$F:$F,MATCH($F1335,Config!$D:$D,0)),0))</f>
        <v/>
      </c>
    </row>
    <row r="1336" ht="15.0" customHeight="1">
      <c r="A1336" s="34"/>
      <c r="B1336" s="35"/>
      <c r="C1336" s="15"/>
      <c r="D1336" s="15"/>
      <c r="E1336" s="15"/>
      <c r="F1336" s="15"/>
      <c r="G1336" s="36" t="str">
        <f t="array" ref="G1336">IF($F1336="","",IFERROR(INDEX(Config!$E:$E,MATCH($F1336,Config!$D:$D,0)),0))</f>
        <v/>
      </c>
      <c r="H1336" s="16"/>
      <c r="I1336" s="36" t="str">
        <f t="shared" si="1"/>
        <v/>
      </c>
      <c r="J1336" s="16"/>
      <c r="K1336" s="15"/>
      <c r="L1336" s="15"/>
      <c r="M1336" s="36" t="str">
        <f t="array" ref="M1336">IF($A1336="","",IF($L1336="Atendido",IFERROR($I1336*INDEX(Config!$B:$B,MATCH($C1336,Config!$A:$A,0)),0),0))</f>
        <v/>
      </c>
      <c r="N1336" s="36" t="str">
        <f t="shared" si="2"/>
        <v/>
      </c>
      <c r="O1336" s="36" t="str">
        <f t="shared" si="3"/>
        <v/>
      </c>
      <c r="P1336" s="15"/>
      <c r="Q1336" s="37" t="str">
        <f t="shared" si="4"/>
        <v/>
      </c>
      <c r="R1336" s="37" t="str">
        <f t="shared" si="5"/>
        <v/>
      </c>
      <c r="S1336" s="32" t="str">
        <f t="shared" si="6"/>
        <v/>
      </c>
      <c r="T1336" s="37" t="str">
        <f t="shared" si="7"/>
        <v/>
      </c>
      <c r="U1336" s="37" t="str">
        <f t="array" ref="U1336">IF($F1336="","",IFERROR(INDEX(Config!$F:$F,MATCH($F1336,Config!$D:$D,0)),0))</f>
        <v/>
      </c>
    </row>
    <row r="1337" ht="15.0" customHeight="1">
      <c r="A1337" s="34"/>
      <c r="B1337" s="35"/>
      <c r="C1337" s="15"/>
      <c r="D1337" s="15"/>
      <c r="E1337" s="15"/>
      <c r="F1337" s="15"/>
      <c r="G1337" s="36" t="str">
        <f t="array" ref="G1337">IF($F1337="","",IFERROR(INDEX(Config!$E:$E,MATCH($F1337,Config!$D:$D,0)),0))</f>
        <v/>
      </c>
      <c r="H1337" s="16"/>
      <c r="I1337" s="36" t="str">
        <f t="shared" si="1"/>
        <v/>
      </c>
      <c r="J1337" s="16"/>
      <c r="K1337" s="15"/>
      <c r="L1337" s="15"/>
      <c r="M1337" s="36" t="str">
        <f t="array" ref="M1337">IF($A1337="","",IF($L1337="Atendido",IFERROR($I1337*INDEX(Config!$B:$B,MATCH($C1337,Config!$A:$A,0)),0),0))</f>
        <v/>
      </c>
      <c r="N1337" s="36" t="str">
        <f t="shared" si="2"/>
        <v/>
      </c>
      <c r="O1337" s="36" t="str">
        <f t="shared" si="3"/>
        <v/>
      </c>
      <c r="P1337" s="15"/>
      <c r="Q1337" s="37" t="str">
        <f t="shared" si="4"/>
        <v/>
      </c>
      <c r="R1337" s="37" t="str">
        <f t="shared" si="5"/>
        <v/>
      </c>
      <c r="S1337" s="32" t="str">
        <f t="shared" si="6"/>
        <v/>
      </c>
      <c r="T1337" s="37" t="str">
        <f t="shared" si="7"/>
        <v/>
      </c>
      <c r="U1337" s="37" t="str">
        <f t="array" ref="U1337">IF($F1337="","",IFERROR(INDEX(Config!$F:$F,MATCH($F1337,Config!$D:$D,0)),0))</f>
        <v/>
      </c>
    </row>
    <row r="1338" ht="15.0" customHeight="1">
      <c r="A1338" s="34"/>
      <c r="B1338" s="35"/>
      <c r="C1338" s="15"/>
      <c r="D1338" s="15"/>
      <c r="E1338" s="15"/>
      <c r="F1338" s="15"/>
      <c r="G1338" s="36" t="str">
        <f t="array" ref="G1338">IF($F1338="","",IFERROR(INDEX(Config!$E:$E,MATCH($F1338,Config!$D:$D,0)),0))</f>
        <v/>
      </c>
      <c r="H1338" s="16"/>
      <c r="I1338" s="36" t="str">
        <f t="shared" si="1"/>
        <v/>
      </c>
      <c r="J1338" s="16"/>
      <c r="K1338" s="15"/>
      <c r="L1338" s="15"/>
      <c r="M1338" s="36" t="str">
        <f t="array" ref="M1338">IF($A1338="","",IF($L1338="Atendido",IFERROR($I1338*INDEX(Config!$B:$B,MATCH($C1338,Config!$A:$A,0)),0),0))</f>
        <v/>
      </c>
      <c r="N1338" s="36" t="str">
        <f t="shared" si="2"/>
        <v/>
      </c>
      <c r="O1338" s="36" t="str">
        <f t="shared" si="3"/>
        <v/>
      </c>
      <c r="P1338" s="15"/>
      <c r="Q1338" s="37" t="str">
        <f t="shared" si="4"/>
        <v/>
      </c>
      <c r="R1338" s="37" t="str">
        <f t="shared" si="5"/>
        <v/>
      </c>
      <c r="S1338" s="32" t="str">
        <f t="shared" si="6"/>
        <v/>
      </c>
      <c r="T1338" s="37" t="str">
        <f t="shared" si="7"/>
        <v/>
      </c>
      <c r="U1338" s="37" t="str">
        <f t="array" ref="U1338">IF($F1338="","",IFERROR(INDEX(Config!$F:$F,MATCH($F1338,Config!$D:$D,0)),0))</f>
        <v/>
      </c>
    </row>
    <row r="1339" ht="15.0" customHeight="1">
      <c r="A1339" s="34"/>
      <c r="B1339" s="35"/>
      <c r="C1339" s="15"/>
      <c r="D1339" s="15"/>
      <c r="E1339" s="15"/>
      <c r="F1339" s="15"/>
      <c r="G1339" s="36" t="str">
        <f t="array" ref="G1339">IF($F1339="","",IFERROR(INDEX(Config!$E:$E,MATCH($F1339,Config!$D:$D,0)),0))</f>
        <v/>
      </c>
      <c r="H1339" s="16"/>
      <c r="I1339" s="36" t="str">
        <f t="shared" si="1"/>
        <v/>
      </c>
      <c r="J1339" s="16"/>
      <c r="K1339" s="15"/>
      <c r="L1339" s="15"/>
      <c r="M1339" s="36" t="str">
        <f t="array" ref="M1339">IF($A1339="","",IF($L1339="Atendido",IFERROR($I1339*INDEX(Config!$B:$B,MATCH($C1339,Config!$A:$A,0)),0),0))</f>
        <v/>
      </c>
      <c r="N1339" s="36" t="str">
        <f t="shared" si="2"/>
        <v/>
      </c>
      <c r="O1339" s="36" t="str">
        <f t="shared" si="3"/>
        <v/>
      </c>
      <c r="P1339" s="15"/>
      <c r="Q1339" s="37" t="str">
        <f t="shared" si="4"/>
        <v/>
      </c>
      <c r="R1339" s="37" t="str">
        <f t="shared" si="5"/>
        <v/>
      </c>
      <c r="S1339" s="32" t="str">
        <f t="shared" si="6"/>
        <v/>
      </c>
      <c r="T1339" s="37" t="str">
        <f t="shared" si="7"/>
        <v/>
      </c>
      <c r="U1339" s="37" t="str">
        <f t="array" ref="U1339">IF($F1339="","",IFERROR(INDEX(Config!$F:$F,MATCH($F1339,Config!$D:$D,0)),0))</f>
        <v/>
      </c>
    </row>
    <row r="1340" ht="15.0" customHeight="1">
      <c r="A1340" s="34"/>
      <c r="B1340" s="35"/>
      <c r="C1340" s="15"/>
      <c r="D1340" s="15"/>
      <c r="E1340" s="15"/>
      <c r="F1340" s="15"/>
      <c r="G1340" s="36" t="str">
        <f t="array" ref="G1340">IF($F1340="","",IFERROR(INDEX(Config!$E:$E,MATCH($F1340,Config!$D:$D,0)),0))</f>
        <v/>
      </c>
      <c r="H1340" s="16"/>
      <c r="I1340" s="36" t="str">
        <f t="shared" si="1"/>
        <v/>
      </c>
      <c r="J1340" s="16"/>
      <c r="K1340" s="15"/>
      <c r="L1340" s="15"/>
      <c r="M1340" s="36" t="str">
        <f t="array" ref="M1340">IF($A1340="","",IF($L1340="Atendido",IFERROR($I1340*INDEX(Config!$B:$B,MATCH($C1340,Config!$A:$A,0)),0),0))</f>
        <v/>
      </c>
      <c r="N1340" s="36" t="str">
        <f t="shared" si="2"/>
        <v/>
      </c>
      <c r="O1340" s="36" t="str">
        <f t="shared" si="3"/>
        <v/>
      </c>
      <c r="P1340" s="15"/>
      <c r="Q1340" s="37" t="str">
        <f t="shared" si="4"/>
        <v/>
      </c>
      <c r="R1340" s="37" t="str">
        <f t="shared" si="5"/>
        <v/>
      </c>
      <c r="S1340" s="32" t="str">
        <f t="shared" si="6"/>
        <v/>
      </c>
      <c r="T1340" s="37" t="str">
        <f t="shared" si="7"/>
        <v/>
      </c>
      <c r="U1340" s="37" t="str">
        <f t="array" ref="U1340">IF($F1340="","",IFERROR(INDEX(Config!$F:$F,MATCH($F1340,Config!$D:$D,0)),0))</f>
        <v/>
      </c>
    </row>
    <row r="1341" ht="15.0" customHeight="1">
      <c r="A1341" s="34"/>
      <c r="B1341" s="35"/>
      <c r="C1341" s="15"/>
      <c r="D1341" s="15"/>
      <c r="E1341" s="15"/>
      <c r="F1341" s="15"/>
      <c r="G1341" s="36" t="str">
        <f t="array" ref="G1341">IF($F1341="","",IFERROR(INDEX(Config!$E:$E,MATCH($F1341,Config!$D:$D,0)),0))</f>
        <v/>
      </c>
      <c r="H1341" s="16"/>
      <c r="I1341" s="36" t="str">
        <f t="shared" si="1"/>
        <v/>
      </c>
      <c r="J1341" s="16"/>
      <c r="K1341" s="15"/>
      <c r="L1341" s="15"/>
      <c r="M1341" s="36" t="str">
        <f t="array" ref="M1341">IF($A1341="","",IF($L1341="Atendido",IFERROR($I1341*INDEX(Config!$B:$B,MATCH($C1341,Config!$A:$A,0)),0),0))</f>
        <v/>
      </c>
      <c r="N1341" s="36" t="str">
        <f t="shared" si="2"/>
        <v/>
      </c>
      <c r="O1341" s="36" t="str">
        <f t="shared" si="3"/>
        <v/>
      </c>
      <c r="P1341" s="15"/>
      <c r="Q1341" s="37" t="str">
        <f t="shared" si="4"/>
        <v/>
      </c>
      <c r="R1341" s="37" t="str">
        <f t="shared" si="5"/>
        <v/>
      </c>
      <c r="S1341" s="32" t="str">
        <f t="shared" si="6"/>
        <v/>
      </c>
      <c r="T1341" s="37" t="str">
        <f t="shared" si="7"/>
        <v/>
      </c>
      <c r="U1341" s="37" t="str">
        <f t="array" ref="U1341">IF($F1341="","",IFERROR(INDEX(Config!$F:$F,MATCH($F1341,Config!$D:$D,0)),0))</f>
        <v/>
      </c>
    </row>
    <row r="1342" ht="15.0" customHeight="1">
      <c r="A1342" s="34"/>
      <c r="B1342" s="35"/>
      <c r="C1342" s="15"/>
      <c r="D1342" s="15"/>
      <c r="E1342" s="15"/>
      <c r="F1342" s="15"/>
      <c r="G1342" s="36" t="str">
        <f t="array" ref="G1342">IF($F1342="","",IFERROR(INDEX(Config!$E:$E,MATCH($F1342,Config!$D:$D,0)),0))</f>
        <v/>
      </c>
      <c r="H1342" s="16"/>
      <c r="I1342" s="36" t="str">
        <f t="shared" si="1"/>
        <v/>
      </c>
      <c r="J1342" s="16"/>
      <c r="K1342" s="15"/>
      <c r="L1342" s="15"/>
      <c r="M1342" s="36" t="str">
        <f t="array" ref="M1342">IF($A1342="","",IF($L1342="Atendido",IFERROR($I1342*INDEX(Config!$B:$B,MATCH($C1342,Config!$A:$A,0)),0),0))</f>
        <v/>
      </c>
      <c r="N1342" s="36" t="str">
        <f t="shared" si="2"/>
        <v/>
      </c>
      <c r="O1342" s="36" t="str">
        <f t="shared" si="3"/>
        <v/>
      </c>
      <c r="P1342" s="15"/>
      <c r="Q1342" s="37" t="str">
        <f t="shared" si="4"/>
        <v/>
      </c>
      <c r="R1342" s="37" t="str">
        <f t="shared" si="5"/>
        <v/>
      </c>
      <c r="S1342" s="32" t="str">
        <f t="shared" si="6"/>
        <v/>
      </c>
      <c r="T1342" s="37" t="str">
        <f t="shared" si="7"/>
        <v/>
      </c>
      <c r="U1342" s="37" t="str">
        <f t="array" ref="U1342">IF($F1342="","",IFERROR(INDEX(Config!$F:$F,MATCH($F1342,Config!$D:$D,0)),0))</f>
        <v/>
      </c>
    </row>
    <row r="1343" ht="15.0" customHeight="1">
      <c r="A1343" s="34"/>
      <c r="B1343" s="35"/>
      <c r="C1343" s="15"/>
      <c r="D1343" s="15"/>
      <c r="E1343" s="15"/>
      <c r="F1343" s="15"/>
      <c r="G1343" s="36" t="str">
        <f t="array" ref="G1343">IF($F1343="","",IFERROR(INDEX(Config!$E:$E,MATCH($F1343,Config!$D:$D,0)),0))</f>
        <v/>
      </c>
      <c r="H1343" s="16"/>
      <c r="I1343" s="36" t="str">
        <f t="shared" si="1"/>
        <v/>
      </c>
      <c r="J1343" s="16"/>
      <c r="K1343" s="15"/>
      <c r="L1343" s="15"/>
      <c r="M1343" s="36" t="str">
        <f t="array" ref="M1343">IF($A1343="","",IF($L1343="Atendido",IFERROR($I1343*INDEX(Config!$B:$B,MATCH($C1343,Config!$A:$A,0)),0),0))</f>
        <v/>
      </c>
      <c r="N1343" s="36" t="str">
        <f t="shared" si="2"/>
        <v/>
      </c>
      <c r="O1343" s="36" t="str">
        <f t="shared" si="3"/>
        <v/>
      </c>
      <c r="P1343" s="15"/>
      <c r="Q1343" s="37" t="str">
        <f t="shared" si="4"/>
        <v/>
      </c>
      <c r="R1343" s="37" t="str">
        <f t="shared" si="5"/>
        <v/>
      </c>
      <c r="S1343" s="32" t="str">
        <f t="shared" si="6"/>
        <v/>
      </c>
      <c r="T1343" s="37" t="str">
        <f t="shared" si="7"/>
        <v/>
      </c>
      <c r="U1343" s="37" t="str">
        <f t="array" ref="U1343">IF($F1343="","",IFERROR(INDEX(Config!$F:$F,MATCH($F1343,Config!$D:$D,0)),0))</f>
        <v/>
      </c>
    </row>
    <row r="1344" ht="15.0" customHeight="1">
      <c r="A1344" s="34"/>
      <c r="B1344" s="35"/>
      <c r="C1344" s="15"/>
      <c r="D1344" s="15"/>
      <c r="E1344" s="15"/>
      <c r="F1344" s="15"/>
      <c r="G1344" s="36" t="str">
        <f t="array" ref="G1344">IF($F1344="","",IFERROR(INDEX(Config!$E:$E,MATCH($F1344,Config!$D:$D,0)),0))</f>
        <v/>
      </c>
      <c r="H1344" s="16"/>
      <c r="I1344" s="36" t="str">
        <f t="shared" si="1"/>
        <v/>
      </c>
      <c r="J1344" s="16"/>
      <c r="K1344" s="15"/>
      <c r="L1344" s="15"/>
      <c r="M1344" s="36" t="str">
        <f t="array" ref="M1344">IF($A1344="","",IF($L1344="Atendido",IFERROR($I1344*INDEX(Config!$B:$B,MATCH($C1344,Config!$A:$A,0)),0),0))</f>
        <v/>
      </c>
      <c r="N1344" s="36" t="str">
        <f t="shared" si="2"/>
        <v/>
      </c>
      <c r="O1344" s="36" t="str">
        <f t="shared" si="3"/>
        <v/>
      </c>
      <c r="P1344" s="15"/>
      <c r="Q1344" s="37" t="str">
        <f t="shared" si="4"/>
        <v/>
      </c>
      <c r="R1344" s="37" t="str">
        <f t="shared" si="5"/>
        <v/>
      </c>
      <c r="S1344" s="32" t="str">
        <f t="shared" si="6"/>
        <v/>
      </c>
      <c r="T1344" s="37" t="str">
        <f t="shared" si="7"/>
        <v/>
      </c>
      <c r="U1344" s="37" t="str">
        <f t="array" ref="U1344">IF($F1344="","",IFERROR(INDEX(Config!$F:$F,MATCH($F1344,Config!$D:$D,0)),0))</f>
        <v/>
      </c>
    </row>
    <row r="1345" ht="15.0" customHeight="1">
      <c r="A1345" s="34"/>
      <c r="B1345" s="35"/>
      <c r="C1345" s="15"/>
      <c r="D1345" s="15"/>
      <c r="E1345" s="15"/>
      <c r="F1345" s="15"/>
      <c r="G1345" s="36" t="str">
        <f t="array" ref="G1345">IF($F1345="","",IFERROR(INDEX(Config!$E:$E,MATCH($F1345,Config!$D:$D,0)),0))</f>
        <v/>
      </c>
      <c r="H1345" s="16"/>
      <c r="I1345" s="36" t="str">
        <f t="shared" si="1"/>
        <v/>
      </c>
      <c r="J1345" s="16"/>
      <c r="K1345" s="15"/>
      <c r="L1345" s="15"/>
      <c r="M1345" s="36" t="str">
        <f t="array" ref="M1345">IF($A1345="","",IF($L1345="Atendido",IFERROR($I1345*INDEX(Config!$B:$B,MATCH($C1345,Config!$A:$A,0)),0),0))</f>
        <v/>
      </c>
      <c r="N1345" s="36" t="str">
        <f t="shared" si="2"/>
        <v/>
      </c>
      <c r="O1345" s="36" t="str">
        <f t="shared" si="3"/>
        <v/>
      </c>
      <c r="P1345" s="15"/>
      <c r="Q1345" s="37" t="str">
        <f t="shared" si="4"/>
        <v/>
      </c>
      <c r="R1345" s="37" t="str">
        <f t="shared" si="5"/>
        <v/>
      </c>
      <c r="S1345" s="32" t="str">
        <f t="shared" si="6"/>
        <v/>
      </c>
      <c r="T1345" s="37" t="str">
        <f t="shared" si="7"/>
        <v/>
      </c>
      <c r="U1345" s="37" t="str">
        <f t="array" ref="U1345">IF($F1345="","",IFERROR(INDEX(Config!$F:$F,MATCH($F1345,Config!$D:$D,0)),0))</f>
        <v/>
      </c>
    </row>
    <row r="1346" ht="15.0" customHeight="1">
      <c r="A1346" s="34"/>
      <c r="B1346" s="35"/>
      <c r="C1346" s="15"/>
      <c r="D1346" s="15"/>
      <c r="E1346" s="15"/>
      <c r="F1346" s="15"/>
      <c r="G1346" s="36" t="str">
        <f t="array" ref="G1346">IF($F1346="","",IFERROR(INDEX(Config!$E:$E,MATCH($F1346,Config!$D:$D,0)),0))</f>
        <v/>
      </c>
      <c r="H1346" s="16"/>
      <c r="I1346" s="36" t="str">
        <f t="shared" si="1"/>
        <v/>
      </c>
      <c r="J1346" s="16"/>
      <c r="K1346" s="15"/>
      <c r="L1346" s="15"/>
      <c r="M1346" s="36" t="str">
        <f t="array" ref="M1346">IF($A1346="","",IF($L1346="Atendido",IFERROR($I1346*INDEX(Config!$B:$B,MATCH($C1346,Config!$A:$A,0)),0),0))</f>
        <v/>
      </c>
      <c r="N1346" s="36" t="str">
        <f t="shared" si="2"/>
        <v/>
      </c>
      <c r="O1346" s="36" t="str">
        <f t="shared" si="3"/>
        <v/>
      </c>
      <c r="P1346" s="15"/>
      <c r="Q1346" s="37" t="str">
        <f t="shared" si="4"/>
        <v/>
      </c>
      <c r="R1346" s="37" t="str">
        <f t="shared" si="5"/>
        <v/>
      </c>
      <c r="S1346" s="32" t="str">
        <f t="shared" si="6"/>
        <v/>
      </c>
      <c r="T1346" s="37" t="str">
        <f t="shared" si="7"/>
        <v/>
      </c>
      <c r="U1346" s="37" t="str">
        <f t="array" ref="U1346">IF($F1346="","",IFERROR(INDEX(Config!$F:$F,MATCH($F1346,Config!$D:$D,0)),0))</f>
        <v/>
      </c>
    </row>
    <row r="1347" ht="15.0" customHeight="1">
      <c r="A1347" s="34"/>
      <c r="B1347" s="35"/>
      <c r="C1347" s="15"/>
      <c r="D1347" s="15"/>
      <c r="E1347" s="15"/>
      <c r="F1347" s="15"/>
      <c r="G1347" s="36" t="str">
        <f t="array" ref="G1347">IF($F1347="","",IFERROR(INDEX(Config!$E:$E,MATCH($F1347,Config!$D:$D,0)),0))</f>
        <v/>
      </c>
      <c r="H1347" s="16"/>
      <c r="I1347" s="36" t="str">
        <f t="shared" si="1"/>
        <v/>
      </c>
      <c r="J1347" s="16"/>
      <c r="K1347" s="15"/>
      <c r="L1347" s="15"/>
      <c r="M1347" s="36" t="str">
        <f t="array" ref="M1347">IF($A1347="","",IF($L1347="Atendido",IFERROR($I1347*INDEX(Config!$B:$B,MATCH($C1347,Config!$A:$A,0)),0),0))</f>
        <v/>
      </c>
      <c r="N1347" s="36" t="str">
        <f t="shared" si="2"/>
        <v/>
      </c>
      <c r="O1347" s="36" t="str">
        <f t="shared" si="3"/>
        <v/>
      </c>
      <c r="P1347" s="15"/>
      <c r="Q1347" s="37" t="str">
        <f t="shared" si="4"/>
        <v/>
      </c>
      <c r="R1347" s="37" t="str">
        <f t="shared" si="5"/>
        <v/>
      </c>
      <c r="S1347" s="32" t="str">
        <f t="shared" si="6"/>
        <v/>
      </c>
      <c r="T1347" s="37" t="str">
        <f t="shared" si="7"/>
        <v/>
      </c>
      <c r="U1347" s="37" t="str">
        <f t="array" ref="U1347">IF($F1347="","",IFERROR(INDEX(Config!$F:$F,MATCH($F1347,Config!$D:$D,0)),0))</f>
        <v/>
      </c>
    </row>
    <row r="1348" ht="15.0" customHeight="1">
      <c r="A1348" s="34"/>
      <c r="B1348" s="35"/>
      <c r="C1348" s="15"/>
      <c r="D1348" s="15"/>
      <c r="E1348" s="15"/>
      <c r="F1348" s="15"/>
      <c r="G1348" s="36" t="str">
        <f t="array" ref="G1348">IF($F1348="","",IFERROR(INDEX(Config!$E:$E,MATCH($F1348,Config!$D:$D,0)),0))</f>
        <v/>
      </c>
      <c r="H1348" s="16"/>
      <c r="I1348" s="36" t="str">
        <f t="shared" si="1"/>
        <v/>
      </c>
      <c r="J1348" s="16"/>
      <c r="K1348" s="15"/>
      <c r="L1348" s="15"/>
      <c r="M1348" s="36" t="str">
        <f t="array" ref="M1348">IF($A1348="","",IF($L1348="Atendido",IFERROR($I1348*INDEX(Config!$B:$B,MATCH($C1348,Config!$A:$A,0)),0),0))</f>
        <v/>
      </c>
      <c r="N1348" s="36" t="str">
        <f t="shared" si="2"/>
        <v/>
      </c>
      <c r="O1348" s="36" t="str">
        <f t="shared" si="3"/>
        <v/>
      </c>
      <c r="P1348" s="15"/>
      <c r="Q1348" s="37" t="str">
        <f t="shared" si="4"/>
        <v/>
      </c>
      <c r="R1348" s="37" t="str">
        <f t="shared" si="5"/>
        <v/>
      </c>
      <c r="S1348" s="32" t="str">
        <f t="shared" si="6"/>
        <v/>
      </c>
      <c r="T1348" s="37" t="str">
        <f t="shared" si="7"/>
        <v/>
      </c>
      <c r="U1348" s="37" t="str">
        <f t="array" ref="U1348">IF($F1348="","",IFERROR(INDEX(Config!$F:$F,MATCH($F1348,Config!$D:$D,0)),0))</f>
        <v/>
      </c>
    </row>
    <row r="1349" ht="15.0" customHeight="1">
      <c r="A1349" s="34"/>
      <c r="B1349" s="35"/>
      <c r="C1349" s="15"/>
      <c r="D1349" s="15"/>
      <c r="E1349" s="15"/>
      <c r="F1349" s="15"/>
      <c r="G1349" s="36" t="str">
        <f t="array" ref="G1349">IF($F1349="","",IFERROR(INDEX(Config!$E:$E,MATCH($F1349,Config!$D:$D,0)),0))</f>
        <v/>
      </c>
      <c r="H1349" s="16"/>
      <c r="I1349" s="36" t="str">
        <f t="shared" si="1"/>
        <v/>
      </c>
      <c r="J1349" s="16"/>
      <c r="K1349" s="15"/>
      <c r="L1349" s="15"/>
      <c r="M1349" s="36" t="str">
        <f t="array" ref="M1349">IF($A1349="","",IF($L1349="Atendido",IFERROR($I1349*INDEX(Config!$B:$B,MATCH($C1349,Config!$A:$A,0)),0),0))</f>
        <v/>
      </c>
      <c r="N1349" s="36" t="str">
        <f t="shared" si="2"/>
        <v/>
      </c>
      <c r="O1349" s="36" t="str">
        <f t="shared" si="3"/>
        <v/>
      </c>
      <c r="P1349" s="15"/>
      <c r="Q1349" s="37" t="str">
        <f t="shared" si="4"/>
        <v/>
      </c>
      <c r="R1349" s="37" t="str">
        <f t="shared" si="5"/>
        <v/>
      </c>
      <c r="S1349" s="32" t="str">
        <f t="shared" si="6"/>
        <v/>
      </c>
      <c r="T1349" s="37" t="str">
        <f t="shared" si="7"/>
        <v/>
      </c>
      <c r="U1349" s="37" t="str">
        <f t="array" ref="U1349">IF($F1349="","",IFERROR(INDEX(Config!$F:$F,MATCH($F1349,Config!$D:$D,0)),0))</f>
        <v/>
      </c>
    </row>
    <row r="1350" ht="15.0" customHeight="1">
      <c r="A1350" s="34"/>
      <c r="B1350" s="35"/>
      <c r="C1350" s="15"/>
      <c r="D1350" s="15"/>
      <c r="E1350" s="15"/>
      <c r="F1350" s="15"/>
      <c r="G1350" s="36" t="str">
        <f t="array" ref="G1350">IF($F1350="","",IFERROR(INDEX(Config!$E:$E,MATCH($F1350,Config!$D:$D,0)),0))</f>
        <v/>
      </c>
      <c r="H1350" s="16"/>
      <c r="I1350" s="36" t="str">
        <f t="shared" si="1"/>
        <v/>
      </c>
      <c r="J1350" s="16"/>
      <c r="K1350" s="15"/>
      <c r="L1350" s="15"/>
      <c r="M1350" s="36" t="str">
        <f t="array" ref="M1350">IF($A1350="","",IF($L1350="Atendido",IFERROR($I1350*INDEX(Config!$B:$B,MATCH($C1350,Config!$A:$A,0)),0),0))</f>
        <v/>
      </c>
      <c r="N1350" s="36" t="str">
        <f t="shared" si="2"/>
        <v/>
      </c>
      <c r="O1350" s="36" t="str">
        <f t="shared" si="3"/>
        <v/>
      </c>
      <c r="P1350" s="15"/>
      <c r="Q1350" s="37" t="str">
        <f t="shared" si="4"/>
        <v/>
      </c>
      <c r="R1350" s="37" t="str">
        <f t="shared" si="5"/>
        <v/>
      </c>
      <c r="S1350" s="32" t="str">
        <f t="shared" si="6"/>
        <v/>
      </c>
      <c r="T1350" s="37" t="str">
        <f t="shared" si="7"/>
        <v/>
      </c>
      <c r="U1350" s="37" t="str">
        <f t="array" ref="U1350">IF($F1350="","",IFERROR(INDEX(Config!$F:$F,MATCH($F1350,Config!$D:$D,0)),0))</f>
        <v/>
      </c>
    </row>
    <row r="1351" ht="15.0" customHeight="1">
      <c r="A1351" s="34"/>
      <c r="B1351" s="35"/>
      <c r="C1351" s="15"/>
      <c r="D1351" s="15"/>
      <c r="E1351" s="15"/>
      <c r="F1351" s="15"/>
      <c r="G1351" s="36" t="str">
        <f t="array" ref="G1351">IF($F1351="","",IFERROR(INDEX(Config!$E:$E,MATCH($F1351,Config!$D:$D,0)),0))</f>
        <v/>
      </c>
      <c r="H1351" s="16"/>
      <c r="I1351" s="36" t="str">
        <f t="shared" si="1"/>
        <v/>
      </c>
      <c r="J1351" s="16"/>
      <c r="K1351" s="15"/>
      <c r="L1351" s="15"/>
      <c r="M1351" s="36" t="str">
        <f t="array" ref="M1351">IF($A1351="","",IF($L1351="Atendido",IFERROR($I1351*INDEX(Config!$B:$B,MATCH($C1351,Config!$A:$A,0)),0),0))</f>
        <v/>
      </c>
      <c r="N1351" s="36" t="str">
        <f t="shared" si="2"/>
        <v/>
      </c>
      <c r="O1351" s="36" t="str">
        <f t="shared" si="3"/>
        <v/>
      </c>
      <c r="P1351" s="15"/>
      <c r="Q1351" s="37" t="str">
        <f t="shared" si="4"/>
        <v/>
      </c>
      <c r="R1351" s="37" t="str">
        <f t="shared" si="5"/>
        <v/>
      </c>
      <c r="S1351" s="32" t="str">
        <f t="shared" si="6"/>
        <v/>
      </c>
      <c r="T1351" s="37" t="str">
        <f t="shared" si="7"/>
        <v/>
      </c>
      <c r="U1351" s="37" t="str">
        <f t="array" ref="U1351">IF($F1351="","",IFERROR(INDEX(Config!$F:$F,MATCH($F1351,Config!$D:$D,0)),0))</f>
        <v/>
      </c>
    </row>
    <row r="1352" ht="15.0" customHeight="1">
      <c r="A1352" s="34"/>
      <c r="B1352" s="35"/>
      <c r="C1352" s="15"/>
      <c r="D1352" s="15"/>
      <c r="E1352" s="15"/>
      <c r="F1352" s="15"/>
      <c r="G1352" s="36" t="str">
        <f t="array" ref="G1352">IF($F1352="","",IFERROR(INDEX(Config!$E:$E,MATCH($F1352,Config!$D:$D,0)),0))</f>
        <v/>
      </c>
      <c r="H1352" s="16"/>
      <c r="I1352" s="36" t="str">
        <f t="shared" si="1"/>
        <v/>
      </c>
      <c r="J1352" s="16"/>
      <c r="K1352" s="15"/>
      <c r="L1352" s="15"/>
      <c r="M1352" s="36" t="str">
        <f t="array" ref="M1352">IF($A1352="","",IF($L1352="Atendido",IFERROR($I1352*INDEX(Config!$B:$B,MATCH($C1352,Config!$A:$A,0)),0),0))</f>
        <v/>
      </c>
      <c r="N1352" s="36" t="str">
        <f t="shared" si="2"/>
        <v/>
      </c>
      <c r="O1352" s="36" t="str">
        <f t="shared" si="3"/>
        <v/>
      </c>
      <c r="P1352" s="15"/>
      <c r="Q1352" s="37" t="str">
        <f t="shared" si="4"/>
        <v/>
      </c>
      <c r="R1352" s="37" t="str">
        <f t="shared" si="5"/>
        <v/>
      </c>
      <c r="S1352" s="32" t="str">
        <f t="shared" si="6"/>
        <v/>
      </c>
      <c r="T1352" s="37" t="str">
        <f t="shared" si="7"/>
        <v/>
      </c>
      <c r="U1352" s="37" t="str">
        <f t="array" ref="U1352">IF($F1352="","",IFERROR(INDEX(Config!$F:$F,MATCH($F1352,Config!$D:$D,0)),0))</f>
        <v/>
      </c>
    </row>
    <row r="1353" ht="15.0" customHeight="1">
      <c r="A1353" s="34"/>
      <c r="B1353" s="35"/>
      <c r="C1353" s="15"/>
      <c r="D1353" s="15"/>
      <c r="E1353" s="15"/>
      <c r="F1353" s="15"/>
      <c r="G1353" s="36" t="str">
        <f t="array" ref="G1353">IF($F1353="","",IFERROR(INDEX(Config!$E:$E,MATCH($F1353,Config!$D:$D,0)),0))</f>
        <v/>
      </c>
      <c r="H1353" s="16"/>
      <c r="I1353" s="36" t="str">
        <f t="shared" si="1"/>
        <v/>
      </c>
      <c r="J1353" s="16"/>
      <c r="K1353" s="15"/>
      <c r="L1353" s="15"/>
      <c r="M1353" s="36" t="str">
        <f t="array" ref="M1353">IF($A1353="","",IF($L1353="Atendido",IFERROR($I1353*INDEX(Config!$B:$B,MATCH($C1353,Config!$A:$A,0)),0),0))</f>
        <v/>
      </c>
      <c r="N1353" s="36" t="str">
        <f t="shared" si="2"/>
        <v/>
      </c>
      <c r="O1353" s="36" t="str">
        <f t="shared" si="3"/>
        <v/>
      </c>
      <c r="P1353" s="15"/>
      <c r="Q1353" s="37" t="str">
        <f t="shared" si="4"/>
        <v/>
      </c>
      <c r="R1353" s="37" t="str">
        <f t="shared" si="5"/>
        <v/>
      </c>
      <c r="S1353" s="32" t="str">
        <f t="shared" si="6"/>
        <v/>
      </c>
      <c r="T1353" s="37" t="str">
        <f t="shared" si="7"/>
        <v/>
      </c>
      <c r="U1353" s="37" t="str">
        <f t="array" ref="U1353">IF($F1353="","",IFERROR(INDEX(Config!$F:$F,MATCH($F1353,Config!$D:$D,0)),0))</f>
        <v/>
      </c>
    </row>
    <row r="1354" ht="15.0" customHeight="1">
      <c r="A1354" s="34"/>
      <c r="B1354" s="35"/>
      <c r="C1354" s="15"/>
      <c r="D1354" s="15"/>
      <c r="E1354" s="15"/>
      <c r="F1354" s="15"/>
      <c r="G1354" s="36" t="str">
        <f t="array" ref="G1354">IF($F1354="","",IFERROR(INDEX(Config!$E:$E,MATCH($F1354,Config!$D:$D,0)),0))</f>
        <v/>
      </c>
      <c r="H1354" s="16"/>
      <c r="I1354" s="36" t="str">
        <f t="shared" si="1"/>
        <v/>
      </c>
      <c r="J1354" s="16"/>
      <c r="K1354" s="15"/>
      <c r="L1354" s="15"/>
      <c r="M1354" s="36" t="str">
        <f t="array" ref="M1354">IF($A1354="","",IF($L1354="Atendido",IFERROR($I1354*INDEX(Config!$B:$B,MATCH($C1354,Config!$A:$A,0)),0),0))</f>
        <v/>
      </c>
      <c r="N1354" s="36" t="str">
        <f t="shared" si="2"/>
        <v/>
      </c>
      <c r="O1354" s="36" t="str">
        <f t="shared" si="3"/>
        <v/>
      </c>
      <c r="P1354" s="15"/>
      <c r="Q1354" s="37" t="str">
        <f t="shared" si="4"/>
        <v/>
      </c>
      <c r="R1354" s="37" t="str">
        <f t="shared" si="5"/>
        <v/>
      </c>
      <c r="S1354" s="32" t="str">
        <f t="shared" si="6"/>
        <v/>
      </c>
      <c r="T1354" s="37" t="str">
        <f t="shared" si="7"/>
        <v/>
      </c>
      <c r="U1354" s="37" t="str">
        <f t="array" ref="U1354">IF($F1354="","",IFERROR(INDEX(Config!$F:$F,MATCH($F1354,Config!$D:$D,0)),0))</f>
        <v/>
      </c>
    </row>
    <row r="1355" ht="15.0" customHeight="1">
      <c r="A1355" s="34"/>
      <c r="B1355" s="35"/>
      <c r="C1355" s="15"/>
      <c r="D1355" s="15"/>
      <c r="E1355" s="15"/>
      <c r="F1355" s="15"/>
      <c r="G1355" s="36" t="str">
        <f t="array" ref="G1355">IF($F1355="","",IFERROR(INDEX(Config!$E:$E,MATCH($F1355,Config!$D:$D,0)),0))</f>
        <v/>
      </c>
      <c r="H1355" s="16"/>
      <c r="I1355" s="36" t="str">
        <f t="shared" si="1"/>
        <v/>
      </c>
      <c r="J1355" s="16"/>
      <c r="K1355" s="15"/>
      <c r="L1355" s="15"/>
      <c r="M1355" s="36" t="str">
        <f t="array" ref="M1355">IF($A1355="","",IF($L1355="Atendido",IFERROR($I1355*INDEX(Config!$B:$B,MATCH($C1355,Config!$A:$A,0)),0),0))</f>
        <v/>
      </c>
      <c r="N1355" s="36" t="str">
        <f t="shared" si="2"/>
        <v/>
      </c>
      <c r="O1355" s="36" t="str">
        <f t="shared" si="3"/>
        <v/>
      </c>
      <c r="P1355" s="15"/>
      <c r="Q1355" s="37" t="str">
        <f t="shared" si="4"/>
        <v/>
      </c>
      <c r="R1355" s="37" t="str">
        <f t="shared" si="5"/>
        <v/>
      </c>
      <c r="S1355" s="32" t="str">
        <f t="shared" si="6"/>
        <v/>
      </c>
      <c r="T1355" s="37" t="str">
        <f t="shared" si="7"/>
        <v/>
      </c>
      <c r="U1355" s="37" t="str">
        <f t="array" ref="U1355">IF($F1355="","",IFERROR(INDEX(Config!$F:$F,MATCH($F1355,Config!$D:$D,0)),0))</f>
        <v/>
      </c>
    </row>
    <row r="1356" ht="15.0" customHeight="1">
      <c r="A1356" s="34"/>
      <c r="B1356" s="35"/>
      <c r="C1356" s="15"/>
      <c r="D1356" s="15"/>
      <c r="E1356" s="15"/>
      <c r="F1356" s="15"/>
      <c r="G1356" s="36" t="str">
        <f t="array" ref="G1356">IF($F1356="","",IFERROR(INDEX(Config!$E:$E,MATCH($F1356,Config!$D:$D,0)),0))</f>
        <v/>
      </c>
      <c r="H1356" s="16"/>
      <c r="I1356" s="36" t="str">
        <f t="shared" si="1"/>
        <v/>
      </c>
      <c r="J1356" s="16"/>
      <c r="K1356" s="15"/>
      <c r="L1356" s="15"/>
      <c r="M1356" s="36" t="str">
        <f t="array" ref="M1356">IF($A1356="","",IF($L1356="Atendido",IFERROR($I1356*INDEX(Config!$B:$B,MATCH($C1356,Config!$A:$A,0)),0),0))</f>
        <v/>
      </c>
      <c r="N1356" s="36" t="str">
        <f t="shared" si="2"/>
        <v/>
      </c>
      <c r="O1356" s="36" t="str">
        <f t="shared" si="3"/>
        <v/>
      </c>
      <c r="P1356" s="15"/>
      <c r="Q1356" s="37" t="str">
        <f t="shared" si="4"/>
        <v/>
      </c>
      <c r="R1356" s="37" t="str">
        <f t="shared" si="5"/>
        <v/>
      </c>
      <c r="S1356" s="32" t="str">
        <f t="shared" si="6"/>
        <v/>
      </c>
      <c r="T1356" s="37" t="str">
        <f t="shared" si="7"/>
        <v/>
      </c>
      <c r="U1356" s="37" t="str">
        <f t="array" ref="U1356">IF($F1356="","",IFERROR(INDEX(Config!$F:$F,MATCH($F1356,Config!$D:$D,0)),0))</f>
        <v/>
      </c>
    </row>
    <row r="1357" ht="15.0" customHeight="1">
      <c r="A1357" s="34"/>
      <c r="B1357" s="35"/>
      <c r="C1357" s="15"/>
      <c r="D1357" s="15"/>
      <c r="E1357" s="15"/>
      <c r="F1357" s="15"/>
      <c r="G1357" s="36" t="str">
        <f t="array" ref="G1357">IF($F1357="","",IFERROR(INDEX(Config!$E:$E,MATCH($F1357,Config!$D:$D,0)),0))</f>
        <v/>
      </c>
      <c r="H1357" s="16"/>
      <c r="I1357" s="36" t="str">
        <f t="shared" si="1"/>
        <v/>
      </c>
      <c r="J1357" s="16"/>
      <c r="K1357" s="15"/>
      <c r="L1357" s="15"/>
      <c r="M1357" s="36" t="str">
        <f t="array" ref="M1357">IF($A1357="","",IF($L1357="Atendido",IFERROR($I1357*INDEX(Config!$B:$B,MATCH($C1357,Config!$A:$A,0)),0),0))</f>
        <v/>
      </c>
      <c r="N1357" s="36" t="str">
        <f t="shared" si="2"/>
        <v/>
      </c>
      <c r="O1357" s="36" t="str">
        <f t="shared" si="3"/>
        <v/>
      </c>
      <c r="P1357" s="15"/>
      <c r="Q1357" s="37" t="str">
        <f t="shared" si="4"/>
        <v/>
      </c>
      <c r="R1357" s="37" t="str">
        <f t="shared" si="5"/>
        <v/>
      </c>
      <c r="S1357" s="32" t="str">
        <f t="shared" si="6"/>
        <v/>
      </c>
      <c r="T1357" s="37" t="str">
        <f t="shared" si="7"/>
        <v/>
      </c>
      <c r="U1357" s="37" t="str">
        <f t="array" ref="U1357">IF($F1357="","",IFERROR(INDEX(Config!$F:$F,MATCH($F1357,Config!$D:$D,0)),0))</f>
        <v/>
      </c>
    </row>
    <row r="1358" ht="15.0" customHeight="1">
      <c r="A1358" s="34"/>
      <c r="B1358" s="35"/>
      <c r="C1358" s="15"/>
      <c r="D1358" s="15"/>
      <c r="E1358" s="15"/>
      <c r="F1358" s="15"/>
      <c r="G1358" s="36" t="str">
        <f t="array" ref="G1358">IF($F1358="","",IFERROR(INDEX(Config!$E:$E,MATCH($F1358,Config!$D:$D,0)),0))</f>
        <v/>
      </c>
      <c r="H1358" s="16"/>
      <c r="I1358" s="36" t="str">
        <f t="shared" si="1"/>
        <v/>
      </c>
      <c r="J1358" s="16"/>
      <c r="K1358" s="15"/>
      <c r="L1358" s="15"/>
      <c r="M1358" s="36" t="str">
        <f t="array" ref="M1358">IF($A1358="","",IF($L1358="Atendido",IFERROR($I1358*INDEX(Config!$B:$B,MATCH($C1358,Config!$A:$A,0)),0),0))</f>
        <v/>
      </c>
      <c r="N1358" s="36" t="str">
        <f t="shared" si="2"/>
        <v/>
      </c>
      <c r="O1358" s="36" t="str">
        <f t="shared" si="3"/>
        <v/>
      </c>
      <c r="P1358" s="15"/>
      <c r="Q1358" s="37" t="str">
        <f t="shared" si="4"/>
        <v/>
      </c>
      <c r="R1358" s="37" t="str">
        <f t="shared" si="5"/>
        <v/>
      </c>
      <c r="S1358" s="32" t="str">
        <f t="shared" si="6"/>
        <v/>
      </c>
      <c r="T1358" s="37" t="str">
        <f t="shared" si="7"/>
        <v/>
      </c>
      <c r="U1358" s="37" t="str">
        <f t="array" ref="U1358">IF($F1358="","",IFERROR(INDEX(Config!$F:$F,MATCH($F1358,Config!$D:$D,0)),0))</f>
        <v/>
      </c>
    </row>
    <row r="1359" ht="15.0" customHeight="1">
      <c r="A1359" s="34"/>
      <c r="B1359" s="35"/>
      <c r="C1359" s="15"/>
      <c r="D1359" s="15"/>
      <c r="E1359" s="15"/>
      <c r="F1359" s="15"/>
      <c r="G1359" s="36" t="str">
        <f t="array" ref="G1359">IF($F1359="","",IFERROR(INDEX(Config!$E:$E,MATCH($F1359,Config!$D:$D,0)),0))</f>
        <v/>
      </c>
      <c r="H1359" s="16"/>
      <c r="I1359" s="36" t="str">
        <f t="shared" si="1"/>
        <v/>
      </c>
      <c r="J1359" s="16"/>
      <c r="K1359" s="15"/>
      <c r="L1359" s="15"/>
      <c r="M1359" s="36" t="str">
        <f t="array" ref="M1359">IF($A1359="","",IF($L1359="Atendido",IFERROR($I1359*INDEX(Config!$B:$B,MATCH($C1359,Config!$A:$A,0)),0),0))</f>
        <v/>
      </c>
      <c r="N1359" s="36" t="str">
        <f t="shared" si="2"/>
        <v/>
      </c>
      <c r="O1359" s="36" t="str">
        <f t="shared" si="3"/>
        <v/>
      </c>
      <c r="P1359" s="15"/>
      <c r="Q1359" s="37" t="str">
        <f t="shared" si="4"/>
        <v/>
      </c>
      <c r="R1359" s="37" t="str">
        <f t="shared" si="5"/>
        <v/>
      </c>
      <c r="S1359" s="32" t="str">
        <f t="shared" si="6"/>
        <v/>
      </c>
      <c r="T1359" s="37" t="str">
        <f t="shared" si="7"/>
        <v/>
      </c>
      <c r="U1359" s="37" t="str">
        <f t="array" ref="U1359">IF($F1359="","",IFERROR(INDEX(Config!$F:$F,MATCH($F1359,Config!$D:$D,0)),0))</f>
        <v/>
      </c>
    </row>
    <row r="1360" ht="15.0" customHeight="1">
      <c r="A1360" s="34"/>
      <c r="B1360" s="35"/>
      <c r="C1360" s="15"/>
      <c r="D1360" s="15"/>
      <c r="E1360" s="15"/>
      <c r="F1360" s="15"/>
      <c r="G1360" s="36" t="str">
        <f t="array" ref="G1360">IF($F1360="","",IFERROR(INDEX(Config!$E:$E,MATCH($F1360,Config!$D:$D,0)),0))</f>
        <v/>
      </c>
      <c r="H1360" s="16"/>
      <c r="I1360" s="36" t="str">
        <f t="shared" si="1"/>
        <v/>
      </c>
      <c r="J1360" s="16"/>
      <c r="K1360" s="15"/>
      <c r="L1360" s="15"/>
      <c r="M1360" s="36" t="str">
        <f t="array" ref="M1360">IF($A1360="","",IF($L1360="Atendido",IFERROR($I1360*INDEX(Config!$B:$B,MATCH($C1360,Config!$A:$A,0)),0),0))</f>
        <v/>
      </c>
      <c r="N1360" s="36" t="str">
        <f t="shared" si="2"/>
        <v/>
      </c>
      <c r="O1360" s="36" t="str">
        <f t="shared" si="3"/>
        <v/>
      </c>
      <c r="P1360" s="15"/>
      <c r="Q1360" s="37" t="str">
        <f t="shared" si="4"/>
        <v/>
      </c>
      <c r="R1360" s="37" t="str">
        <f t="shared" si="5"/>
        <v/>
      </c>
      <c r="S1360" s="32" t="str">
        <f t="shared" si="6"/>
        <v/>
      </c>
      <c r="T1360" s="37" t="str">
        <f t="shared" si="7"/>
        <v/>
      </c>
      <c r="U1360" s="37" t="str">
        <f t="array" ref="U1360">IF($F1360="","",IFERROR(INDEX(Config!$F:$F,MATCH($F1360,Config!$D:$D,0)),0))</f>
        <v/>
      </c>
    </row>
    <row r="1361" ht="15.0" customHeight="1">
      <c r="A1361" s="34"/>
      <c r="B1361" s="35"/>
      <c r="C1361" s="15"/>
      <c r="D1361" s="15"/>
      <c r="E1361" s="15"/>
      <c r="F1361" s="15"/>
      <c r="G1361" s="36" t="str">
        <f t="array" ref="G1361">IF($F1361="","",IFERROR(INDEX(Config!$E:$E,MATCH($F1361,Config!$D:$D,0)),0))</f>
        <v/>
      </c>
      <c r="H1361" s="16"/>
      <c r="I1361" s="36" t="str">
        <f t="shared" si="1"/>
        <v/>
      </c>
      <c r="J1361" s="16"/>
      <c r="K1361" s="15"/>
      <c r="L1361" s="15"/>
      <c r="M1361" s="36" t="str">
        <f t="array" ref="M1361">IF($A1361="","",IF($L1361="Atendido",IFERROR($I1361*INDEX(Config!$B:$B,MATCH($C1361,Config!$A:$A,0)),0),0))</f>
        <v/>
      </c>
      <c r="N1361" s="36" t="str">
        <f t="shared" si="2"/>
        <v/>
      </c>
      <c r="O1361" s="36" t="str">
        <f t="shared" si="3"/>
        <v/>
      </c>
      <c r="P1361" s="15"/>
      <c r="Q1361" s="37" t="str">
        <f t="shared" si="4"/>
        <v/>
      </c>
      <c r="R1361" s="37" t="str">
        <f t="shared" si="5"/>
        <v/>
      </c>
      <c r="S1361" s="32" t="str">
        <f t="shared" si="6"/>
        <v/>
      </c>
      <c r="T1361" s="37" t="str">
        <f t="shared" si="7"/>
        <v/>
      </c>
      <c r="U1361" s="37" t="str">
        <f t="array" ref="U1361">IF($F1361="","",IFERROR(INDEX(Config!$F:$F,MATCH($F1361,Config!$D:$D,0)),0))</f>
        <v/>
      </c>
    </row>
    <row r="1362" ht="15.0" customHeight="1">
      <c r="A1362" s="34"/>
      <c r="B1362" s="35"/>
      <c r="C1362" s="15"/>
      <c r="D1362" s="15"/>
      <c r="E1362" s="15"/>
      <c r="F1362" s="15"/>
      <c r="G1362" s="36" t="str">
        <f t="array" ref="G1362">IF($F1362="","",IFERROR(INDEX(Config!$E:$E,MATCH($F1362,Config!$D:$D,0)),0))</f>
        <v/>
      </c>
      <c r="H1362" s="16"/>
      <c r="I1362" s="36" t="str">
        <f t="shared" si="1"/>
        <v/>
      </c>
      <c r="J1362" s="16"/>
      <c r="K1362" s="15"/>
      <c r="L1362" s="15"/>
      <c r="M1362" s="36" t="str">
        <f t="array" ref="M1362">IF($A1362="","",IF($L1362="Atendido",IFERROR($I1362*INDEX(Config!$B:$B,MATCH($C1362,Config!$A:$A,0)),0),0))</f>
        <v/>
      </c>
      <c r="N1362" s="36" t="str">
        <f t="shared" si="2"/>
        <v/>
      </c>
      <c r="O1362" s="36" t="str">
        <f t="shared" si="3"/>
        <v/>
      </c>
      <c r="P1362" s="15"/>
      <c r="Q1362" s="37" t="str">
        <f t="shared" si="4"/>
        <v/>
      </c>
      <c r="R1362" s="37" t="str">
        <f t="shared" si="5"/>
        <v/>
      </c>
      <c r="S1362" s="32" t="str">
        <f t="shared" si="6"/>
        <v/>
      </c>
      <c r="T1362" s="37" t="str">
        <f t="shared" si="7"/>
        <v/>
      </c>
      <c r="U1362" s="37" t="str">
        <f t="array" ref="U1362">IF($F1362="","",IFERROR(INDEX(Config!$F:$F,MATCH($F1362,Config!$D:$D,0)),0))</f>
        <v/>
      </c>
    </row>
    <row r="1363" ht="15.0" customHeight="1">
      <c r="A1363" s="34"/>
      <c r="B1363" s="35"/>
      <c r="C1363" s="15"/>
      <c r="D1363" s="15"/>
      <c r="E1363" s="15"/>
      <c r="F1363" s="15"/>
      <c r="G1363" s="36" t="str">
        <f t="array" ref="G1363">IF($F1363="","",IFERROR(INDEX(Config!$E:$E,MATCH($F1363,Config!$D:$D,0)),0))</f>
        <v/>
      </c>
      <c r="H1363" s="16"/>
      <c r="I1363" s="36" t="str">
        <f t="shared" si="1"/>
        <v/>
      </c>
      <c r="J1363" s="16"/>
      <c r="K1363" s="15"/>
      <c r="L1363" s="15"/>
      <c r="M1363" s="36" t="str">
        <f t="array" ref="M1363">IF($A1363="","",IF($L1363="Atendido",IFERROR($I1363*INDEX(Config!$B:$B,MATCH($C1363,Config!$A:$A,0)),0),0))</f>
        <v/>
      </c>
      <c r="N1363" s="36" t="str">
        <f t="shared" si="2"/>
        <v/>
      </c>
      <c r="O1363" s="36" t="str">
        <f t="shared" si="3"/>
        <v/>
      </c>
      <c r="P1363" s="15"/>
      <c r="Q1363" s="37" t="str">
        <f t="shared" si="4"/>
        <v/>
      </c>
      <c r="R1363" s="37" t="str">
        <f t="shared" si="5"/>
        <v/>
      </c>
      <c r="S1363" s="32" t="str">
        <f t="shared" si="6"/>
        <v/>
      </c>
      <c r="T1363" s="37" t="str">
        <f t="shared" si="7"/>
        <v/>
      </c>
      <c r="U1363" s="37" t="str">
        <f t="array" ref="U1363">IF($F1363="","",IFERROR(INDEX(Config!$F:$F,MATCH($F1363,Config!$D:$D,0)),0))</f>
        <v/>
      </c>
    </row>
    <row r="1364" ht="15.0" customHeight="1">
      <c r="A1364" s="34"/>
      <c r="B1364" s="35"/>
      <c r="C1364" s="15"/>
      <c r="D1364" s="15"/>
      <c r="E1364" s="15"/>
      <c r="F1364" s="15"/>
      <c r="G1364" s="36" t="str">
        <f t="array" ref="G1364">IF($F1364="","",IFERROR(INDEX(Config!$E:$E,MATCH($F1364,Config!$D:$D,0)),0))</f>
        <v/>
      </c>
      <c r="H1364" s="16"/>
      <c r="I1364" s="36" t="str">
        <f t="shared" si="1"/>
        <v/>
      </c>
      <c r="J1364" s="16"/>
      <c r="K1364" s="15"/>
      <c r="L1364" s="15"/>
      <c r="M1364" s="36" t="str">
        <f t="array" ref="M1364">IF($A1364="","",IF($L1364="Atendido",IFERROR($I1364*INDEX(Config!$B:$B,MATCH($C1364,Config!$A:$A,0)),0),0))</f>
        <v/>
      </c>
      <c r="N1364" s="36" t="str">
        <f t="shared" si="2"/>
        <v/>
      </c>
      <c r="O1364" s="36" t="str">
        <f t="shared" si="3"/>
        <v/>
      </c>
      <c r="P1364" s="15"/>
      <c r="Q1364" s="37" t="str">
        <f t="shared" si="4"/>
        <v/>
      </c>
      <c r="R1364" s="37" t="str">
        <f t="shared" si="5"/>
        <v/>
      </c>
      <c r="S1364" s="32" t="str">
        <f t="shared" si="6"/>
        <v/>
      </c>
      <c r="T1364" s="37" t="str">
        <f t="shared" si="7"/>
        <v/>
      </c>
      <c r="U1364" s="37" t="str">
        <f t="array" ref="U1364">IF($F1364="","",IFERROR(INDEX(Config!$F:$F,MATCH($F1364,Config!$D:$D,0)),0))</f>
        <v/>
      </c>
    </row>
    <row r="1365" ht="15.0" customHeight="1">
      <c r="A1365" s="34"/>
      <c r="B1365" s="35"/>
      <c r="C1365" s="15"/>
      <c r="D1365" s="15"/>
      <c r="E1365" s="15"/>
      <c r="F1365" s="15"/>
      <c r="G1365" s="36" t="str">
        <f t="array" ref="G1365">IF($F1365="","",IFERROR(INDEX(Config!$E:$E,MATCH($F1365,Config!$D:$D,0)),0))</f>
        <v/>
      </c>
      <c r="H1365" s="16"/>
      <c r="I1365" s="36" t="str">
        <f t="shared" si="1"/>
        <v/>
      </c>
      <c r="J1365" s="16"/>
      <c r="K1365" s="15"/>
      <c r="L1365" s="15"/>
      <c r="M1365" s="36" t="str">
        <f t="array" ref="M1365">IF($A1365="","",IF($L1365="Atendido",IFERROR($I1365*INDEX(Config!$B:$B,MATCH($C1365,Config!$A:$A,0)),0),0))</f>
        <v/>
      </c>
      <c r="N1365" s="36" t="str">
        <f t="shared" si="2"/>
        <v/>
      </c>
      <c r="O1365" s="36" t="str">
        <f t="shared" si="3"/>
        <v/>
      </c>
      <c r="P1365" s="15"/>
      <c r="Q1365" s="37" t="str">
        <f t="shared" si="4"/>
        <v/>
      </c>
      <c r="R1365" s="37" t="str">
        <f t="shared" si="5"/>
        <v/>
      </c>
      <c r="S1365" s="32" t="str">
        <f t="shared" si="6"/>
        <v/>
      </c>
      <c r="T1365" s="37" t="str">
        <f t="shared" si="7"/>
        <v/>
      </c>
      <c r="U1365" s="37" t="str">
        <f t="array" ref="U1365">IF($F1365="","",IFERROR(INDEX(Config!$F:$F,MATCH($F1365,Config!$D:$D,0)),0))</f>
        <v/>
      </c>
    </row>
    <row r="1366" ht="15.0" customHeight="1">
      <c r="A1366" s="34"/>
      <c r="B1366" s="35"/>
      <c r="C1366" s="15"/>
      <c r="D1366" s="15"/>
      <c r="E1366" s="15"/>
      <c r="F1366" s="15"/>
      <c r="G1366" s="36" t="str">
        <f t="array" ref="G1366">IF($F1366="","",IFERROR(INDEX(Config!$E:$E,MATCH($F1366,Config!$D:$D,0)),0))</f>
        <v/>
      </c>
      <c r="H1366" s="16"/>
      <c r="I1366" s="36" t="str">
        <f t="shared" si="1"/>
        <v/>
      </c>
      <c r="J1366" s="16"/>
      <c r="K1366" s="15"/>
      <c r="L1366" s="15"/>
      <c r="M1366" s="36" t="str">
        <f t="array" ref="M1366">IF($A1366="","",IF($L1366="Atendido",IFERROR($I1366*INDEX(Config!$B:$B,MATCH($C1366,Config!$A:$A,0)),0),0))</f>
        <v/>
      </c>
      <c r="N1366" s="36" t="str">
        <f t="shared" si="2"/>
        <v/>
      </c>
      <c r="O1366" s="36" t="str">
        <f t="shared" si="3"/>
        <v/>
      </c>
      <c r="P1366" s="15"/>
      <c r="Q1366" s="37" t="str">
        <f t="shared" si="4"/>
        <v/>
      </c>
      <c r="R1366" s="37" t="str">
        <f t="shared" si="5"/>
        <v/>
      </c>
      <c r="S1366" s="32" t="str">
        <f t="shared" si="6"/>
        <v/>
      </c>
      <c r="T1366" s="37" t="str">
        <f t="shared" si="7"/>
        <v/>
      </c>
      <c r="U1366" s="37" t="str">
        <f t="array" ref="U1366">IF($F1366="","",IFERROR(INDEX(Config!$F:$F,MATCH($F1366,Config!$D:$D,0)),0))</f>
        <v/>
      </c>
    </row>
    <row r="1367" ht="15.0" customHeight="1">
      <c r="A1367" s="34"/>
      <c r="B1367" s="35"/>
      <c r="C1367" s="15"/>
      <c r="D1367" s="15"/>
      <c r="E1367" s="15"/>
      <c r="F1367" s="15"/>
      <c r="G1367" s="36" t="str">
        <f t="array" ref="G1367">IF($F1367="","",IFERROR(INDEX(Config!$E:$E,MATCH($F1367,Config!$D:$D,0)),0))</f>
        <v/>
      </c>
      <c r="H1367" s="16"/>
      <c r="I1367" s="36" t="str">
        <f t="shared" si="1"/>
        <v/>
      </c>
      <c r="J1367" s="16"/>
      <c r="K1367" s="15"/>
      <c r="L1367" s="15"/>
      <c r="M1367" s="36" t="str">
        <f t="array" ref="M1367">IF($A1367="","",IF($L1367="Atendido",IFERROR($I1367*INDEX(Config!$B:$B,MATCH($C1367,Config!$A:$A,0)),0),0))</f>
        <v/>
      </c>
      <c r="N1367" s="36" t="str">
        <f t="shared" si="2"/>
        <v/>
      </c>
      <c r="O1367" s="36" t="str">
        <f t="shared" si="3"/>
        <v/>
      </c>
      <c r="P1367" s="15"/>
      <c r="Q1367" s="37" t="str">
        <f t="shared" si="4"/>
        <v/>
      </c>
      <c r="R1367" s="37" t="str">
        <f t="shared" si="5"/>
        <v/>
      </c>
      <c r="S1367" s="32" t="str">
        <f t="shared" si="6"/>
        <v/>
      </c>
      <c r="T1367" s="37" t="str">
        <f t="shared" si="7"/>
        <v/>
      </c>
      <c r="U1367" s="37" t="str">
        <f t="array" ref="U1367">IF($F1367="","",IFERROR(INDEX(Config!$F:$F,MATCH($F1367,Config!$D:$D,0)),0))</f>
        <v/>
      </c>
    </row>
    <row r="1368" ht="15.0" customHeight="1">
      <c r="A1368" s="34"/>
      <c r="B1368" s="35"/>
      <c r="C1368" s="15"/>
      <c r="D1368" s="15"/>
      <c r="E1368" s="15"/>
      <c r="F1368" s="15"/>
      <c r="G1368" s="36" t="str">
        <f t="array" ref="G1368">IF($F1368="","",IFERROR(INDEX(Config!$E:$E,MATCH($F1368,Config!$D:$D,0)),0))</f>
        <v/>
      </c>
      <c r="H1368" s="16"/>
      <c r="I1368" s="36" t="str">
        <f t="shared" si="1"/>
        <v/>
      </c>
      <c r="J1368" s="16"/>
      <c r="K1368" s="15"/>
      <c r="L1368" s="15"/>
      <c r="M1368" s="36" t="str">
        <f t="array" ref="M1368">IF($A1368="","",IF($L1368="Atendido",IFERROR($I1368*INDEX(Config!$B:$B,MATCH($C1368,Config!$A:$A,0)),0),0))</f>
        <v/>
      </c>
      <c r="N1368" s="36" t="str">
        <f t="shared" si="2"/>
        <v/>
      </c>
      <c r="O1368" s="36" t="str">
        <f t="shared" si="3"/>
        <v/>
      </c>
      <c r="P1368" s="15"/>
      <c r="Q1368" s="37" t="str">
        <f t="shared" si="4"/>
        <v/>
      </c>
      <c r="R1368" s="37" t="str">
        <f t="shared" si="5"/>
        <v/>
      </c>
      <c r="S1368" s="32" t="str">
        <f t="shared" si="6"/>
        <v/>
      </c>
      <c r="T1368" s="37" t="str">
        <f t="shared" si="7"/>
        <v/>
      </c>
      <c r="U1368" s="37" t="str">
        <f t="array" ref="U1368">IF($F1368="","",IFERROR(INDEX(Config!$F:$F,MATCH($F1368,Config!$D:$D,0)),0))</f>
        <v/>
      </c>
    </row>
    <row r="1369" ht="15.0" customHeight="1">
      <c r="A1369" s="34"/>
      <c r="B1369" s="35"/>
      <c r="C1369" s="15"/>
      <c r="D1369" s="15"/>
      <c r="E1369" s="15"/>
      <c r="F1369" s="15"/>
      <c r="G1369" s="36" t="str">
        <f t="array" ref="G1369">IF($F1369="","",IFERROR(INDEX(Config!$E:$E,MATCH($F1369,Config!$D:$D,0)),0))</f>
        <v/>
      </c>
      <c r="H1369" s="16"/>
      <c r="I1369" s="36" t="str">
        <f t="shared" si="1"/>
        <v/>
      </c>
      <c r="J1369" s="16"/>
      <c r="K1369" s="15"/>
      <c r="L1369" s="15"/>
      <c r="M1369" s="36" t="str">
        <f t="array" ref="M1369">IF($A1369="","",IF($L1369="Atendido",IFERROR($I1369*INDEX(Config!$B:$B,MATCH($C1369,Config!$A:$A,0)),0),0))</f>
        <v/>
      </c>
      <c r="N1369" s="36" t="str">
        <f t="shared" si="2"/>
        <v/>
      </c>
      <c r="O1369" s="36" t="str">
        <f t="shared" si="3"/>
        <v/>
      </c>
      <c r="P1369" s="15"/>
      <c r="Q1369" s="37" t="str">
        <f t="shared" si="4"/>
        <v/>
      </c>
      <c r="R1369" s="37" t="str">
        <f t="shared" si="5"/>
        <v/>
      </c>
      <c r="S1369" s="32" t="str">
        <f t="shared" si="6"/>
        <v/>
      </c>
      <c r="T1369" s="37" t="str">
        <f t="shared" si="7"/>
        <v/>
      </c>
      <c r="U1369" s="37" t="str">
        <f t="array" ref="U1369">IF($F1369="","",IFERROR(INDEX(Config!$F:$F,MATCH($F1369,Config!$D:$D,0)),0))</f>
        <v/>
      </c>
    </row>
    <row r="1370" ht="15.0" customHeight="1">
      <c r="A1370" s="34"/>
      <c r="B1370" s="35"/>
      <c r="C1370" s="15"/>
      <c r="D1370" s="15"/>
      <c r="E1370" s="15"/>
      <c r="F1370" s="15"/>
      <c r="G1370" s="36" t="str">
        <f t="array" ref="G1370">IF($F1370="","",IFERROR(INDEX(Config!$E:$E,MATCH($F1370,Config!$D:$D,0)),0))</f>
        <v/>
      </c>
      <c r="H1370" s="16"/>
      <c r="I1370" s="36" t="str">
        <f t="shared" si="1"/>
        <v/>
      </c>
      <c r="J1370" s="16"/>
      <c r="K1370" s="15"/>
      <c r="L1370" s="15"/>
      <c r="M1370" s="36" t="str">
        <f t="array" ref="M1370">IF($A1370="","",IF($L1370="Atendido",IFERROR($I1370*INDEX(Config!$B:$B,MATCH($C1370,Config!$A:$A,0)),0),0))</f>
        <v/>
      </c>
      <c r="N1370" s="36" t="str">
        <f t="shared" si="2"/>
        <v/>
      </c>
      <c r="O1370" s="36" t="str">
        <f t="shared" si="3"/>
        <v/>
      </c>
      <c r="P1370" s="15"/>
      <c r="Q1370" s="37" t="str">
        <f t="shared" si="4"/>
        <v/>
      </c>
      <c r="R1370" s="37" t="str">
        <f t="shared" si="5"/>
        <v/>
      </c>
      <c r="S1370" s="32" t="str">
        <f t="shared" si="6"/>
        <v/>
      </c>
      <c r="T1370" s="37" t="str">
        <f t="shared" si="7"/>
        <v/>
      </c>
      <c r="U1370" s="37" t="str">
        <f t="array" ref="U1370">IF($F1370="","",IFERROR(INDEX(Config!$F:$F,MATCH($F1370,Config!$D:$D,0)),0))</f>
        <v/>
      </c>
    </row>
    <row r="1371" ht="15.0" customHeight="1">
      <c r="A1371" s="34"/>
      <c r="B1371" s="35"/>
      <c r="C1371" s="15"/>
      <c r="D1371" s="15"/>
      <c r="E1371" s="15"/>
      <c r="F1371" s="15"/>
      <c r="G1371" s="36" t="str">
        <f t="array" ref="G1371">IF($F1371="","",IFERROR(INDEX(Config!$E:$E,MATCH($F1371,Config!$D:$D,0)),0))</f>
        <v/>
      </c>
      <c r="H1371" s="16"/>
      <c r="I1371" s="36" t="str">
        <f t="shared" si="1"/>
        <v/>
      </c>
      <c r="J1371" s="16"/>
      <c r="K1371" s="15"/>
      <c r="L1371" s="15"/>
      <c r="M1371" s="36" t="str">
        <f t="array" ref="M1371">IF($A1371="","",IF($L1371="Atendido",IFERROR($I1371*INDEX(Config!$B:$B,MATCH($C1371,Config!$A:$A,0)),0),0))</f>
        <v/>
      </c>
      <c r="N1371" s="36" t="str">
        <f t="shared" si="2"/>
        <v/>
      </c>
      <c r="O1371" s="36" t="str">
        <f t="shared" si="3"/>
        <v/>
      </c>
      <c r="P1371" s="15"/>
      <c r="Q1371" s="37" t="str">
        <f t="shared" si="4"/>
        <v/>
      </c>
      <c r="R1371" s="37" t="str">
        <f t="shared" si="5"/>
        <v/>
      </c>
      <c r="S1371" s="32" t="str">
        <f t="shared" si="6"/>
        <v/>
      </c>
      <c r="T1371" s="37" t="str">
        <f t="shared" si="7"/>
        <v/>
      </c>
      <c r="U1371" s="37" t="str">
        <f t="array" ref="U1371">IF($F1371="","",IFERROR(INDEX(Config!$F:$F,MATCH($F1371,Config!$D:$D,0)),0))</f>
        <v/>
      </c>
    </row>
    <row r="1372" ht="15.0" customHeight="1">
      <c r="A1372" s="34"/>
      <c r="B1372" s="35"/>
      <c r="C1372" s="15"/>
      <c r="D1372" s="15"/>
      <c r="E1372" s="15"/>
      <c r="F1372" s="15"/>
      <c r="G1372" s="36" t="str">
        <f t="array" ref="G1372">IF($F1372="","",IFERROR(INDEX(Config!$E:$E,MATCH($F1372,Config!$D:$D,0)),0))</f>
        <v/>
      </c>
      <c r="H1372" s="16"/>
      <c r="I1372" s="36" t="str">
        <f t="shared" si="1"/>
        <v/>
      </c>
      <c r="J1372" s="16"/>
      <c r="K1372" s="15"/>
      <c r="L1372" s="15"/>
      <c r="M1372" s="36" t="str">
        <f t="array" ref="M1372">IF($A1372="","",IF($L1372="Atendido",IFERROR($I1372*INDEX(Config!$B:$B,MATCH($C1372,Config!$A:$A,0)),0),0))</f>
        <v/>
      </c>
      <c r="N1372" s="36" t="str">
        <f t="shared" si="2"/>
        <v/>
      </c>
      <c r="O1372" s="36" t="str">
        <f t="shared" si="3"/>
        <v/>
      </c>
      <c r="P1372" s="15"/>
      <c r="Q1372" s="37" t="str">
        <f t="shared" si="4"/>
        <v/>
      </c>
      <c r="R1372" s="37" t="str">
        <f t="shared" si="5"/>
        <v/>
      </c>
      <c r="S1372" s="32" t="str">
        <f t="shared" si="6"/>
        <v/>
      </c>
      <c r="T1372" s="37" t="str">
        <f t="shared" si="7"/>
        <v/>
      </c>
      <c r="U1372" s="37" t="str">
        <f t="array" ref="U1372">IF($F1372="","",IFERROR(INDEX(Config!$F:$F,MATCH($F1372,Config!$D:$D,0)),0))</f>
        <v/>
      </c>
    </row>
    <row r="1373" ht="15.0" customHeight="1">
      <c r="A1373" s="34"/>
      <c r="B1373" s="35"/>
      <c r="C1373" s="15"/>
      <c r="D1373" s="15"/>
      <c r="E1373" s="15"/>
      <c r="F1373" s="15"/>
      <c r="G1373" s="36" t="str">
        <f t="array" ref="G1373">IF($F1373="","",IFERROR(INDEX(Config!$E:$E,MATCH($F1373,Config!$D:$D,0)),0))</f>
        <v/>
      </c>
      <c r="H1373" s="16"/>
      <c r="I1373" s="36" t="str">
        <f t="shared" si="1"/>
        <v/>
      </c>
      <c r="J1373" s="16"/>
      <c r="K1373" s="15"/>
      <c r="L1373" s="15"/>
      <c r="M1373" s="36" t="str">
        <f t="array" ref="M1373">IF($A1373="","",IF($L1373="Atendido",IFERROR($I1373*INDEX(Config!$B:$B,MATCH($C1373,Config!$A:$A,0)),0),0))</f>
        <v/>
      </c>
      <c r="N1373" s="36" t="str">
        <f t="shared" si="2"/>
        <v/>
      </c>
      <c r="O1373" s="36" t="str">
        <f t="shared" si="3"/>
        <v/>
      </c>
      <c r="P1373" s="15"/>
      <c r="Q1373" s="37" t="str">
        <f t="shared" si="4"/>
        <v/>
      </c>
      <c r="R1373" s="37" t="str">
        <f t="shared" si="5"/>
        <v/>
      </c>
      <c r="S1373" s="32" t="str">
        <f t="shared" si="6"/>
        <v/>
      </c>
      <c r="T1373" s="37" t="str">
        <f t="shared" si="7"/>
        <v/>
      </c>
      <c r="U1373" s="37" t="str">
        <f t="array" ref="U1373">IF($F1373="","",IFERROR(INDEX(Config!$F:$F,MATCH($F1373,Config!$D:$D,0)),0))</f>
        <v/>
      </c>
    </row>
    <row r="1374" ht="15.0" customHeight="1">
      <c r="A1374" s="34"/>
      <c r="B1374" s="35"/>
      <c r="C1374" s="15"/>
      <c r="D1374" s="15"/>
      <c r="E1374" s="15"/>
      <c r="F1374" s="15"/>
      <c r="G1374" s="36" t="str">
        <f t="array" ref="G1374">IF($F1374="","",IFERROR(INDEX(Config!$E:$E,MATCH($F1374,Config!$D:$D,0)),0))</f>
        <v/>
      </c>
      <c r="H1374" s="16"/>
      <c r="I1374" s="36" t="str">
        <f t="shared" si="1"/>
        <v/>
      </c>
      <c r="J1374" s="16"/>
      <c r="K1374" s="15"/>
      <c r="L1374" s="15"/>
      <c r="M1374" s="36" t="str">
        <f t="array" ref="M1374">IF($A1374="","",IF($L1374="Atendido",IFERROR($I1374*INDEX(Config!$B:$B,MATCH($C1374,Config!$A:$A,0)),0),0))</f>
        <v/>
      </c>
      <c r="N1374" s="36" t="str">
        <f t="shared" si="2"/>
        <v/>
      </c>
      <c r="O1374" s="36" t="str">
        <f t="shared" si="3"/>
        <v/>
      </c>
      <c r="P1374" s="15"/>
      <c r="Q1374" s="37" t="str">
        <f t="shared" si="4"/>
        <v/>
      </c>
      <c r="R1374" s="37" t="str">
        <f t="shared" si="5"/>
        <v/>
      </c>
      <c r="S1374" s="32" t="str">
        <f t="shared" si="6"/>
        <v/>
      </c>
      <c r="T1374" s="37" t="str">
        <f t="shared" si="7"/>
        <v/>
      </c>
      <c r="U1374" s="37" t="str">
        <f t="array" ref="U1374">IF($F1374="","",IFERROR(INDEX(Config!$F:$F,MATCH($F1374,Config!$D:$D,0)),0))</f>
        <v/>
      </c>
    </row>
    <row r="1375" ht="15.0" customHeight="1">
      <c r="A1375" s="34"/>
      <c r="B1375" s="35"/>
      <c r="C1375" s="15"/>
      <c r="D1375" s="15"/>
      <c r="E1375" s="15"/>
      <c r="F1375" s="15"/>
      <c r="G1375" s="36" t="str">
        <f t="array" ref="G1375">IF($F1375="","",IFERROR(INDEX(Config!$E:$E,MATCH($F1375,Config!$D:$D,0)),0))</f>
        <v/>
      </c>
      <c r="H1375" s="16"/>
      <c r="I1375" s="36" t="str">
        <f t="shared" si="1"/>
        <v/>
      </c>
      <c r="J1375" s="16"/>
      <c r="K1375" s="15"/>
      <c r="L1375" s="15"/>
      <c r="M1375" s="36" t="str">
        <f t="array" ref="M1375">IF($A1375="","",IF($L1375="Atendido",IFERROR($I1375*INDEX(Config!$B:$B,MATCH($C1375,Config!$A:$A,0)),0),0))</f>
        <v/>
      </c>
      <c r="N1375" s="36" t="str">
        <f t="shared" si="2"/>
        <v/>
      </c>
      <c r="O1375" s="36" t="str">
        <f t="shared" si="3"/>
        <v/>
      </c>
      <c r="P1375" s="15"/>
      <c r="Q1375" s="37" t="str">
        <f t="shared" si="4"/>
        <v/>
      </c>
      <c r="R1375" s="37" t="str">
        <f t="shared" si="5"/>
        <v/>
      </c>
      <c r="S1375" s="32" t="str">
        <f t="shared" si="6"/>
        <v/>
      </c>
      <c r="T1375" s="37" t="str">
        <f t="shared" si="7"/>
        <v/>
      </c>
      <c r="U1375" s="37" t="str">
        <f t="array" ref="U1375">IF($F1375="","",IFERROR(INDEX(Config!$F:$F,MATCH($F1375,Config!$D:$D,0)),0))</f>
        <v/>
      </c>
    </row>
    <row r="1376" ht="15.0" customHeight="1">
      <c r="A1376" s="34"/>
      <c r="B1376" s="35"/>
      <c r="C1376" s="15"/>
      <c r="D1376" s="15"/>
      <c r="E1376" s="15"/>
      <c r="F1376" s="15"/>
      <c r="G1376" s="36" t="str">
        <f t="array" ref="G1376">IF($F1376="","",IFERROR(INDEX(Config!$E:$E,MATCH($F1376,Config!$D:$D,0)),0))</f>
        <v/>
      </c>
      <c r="H1376" s="16"/>
      <c r="I1376" s="36" t="str">
        <f t="shared" si="1"/>
        <v/>
      </c>
      <c r="J1376" s="16"/>
      <c r="K1376" s="15"/>
      <c r="L1376" s="15"/>
      <c r="M1376" s="36" t="str">
        <f t="array" ref="M1376">IF($A1376="","",IF($L1376="Atendido",IFERROR($I1376*INDEX(Config!$B:$B,MATCH($C1376,Config!$A:$A,0)),0),0))</f>
        <v/>
      </c>
      <c r="N1376" s="36" t="str">
        <f t="shared" si="2"/>
        <v/>
      </c>
      <c r="O1376" s="36" t="str">
        <f t="shared" si="3"/>
        <v/>
      </c>
      <c r="P1376" s="15"/>
      <c r="Q1376" s="37" t="str">
        <f t="shared" si="4"/>
        <v/>
      </c>
      <c r="R1376" s="37" t="str">
        <f t="shared" si="5"/>
        <v/>
      </c>
      <c r="S1376" s="32" t="str">
        <f t="shared" si="6"/>
        <v/>
      </c>
      <c r="T1376" s="37" t="str">
        <f t="shared" si="7"/>
        <v/>
      </c>
      <c r="U1376" s="37" t="str">
        <f t="array" ref="U1376">IF($F1376="","",IFERROR(INDEX(Config!$F:$F,MATCH($F1376,Config!$D:$D,0)),0))</f>
        <v/>
      </c>
    </row>
    <row r="1377" ht="15.0" customHeight="1">
      <c r="A1377" s="34"/>
      <c r="B1377" s="35"/>
      <c r="C1377" s="15"/>
      <c r="D1377" s="15"/>
      <c r="E1377" s="15"/>
      <c r="F1377" s="15"/>
      <c r="G1377" s="36" t="str">
        <f t="array" ref="G1377">IF($F1377="","",IFERROR(INDEX(Config!$E:$E,MATCH($F1377,Config!$D:$D,0)),0))</f>
        <v/>
      </c>
      <c r="H1377" s="16"/>
      <c r="I1377" s="36" t="str">
        <f t="shared" si="1"/>
        <v/>
      </c>
      <c r="J1377" s="16"/>
      <c r="K1377" s="15"/>
      <c r="L1377" s="15"/>
      <c r="M1377" s="36" t="str">
        <f t="array" ref="M1377">IF($A1377="","",IF($L1377="Atendido",IFERROR($I1377*INDEX(Config!$B:$B,MATCH($C1377,Config!$A:$A,0)),0),0))</f>
        <v/>
      </c>
      <c r="N1377" s="36" t="str">
        <f t="shared" si="2"/>
        <v/>
      </c>
      <c r="O1377" s="36" t="str">
        <f t="shared" si="3"/>
        <v/>
      </c>
      <c r="P1377" s="15"/>
      <c r="Q1377" s="37" t="str">
        <f t="shared" si="4"/>
        <v/>
      </c>
      <c r="R1377" s="37" t="str">
        <f t="shared" si="5"/>
        <v/>
      </c>
      <c r="S1377" s="32" t="str">
        <f t="shared" si="6"/>
        <v/>
      </c>
      <c r="T1377" s="37" t="str">
        <f t="shared" si="7"/>
        <v/>
      </c>
      <c r="U1377" s="37" t="str">
        <f t="array" ref="U1377">IF($F1377="","",IFERROR(INDEX(Config!$F:$F,MATCH($F1377,Config!$D:$D,0)),0))</f>
        <v/>
      </c>
    </row>
    <row r="1378" ht="15.0" customHeight="1">
      <c r="A1378" s="34"/>
      <c r="B1378" s="35"/>
      <c r="C1378" s="15"/>
      <c r="D1378" s="15"/>
      <c r="E1378" s="15"/>
      <c r="F1378" s="15"/>
      <c r="G1378" s="36" t="str">
        <f t="array" ref="G1378">IF($F1378="","",IFERROR(INDEX(Config!$E:$E,MATCH($F1378,Config!$D:$D,0)),0))</f>
        <v/>
      </c>
      <c r="H1378" s="16"/>
      <c r="I1378" s="36" t="str">
        <f t="shared" si="1"/>
        <v/>
      </c>
      <c r="J1378" s="16"/>
      <c r="K1378" s="15"/>
      <c r="L1378" s="15"/>
      <c r="M1378" s="36" t="str">
        <f t="array" ref="M1378">IF($A1378="","",IF($L1378="Atendido",IFERROR($I1378*INDEX(Config!$B:$B,MATCH($C1378,Config!$A:$A,0)),0),0))</f>
        <v/>
      </c>
      <c r="N1378" s="36" t="str">
        <f t="shared" si="2"/>
        <v/>
      </c>
      <c r="O1378" s="36" t="str">
        <f t="shared" si="3"/>
        <v/>
      </c>
      <c r="P1378" s="15"/>
      <c r="Q1378" s="37" t="str">
        <f t="shared" si="4"/>
        <v/>
      </c>
      <c r="R1378" s="37" t="str">
        <f t="shared" si="5"/>
        <v/>
      </c>
      <c r="S1378" s="32" t="str">
        <f t="shared" si="6"/>
        <v/>
      </c>
      <c r="T1378" s="37" t="str">
        <f t="shared" si="7"/>
        <v/>
      </c>
      <c r="U1378" s="37" t="str">
        <f t="array" ref="U1378">IF($F1378="","",IFERROR(INDEX(Config!$F:$F,MATCH($F1378,Config!$D:$D,0)),0))</f>
        <v/>
      </c>
    </row>
    <row r="1379" ht="15.0" customHeight="1">
      <c r="A1379" s="34"/>
      <c r="B1379" s="35"/>
      <c r="C1379" s="15"/>
      <c r="D1379" s="15"/>
      <c r="E1379" s="15"/>
      <c r="F1379" s="15"/>
      <c r="G1379" s="36" t="str">
        <f t="array" ref="G1379">IF($F1379="","",IFERROR(INDEX(Config!$E:$E,MATCH($F1379,Config!$D:$D,0)),0))</f>
        <v/>
      </c>
      <c r="H1379" s="16"/>
      <c r="I1379" s="36" t="str">
        <f t="shared" si="1"/>
        <v/>
      </c>
      <c r="J1379" s="16"/>
      <c r="K1379" s="15"/>
      <c r="L1379" s="15"/>
      <c r="M1379" s="36" t="str">
        <f t="array" ref="M1379">IF($A1379="","",IF($L1379="Atendido",IFERROR($I1379*INDEX(Config!$B:$B,MATCH($C1379,Config!$A:$A,0)),0),0))</f>
        <v/>
      </c>
      <c r="N1379" s="36" t="str">
        <f t="shared" si="2"/>
        <v/>
      </c>
      <c r="O1379" s="36" t="str">
        <f t="shared" si="3"/>
        <v/>
      </c>
      <c r="P1379" s="15"/>
      <c r="Q1379" s="37" t="str">
        <f t="shared" si="4"/>
        <v/>
      </c>
      <c r="R1379" s="37" t="str">
        <f t="shared" si="5"/>
        <v/>
      </c>
      <c r="S1379" s="32" t="str">
        <f t="shared" si="6"/>
        <v/>
      </c>
      <c r="T1379" s="37" t="str">
        <f t="shared" si="7"/>
        <v/>
      </c>
      <c r="U1379" s="37" t="str">
        <f t="array" ref="U1379">IF($F1379="","",IFERROR(INDEX(Config!$F:$F,MATCH($F1379,Config!$D:$D,0)),0))</f>
        <v/>
      </c>
    </row>
    <row r="1380" ht="15.0" customHeight="1">
      <c r="A1380" s="34"/>
      <c r="B1380" s="35"/>
      <c r="C1380" s="15"/>
      <c r="D1380" s="15"/>
      <c r="E1380" s="15"/>
      <c r="F1380" s="15"/>
      <c r="G1380" s="36" t="str">
        <f t="array" ref="G1380">IF($F1380="","",IFERROR(INDEX(Config!$E:$E,MATCH($F1380,Config!$D:$D,0)),0))</f>
        <v/>
      </c>
      <c r="H1380" s="16"/>
      <c r="I1380" s="36" t="str">
        <f t="shared" si="1"/>
        <v/>
      </c>
      <c r="J1380" s="16"/>
      <c r="K1380" s="15"/>
      <c r="L1380" s="15"/>
      <c r="M1380" s="36" t="str">
        <f t="array" ref="M1380">IF($A1380="","",IF($L1380="Atendido",IFERROR($I1380*INDEX(Config!$B:$B,MATCH($C1380,Config!$A:$A,0)),0),0))</f>
        <v/>
      </c>
      <c r="N1380" s="36" t="str">
        <f t="shared" si="2"/>
        <v/>
      </c>
      <c r="O1380" s="36" t="str">
        <f t="shared" si="3"/>
        <v/>
      </c>
      <c r="P1380" s="15"/>
      <c r="Q1380" s="37" t="str">
        <f t="shared" si="4"/>
        <v/>
      </c>
      <c r="R1380" s="37" t="str">
        <f t="shared" si="5"/>
        <v/>
      </c>
      <c r="S1380" s="32" t="str">
        <f t="shared" si="6"/>
        <v/>
      </c>
      <c r="T1380" s="37" t="str">
        <f t="shared" si="7"/>
        <v/>
      </c>
      <c r="U1380" s="37" t="str">
        <f t="array" ref="U1380">IF($F1380="","",IFERROR(INDEX(Config!$F:$F,MATCH($F1380,Config!$D:$D,0)),0))</f>
        <v/>
      </c>
    </row>
    <row r="1381" ht="15.0" customHeight="1">
      <c r="A1381" s="34"/>
      <c r="B1381" s="35"/>
      <c r="C1381" s="15"/>
      <c r="D1381" s="15"/>
      <c r="E1381" s="15"/>
      <c r="F1381" s="15"/>
      <c r="G1381" s="36" t="str">
        <f t="array" ref="G1381">IF($F1381="","",IFERROR(INDEX(Config!$E:$E,MATCH($F1381,Config!$D:$D,0)),0))</f>
        <v/>
      </c>
      <c r="H1381" s="16"/>
      <c r="I1381" s="36" t="str">
        <f t="shared" si="1"/>
        <v/>
      </c>
      <c r="J1381" s="16"/>
      <c r="K1381" s="15"/>
      <c r="L1381" s="15"/>
      <c r="M1381" s="36" t="str">
        <f t="array" ref="M1381">IF($A1381="","",IF($L1381="Atendido",IFERROR($I1381*INDEX(Config!$B:$B,MATCH($C1381,Config!$A:$A,0)),0),0))</f>
        <v/>
      </c>
      <c r="N1381" s="36" t="str">
        <f t="shared" si="2"/>
        <v/>
      </c>
      <c r="O1381" s="36" t="str">
        <f t="shared" si="3"/>
        <v/>
      </c>
      <c r="P1381" s="15"/>
      <c r="Q1381" s="37" t="str">
        <f t="shared" si="4"/>
        <v/>
      </c>
      <c r="R1381" s="37" t="str">
        <f t="shared" si="5"/>
        <v/>
      </c>
      <c r="S1381" s="32" t="str">
        <f t="shared" si="6"/>
        <v/>
      </c>
      <c r="T1381" s="37" t="str">
        <f t="shared" si="7"/>
        <v/>
      </c>
      <c r="U1381" s="37" t="str">
        <f t="array" ref="U1381">IF($F1381="","",IFERROR(INDEX(Config!$F:$F,MATCH($F1381,Config!$D:$D,0)),0))</f>
        <v/>
      </c>
    </row>
    <row r="1382" ht="15.0" customHeight="1">
      <c r="A1382" s="34"/>
      <c r="B1382" s="35"/>
      <c r="C1382" s="15"/>
      <c r="D1382" s="15"/>
      <c r="E1382" s="15"/>
      <c r="F1382" s="15"/>
      <c r="G1382" s="36" t="str">
        <f t="array" ref="G1382">IF($F1382="","",IFERROR(INDEX(Config!$E:$E,MATCH($F1382,Config!$D:$D,0)),0))</f>
        <v/>
      </c>
      <c r="H1382" s="16"/>
      <c r="I1382" s="36" t="str">
        <f t="shared" si="1"/>
        <v/>
      </c>
      <c r="J1382" s="16"/>
      <c r="K1382" s="15"/>
      <c r="L1382" s="15"/>
      <c r="M1382" s="36" t="str">
        <f t="array" ref="M1382">IF($A1382="","",IF($L1382="Atendido",IFERROR($I1382*INDEX(Config!$B:$B,MATCH($C1382,Config!$A:$A,0)),0),0))</f>
        <v/>
      </c>
      <c r="N1382" s="36" t="str">
        <f t="shared" si="2"/>
        <v/>
      </c>
      <c r="O1382" s="36" t="str">
        <f t="shared" si="3"/>
        <v/>
      </c>
      <c r="P1382" s="15"/>
      <c r="Q1382" s="37" t="str">
        <f t="shared" si="4"/>
        <v/>
      </c>
      <c r="R1382" s="37" t="str">
        <f t="shared" si="5"/>
        <v/>
      </c>
      <c r="S1382" s="32" t="str">
        <f t="shared" si="6"/>
        <v/>
      </c>
      <c r="T1382" s="37" t="str">
        <f t="shared" si="7"/>
        <v/>
      </c>
      <c r="U1382" s="37" t="str">
        <f t="array" ref="U1382">IF($F1382="","",IFERROR(INDEX(Config!$F:$F,MATCH($F1382,Config!$D:$D,0)),0))</f>
        <v/>
      </c>
    </row>
    <row r="1383" ht="15.0" customHeight="1">
      <c r="A1383" s="34"/>
      <c r="B1383" s="35"/>
      <c r="C1383" s="15"/>
      <c r="D1383" s="15"/>
      <c r="E1383" s="15"/>
      <c r="F1383" s="15"/>
      <c r="G1383" s="36" t="str">
        <f t="array" ref="G1383">IF($F1383="","",IFERROR(INDEX(Config!$E:$E,MATCH($F1383,Config!$D:$D,0)),0))</f>
        <v/>
      </c>
      <c r="H1383" s="16"/>
      <c r="I1383" s="36" t="str">
        <f t="shared" si="1"/>
        <v/>
      </c>
      <c r="J1383" s="16"/>
      <c r="K1383" s="15"/>
      <c r="L1383" s="15"/>
      <c r="M1383" s="36" t="str">
        <f t="array" ref="M1383">IF($A1383="","",IF($L1383="Atendido",IFERROR($I1383*INDEX(Config!$B:$B,MATCH($C1383,Config!$A:$A,0)),0),0))</f>
        <v/>
      </c>
      <c r="N1383" s="36" t="str">
        <f t="shared" si="2"/>
        <v/>
      </c>
      <c r="O1383" s="36" t="str">
        <f t="shared" si="3"/>
        <v/>
      </c>
      <c r="P1383" s="15"/>
      <c r="Q1383" s="37" t="str">
        <f t="shared" si="4"/>
        <v/>
      </c>
      <c r="R1383" s="37" t="str">
        <f t="shared" si="5"/>
        <v/>
      </c>
      <c r="S1383" s="32" t="str">
        <f t="shared" si="6"/>
        <v/>
      </c>
      <c r="T1383" s="37" t="str">
        <f t="shared" si="7"/>
        <v/>
      </c>
      <c r="U1383" s="37" t="str">
        <f t="array" ref="U1383">IF($F1383="","",IFERROR(INDEX(Config!$F:$F,MATCH($F1383,Config!$D:$D,0)),0))</f>
        <v/>
      </c>
    </row>
    <row r="1384" ht="15.0" customHeight="1">
      <c r="A1384" s="34"/>
      <c r="B1384" s="35"/>
      <c r="C1384" s="15"/>
      <c r="D1384" s="15"/>
      <c r="E1384" s="15"/>
      <c r="F1384" s="15"/>
      <c r="G1384" s="36" t="str">
        <f t="array" ref="G1384">IF($F1384="","",IFERROR(INDEX(Config!$E:$E,MATCH($F1384,Config!$D:$D,0)),0))</f>
        <v/>
      </c>
      <c r="H1384" s="16"/>
      <c r="I1384" s="36" t="str">
        <f t="shared" si="1"/>
        <v/>
      </c>
      <c r="J1384" s="16"/>
      <c r="K1384" s="15"/>
      <c r="L1384" s="15"/>
      <c r="M1384" s="36" t="str">
        <f t="array" ref="M1384">IF($A1384="","",IF($L1384="Atendido",IFERROR($I1384*INDEX(Config!$B:$B,MATCH($C1384,Config!$A:$A,0)),0),0))</f>
        <v/>
      </c>
      <c r="N1384" s="36" t="str">
        <f t="shared" si="2"/>
        <v/>
      </c>
      <c r="O1384" s="36" t="str">
        <f t="shared" si="3"/>
        <v/>
      </c>
      <c r="P1384" s="15"/>
      <c r="Q1384" s="37" t="str">
        <f t="shared" si="4"/>
        <v/>
      </c>
      <c r="R1384" s="37" t="str">
        <f t="shared" si="5"/>
        <v/>
      </c>
      <c r="S1384" s="32" t="str">
        <f t="shared" si="6"/>
        <v/>
      </c>
      <c r="T1384" s="37" t="str">
        <f t="shared" si="7"/>
        <v/>
      </c>
      <c r="U1384" s="37" t="str">
        <f t="array" ref="U1384">IF($F1384="","",IFERROR(INDEX(Config!$F:$F,MATCH($F1384,Config!$D:$D,0)),0))</f>
        <v/>
      </c>
    </row>
    <row r="1385" ht="15.0" customHeight="1">
      <c r="A1385" s="34"/>
      <c r="B1385" s="35"/>
      <c r="C1385" s="15"/>
      <c r="D1385" s="15"/>
      <c r="E1385" s="15"/>
      <c r="F1385" s="15"/>
      <c r="G1385" s="36" t="str">
        <f t="array" ref="G1385">IF($F1385="","",IFERROR(INDEX(Config!$E:$E,MATCH($F1385,Config!$D:$D,0)),0))</f>
        <v/>
      </c>
      <c r="H1385" s="16"/>
      <c r="I1385" s="36" t="str">
        <f t="shared" si="1"/>
        <v/>
      </c>
      <c r="J1385" s="16"/>
      <c r="K1385" s="15"/>
      <c r="L1385" s="15"/>
      <c r="M1385" s="36" t="str">
        <f t="array" ref="M1385">IF($A1385="","",IF($L1385="Atendido",IFERROR($I1385*INDEX(Config!$B:$B,MATCH($C1385,Config!$A:$A,0)),0),0))</f>
        <v/>
      </c>
      <c r="N1385" s="36" t="str">
        <f t="shared" si="2"/>
        <v/>
      </c>
      <c r="O1385" s="36" t="str">
        <f t="shared" si="3"/>
        <v/>
      </c>
      <c r="P1385" s="15"/>
      <c r="Q1385" s="37" t="str">
        <f t="shared" si="4"/>
        <v/>
      </c>
      <c r="R1385" s="37" t="str">
        <f t="shared" si="5"/>
        <v/>
      </c>
      <c r="S1385" s="32" t="str">
        <f t="shared" si="6"/>
        <v/>
      </c>
      <c r="T1385" s="37" t="str">
        <f t="shared" si="7"/>
        <v/>
      </c>
      <c r="U1385" s="37" t="str">
        <f t="array" ref="U1385">IF($F1385="","",IFERROR(INDEX(Config!$F:$F,MATCH($F1385,Config!$D:$D,0)),0))</f>
        <v/>
      </c>
    </row>
    <row r="1386" ht="15.0" customHeight="1">
      <c r="A1386" s="34"/>
      <c r="B1386" s="35"/>
      <c r="C1386" s="15"/>
      <c r="D1386" s="15"/>
      <c r="E1386" s="15"/>
      <c r="F1386" s="15"/>
      <c r="G1386" s="36" t="str">
        <f t="array" ref="G1386">IF($F1386="","",IFERROR(INDEX(Config!$E:$E,MATCH($F1386,Config!$D:$D,0)),0))</f>
        <v/>
      </c>
      <c r="H1386" s="16"/>
      <c r="I1386" s="36" t="str">
        <f t="shared" si="1"/>
        <v/>
      </c>
      <c r="J1386" s="16"/>
      <c r="K1386" s="15"/>
      <c r="L1386" s="15"/>
      <c r="M1386" s="36" t="str">
        <f t="array" ref="M1386">IF($A1386="","",IF($L1386="Atendido",IFERROR($I1386*INDEX(Config!$B:$B,MATCH($C1386,Config!$A:$A,0)),0),0))</f>
        <v/>
      </c>
      <c r="N1386" s="36" t="str">
        <f t="shared" si="2"/>
        <v/>
      </c>
      <c r="O1386" s="36" t="str">
        <f t="shared" si="3"/>
        <v/>
      </c>
      <c r="P1386" s="15"/>
      <c r="Q1386" s="37" t="str">
        <f t="shared" si="4"/>
        <v/>
      </c>
      <c r="R1386" s="37" t="str">
        <f t="shared" si="5"/>
        <v/>
      </c>
      <c r="S1386" s="32" t="str">
        <f t="shared" si="6"/>
        <v/>
      </c>
      <c r="T1386" s="37" t="str">
        <f t="shared" si="7"/>
        <v/>
      </c>
      <c r="U1386" s="37" t="str">
        <f t="array" ref="U1386">IF($F1386="","",IFERROR(INDEX(Config!$F:$F,MATCH($F1386,Config!$D:$D,0)),0))</f>
        <v/>
      </c>
    </row>
    <row r="1387" ht="15.0" customHeight="1">
      <c r="A1387" s="34"/>
      <c r="B1387" s="35"/>
      <c r="C1387" s="15"/>
      <c r="D1387" s="15"/>
      <c r="E1387" s="15"/>
      <c r="F1387" s="15"/>
      <c r="G1387" s="36" t="str">
        <f t="array" ref="G1387">IF($F1387="","",IFERROR(INDEX(Config!$E:$E,MATCH($F1387,Config!$D:$D,0)),0))</f>
        <v/>
      </c>
      <c r="H1387" s="16"/>
      <c r="I1387" s="36" t="str">
        <f t="shared" si="1"/>
        <v/>
      </c>
      <c r="J1387" s="16"/>
      <c r="K1387" s="15"/>
      <c r="L1387" s="15"/>
      <c r="M1387" s="36" t="str">
        <f t="array" ref="M1387">IF($A1387="","",IF($L1387="Atendido",IFERROR($I1387*INDEX(Config!$B:$B,MATCH($C1387,Config!$A:$A,0)),0),0))</f>
        <v/>
      </c>
      <c r="N1387" s="36" t="str">
        <f t="shared" si="2"/>
        <v/>
      </c>
      <c r="O1387" s="36" t="str">
        <f t="shared" si="3"/>
        <v/>
      </c>
      <c r="P1387" s="15"/>
      <c r="Q1387" s="37" t="str">
        <f t="shared" si="4"/>
        <v/>
      </c>
      <c r="R1387" s="37" t="str">
        <f t="shared" si="5"/>
        <v/>
      </c>
      <c r="S1387" s="32" t="str">
        <f t="shared" si="6"/>
        <v/>
      </c>
      <c r="T1387" s="37" t="str">
        <f t="shared" si="7"/>
        <v/>
      </c>
      <c r="U1387" s="37" t="str">
        <f t="array" ref="U1387">IF($F1387="","",IFERROR(INDEX(Config!$F:$F,MATCH($F1387,Config!$D:$D,0)),0))</f>
        <v/>
      </c>
    </row>
    <row r="1388" ht="15.0" customHeight="1">
      <c r="A1388" s="34"/>
      <c r="B1388" s="35"/>
      <c r="C1388" s="15"/>
      <c r="D1388" s="15"/>
      <c r="E1388" s="15"/>
      <c r="F1388" s="15"/>
      <c r="G1388" s="36" t="str">
        <f t="array" ref="G1388">IF($F1388="","",IFERROR(INDEX(Config!$E:$E,MATCH($F1388,Config!$D:$D,0)),0))</f>
        <v/>
      </c>
      <c r="H1388" s="16"/>
      <c r="I1388" s="36" t="str">
        <f t="shared" si="1"/>
        <v/>
      </c>
      <c r="J1388" s="16"/>
      <c r="K1388" s="15"/>
      <c r="L1388" s="15"/>
      <c r="M1388" s="36" t="str">
        <f t="array" ref="M1388">IF($A1388="","",IF($L1388="Atendido",IFERROR($I1388*INDEX(Config!$B:$B,MATCH($C1388,Config!$A:$A,0)),0),0))</f>
        <v/>
      </c>
      <c r="N1388" s="36" t="str">
        <f t="shared" si="2"/>
        <v/>
      </c>
      <c r="O1388" s="36" t="str">
        <f t="shared" si="3"/>
        <v/>
      </c>
      <c r="P1388" s="15"/>
      <c r="Q1388" s="37" t="str">
        <f t="shared" si="4"/>
        <v/>
      </c>
      <c r="R1388" s="37" t="str">
        <f t="shared" si="5"/>
        <v/>
      </c>
      <c r="S1388" s="32" t="str">
        <f t="shared" si="6"/>
        <v/>
      </c>
      <c r="T1388" s="37" t="str">
        <f t="shared" si="7"/>
        <v/>
      </c>
      <c r="U1388" s="37" t="str">
        <f t="array" ref="U1388">IF($F1388="","",IFERROR(INDEX(Config!$F:$F,MATCH($F1388,Config!$D:$D,0)),0))</f>
        <v/>
      </c>
    </row>
    <row r="1389" ht="15.0" customHeight="1">
      <c r="A1389" s="34"/>
      <c r="B1389" s="35"/>
      <c r="C1389" s="15"/>
      <c r="D1389" s="15"/>
      <c r="E1389" s="15"/>
      <c r="F1389" s="15"/>
      <c r="G1389" s="36" t="str">
        <f t="array" ref="G1389">IF($F1389="","",IFERROR(INDEX(Config!$E:$E,MATCH($F1389,Config!$D:$D,0)),0))</f>
        <v/>
      </c>
      <c r="H1389" s="16"/>
      <c r="I1389" s="36" t="str">
        <f t="shared" si="1"/>
        <v/>
      </c>
      <c r="J1389" s="16"/>
      <c r="K1389" s="15"/>
      <c r="L1389" s="15"/>
      <c r="M1389" s="36" t="str">
        <f t="array" ref="M1389">IF($A1389="","",IF($L1389="Atendido",IFERROR($I1389*INDEX(Config!$B:$B,MATCH($C1389,Config!$A:$A,0)),0),0))</f>
        <v/>
      </c>
      <c r="N1389" s="36" t="str">
        <f t="shared" si="2"/>
        <v/>
      </c>
      <c r="O1389" s="36" t="str">
        <f t="shared" si="3"/>
        <v/>
      </c>
      <c r="P1389" s="15"/>
      <c r="Q1389" s="37" t="str">
        <f t="shared" si="4"/>
        <v/>
      </c>
      <c r="R1389" s="37" t="str">
        <f t="shared" si="5"/>
        <v/>
      </c>
      <c r="S1389" s="32" t="str">
        <f t="shared" si="6"/>
        <v/>
      </c>
      <c r="T1389" s="37" t="str">
        <f t="shared" si="7"/>
        <v/>
      </c>
      <c r="U1389" s="37" t="str">
        <f t="array" ref="U1389">IF($F1389="","",IFERROR(INDEX(Config!$F:$F,MATCH($F1389,Config!$D:$D,0)),0))</f>
        <v/>
      </c>
    </row>
    <row r="1390" ht="15.0" customHeight="1">
      <c r="A1390" s="34"/>
      <c r="B1390" s="35"/>
      <c r="C1390" s="15"/>
      <c r="D1390" s="15"/>
      <c r="E1390" s="15"/>
      <c r="F1390" s="15"/>
      <c r="G1390" s="36" t="str">
        <f t="array" ref="G1390">IF($F1390="","",IFERROR(INDEX(Config!$E:$E,MATCH($F1390,Config!$D:$D,0)),0))</f>
        <v/>
      </c>
      <c r="H1390" s="16"/>
      <c r="I1390" s="36" t="str">
        <f t="shared" si="1"/>
        <v/>
      </c>
      <c r="J1390" s="16"/>
      <c r="K1390" s="15"/>
      <c r="L1390" s="15"/>
      <c r="M1390" s="36" t="str">
        <f t="array" ref="M1390">IF($A1390="","",IF($L1390="Atendido",IFERROR($I1390*INDEX(Config!$B:$B,MATCH($C1390,Config!$A:$A,0)),0),0))</f>
        <v/>
      </c>
      <c r="N1390" s="36" t="str">
        <f t="shared" si="2"/>
        <v/>
      </c>
      <c r="O1390" s="36" t="str">
        <f t="shared" si="3"/>
        <v/>
      </c>
      <c r="P1390" s="15"/>
      <c r="Q1390" s="37" t="str">
        <f t="shared" si="4"/>
        <v/>
      </c>
      <c r="R1390" s="37" t="str">
        <f t="shared" si="5"/>
        <v/>
      </c>
      <c r="S1390" s="32" t="str">
        <f t="shared" si="6"/>
        <v/>
      </c>
      <c r="T1390" s="37" t="str">
        <f t="shared" si="7"/>
        <v/>
      </c>
      <c r="U1390" s="37" t="str">
        <f t="array" ref="U1390">IF($F1390="","",IFERROR(INDEX(Config!$F:$F,MATCH($F1390,Config!$D:$D,0)),0))</f>
        <v/>
      </c>
    </row>
    <row r="1391" ht="15.0" customHeight="1">
      <c r="A1391" s="34"/>
      <c r="B1391" s="35"/>
      <c r="C1391" s="15"/>
      <c r="D1391" s="15"/>
      <c r="E1391" s="15"/>
      <c r="F1391" s="15"/>
      <c r="G1391" s="36" t="str">
        <f t="array" ref="G1391">IF($F1391="","",IFERROR(INDEX(Config!$E:$E,MATCH($F1391,Config!$D:$D,0)),0))</f>
        <v/>
      </c>
      <c r="H1391" s="16"/>
      <c r="I1391" s="36" t="str">
        <f t="shared" si="1"/>
        <v/>
      </c>
      <c r="J1391" s="16"/>
      <c r="K1391" s="15"/>
      <c r="L1391" s="15"/>
      <c r="M1391" s="36" t="str">
        <f t="array" ref="M1391">IF($A1391="","",IF($L1391="Atendido",IFERROR($I1391*INDEX(Config!$B:$B,MATCH($C1391,Config!$A:$A,0)),0),0))</f>
        <v/>
      </c>
      <c r="N1391" s="36" t="str">
        <f t="shared" si="2"/>
        <v/>
      </c>
      <c r="O1391" s="36" t="str">
        <f t="shared" si="3"/>
        <v/>
      </c>
      <c r="P1391" s="15"/>
      <c r="Q1391" s="37" t="str">
        <f t="shared" si="4"/>
        <v/>
      </c>
      <c r="R1391" s="37" t="str">
        <f t="shared" si="5"/>
        <v/>
      </c>
      <c r="S1391" s="32" t="str">
        <f t="shared" si="6"/>
        <v/>
      </c>
      <c r="T1391" s="37" t="str">
        <f t="shared" si="7"/>
        <v/>
      </c>
      <c r="U1391" s="37" t="str">
        <f t="array" ref="U1391">IF($F1391="","",IFERROR(INDEX(Config!$F:$F,MATCH($F1391,Config!$D:$D,0)),0))</f>
        <v/>
      </c>
    </row>
    <row r="1392" ht="15.0" customHeight="1">
      <c r="A1392" s="34"/>
      <c r="B1392" s="35"/>
      <c r="C1392" s="15"/>
      <c r="D1392" s="15"/>
      <c r="E1392" s="15"/>
      <c r="F1392" s="15"/>
      <c r="G1392" s="36" t="str">
        <f t="array" ref="G1392">IF($F1392="","",IFERROR(INDEX(Config!$E:$E,MATCH($F1392,Config!$D:$D,0)),0))</f>
        <v/>
      </c>
      <c r="H1392" s="16"/>
      <c r="I1392" s="36" t="str">
        <f t="shared" si="1"/>
        <v/>
      </c>
      <c r="J1392" s="16"/>
      <c r="K1392" s="15"/>
      <c r="L1392" s="15"/>
      <c r="M1392" s="36" t="str">
        <f t="array" ref="M1392">IF($A1392="","",IF($L1392="Atendido",IFERROR($I1392*INDEX(Config!$B:$B,MATCH($C1392,Config!$A:$A,0)),0),0))</f>
        <v/>
      </c>
      <c r="N1392" s="36" t="str">
        <f t="shared" si="2"/>
        <v/>
      </c>
      <c r="O1392" s="36" t="str">
        <f t="shared" si="3"/>
        <v/>
      </c>
      <c r="P1392" s="15"/>
      <c r="Q1392" s="37" t="str">
        <f t="shared" si="4"/>
        <v/>
      </c>
      <c r="R1392" s="37" t="str">
        <f t="shared" si="5"/>
        <v/>
      </c>
      <c r="S1392" s="32" t="str">
        <f t="shared" si="6"/>
        <v/>
      </c>
      <c r="T1392" s="37" t="str">
        <f t="shared" si="7"/>
        <v/>
      </c>
      <c r="U1392" s="37" t="str">
        <f t="array" ref="U1392">IF($F1392="","",IFERROR(INDEX(Config!$F:$F,MATCH($F1392,Config!$D:$D,0)),0))</f>
        <v/>
      </c>
    </row>
    <row r="1393" ht="15.0" customHeight="1">
      <c r="A1393" s="34"/>
      <c r="B1393" s="35"/>
      <c r="C1393" s="15"/>
      <c r="D1393" s="15"/>
      <c r="E1393" s="15"/>
      <c r="F1393" s="15"/>
      <c r="G1393" s="36" t="str">
        <f t="array" ref="G1393">IF($F1393="","",IFERROR(INDEX(Config!$E:$E,MATCH($F1393,Config!$D:$D,0)),0))</f>
        <v/>
      </c>
      <c r="H1393" s="16"/>
      <c r="I1393" s="36" t="str">
        <f t="shared" si="1"/>
        <v/>
      </c>
      <c r="J1393" s="16"/>
      <c r="K1393" s="15"/>
      <c r="L1393" s="15"/>
      <c r="M1393" s="36" t="str">
        <f t="array" ref="M1393">IF($A1393="","",IF($L1393="Atendido",IFERROR($I1393*INDEX(Config!$B:$B,MATCH($C1393,Config!$A:$A,0)),0),0))</f>
        <v/>
      </c>
      <c r="N1393" s="36" t="str">
        <f t="shared" si="2"/>
        <v/>
      </c>
      <c r="O1393" s="36" t="str">
        <f t="shared" si="3"/>
        <v/>
      </c>
      <c r="P1393" s="15"/>
      <c r="Q1393" s="37" t="str">
        <f t="shared" si="4"/>
        <v/>
      </c>
      <c r="R1393" s="37" t="str">
        <f t="shared" si="5"/>
        <v/>
      </c>
      <c r="S1393" s="32" t="str">
        <f t="shared" si="6"/>
        <v/>
      </c>
      <c r="T1393" s="37" t="str">
        <f t="shared" si="7"/>
        <v/>
      </c>
      <c r="U1393" s="37" t="str">
        <f t="array" ref="U1393">IF($F1393="","",IFERROR(INDEX(Config!$F:$F,MATCH($F1393,Config!$D:$D,0)),0))</f>
        <v/>
      </c>
    </row>
    <row r="1394" ht="15.0" customHeight="1">
      <c r="A1394" s="34"/>
      <c r="B1394" s="35"/>
      <c r="C1394" s="15"/>
      <c r="D1394" s="15"/>
      <c r="E1394" s="15"/>
      <c r="F1394" s="15"/>
      <c r="G1394" s="36" t="str">
        <f t="array" ref="G1394">IF($F1394="","",IFERROR(INDEX(Config!$E:$E,MATCH($F1394,Config!$D:$D,0)),0))</f>
        <v/>
      </c>
      <c r="H1394" s="16"/>
      <c r="I1394" s="36" t="str">
        <f t="shared" si="1"/>
        <v/>
      </c>
      <c r="J1394" s="16"/>
      <c r="K1394" s="15"/>
      <c r="L1394" s="15"/>
      <c r="M1394" s="36" t="str">
        <f t="array" ref="M1394">IF($A1394="","",IF($L1394="Atendido",IFERROR($I1394*INDEX(Config!$B:$B,MATCH($C1394,Config!$A:$A,0)),0),0))</f>
        <v/>
      </c>
      <c r="N1394" s="36" t="str">
        <f t="shared" si="2"/>
        <v/>
      </c>
      <c r="O1394" s="36" t="str">
        <f t="shared" si="3"/>
        <v/>
      </c>
      <c r="P1394" s="15"/>
      <c r="Q1394" s="37" t="str">
        <f t="shared" si="4"/>
        <v/>
      </c>
      <c r="R1394" s="37" t="str">
        <f t="shared" si="5"/>
        <v/>
      </c>
      <c r="S1394" s="32" t="str">
        <f t="shared" si="6"/>
        <v/>
      </c>
      <c r="T1394" s="37" t="str">
        <f t="shared" si="7"/>
        <v/>
      </c>
      <c r="U1394" s="37" t="str">
        <f t="array" ref="U1394">IF($F1394="","",IFERROR(INDEX(Config!$F:$F,MATCH($F1394,Config!$D:$D,0)),0))</f>
        <v/>
      </c>
    </row>
    <row r="1395" ht="15.0" customHeight="1">
      <c r="A1395" s="34"/>
      <c r="B1395" s="35"/>
      <c r="C1395" s="15"/>
      <c r="D1395" s="15"/>
      <c r="E1395" s="15"/>
      <c r="F1395" s="15"/>
      <c r="G1395" s="36" t="str">
        <f t="array" ref="G1395">IF($F1395="","",IFERROR(INDEX(Config!$E:$E,MATCH($F1395,Config!$D:$D,0)),0))</f>
        <v/>
      </c>
      <c r="H1395" s="16"/>
      <c r="I1395" s="36" t="str">
        <f t="shared" si="1"/>
        <v/>
      </c>
      <c r="J1395" s="16"/>
      <c r="K1395" s="15"/>
      <c r="L1395" s="15"/>
      <c r="M1395" s="36" t="str">
        <f t="array" ref="M1395">IF($A1395="","",IF($L1395="Atendido",IFERROR($I1395*INDEX(Config!$B:$B,MATCH($C1395,Config!$A:$A,0)),0),0))</f>
        <v/>
      </c>
      <c r="N1395" s="36" t="str">
        <f t="shared" si="2"/>
        <v/>
      </c>
      <c r="O1395" s="36" t="str">
        <f t="shared" si="3"/>
        <v/>
      </c>
      <c r="P1395" s="15"/>
      <c r="Q1395" s="37" t="str">
        <f t="shared" si="4"/>
        <v/>
      </c>
      <c r="R1395" s="37" t="str">
        <f t="shared" si="5"/>
        <v/>
      </c>
      <c r="S1395" s="32" t="str">
        <f t="shared" si="6"/>
        <v/>
      </c>
      <c r="T1395" s="37" t="str">
        <f t="shared" si="7"/>
        <v/>
      </c>
      <c r="U1395" s="37" t="str">
        <f t="array" ref="U1395">IF($F1395="","",IFERROR(INDEX(Config!$F:$F,MATCH($F1395,Config!$D:$D,0)),0))</f>
        <v/>
      </c>
    </row>
    <row r="1396" ht="15.0" customHeight="1">
      <c r="A1396" s="34"/>
      <c r="B1396" s="35"/>
      <c r="C1396" s="15"/>
      <c r="D1396" s="15"/>
      <c r="E1396" s="15"/>
      <c r="F1396" s="15"/>
      <c r="G1396" s="36" t="str">
        <f t="array" ref="G1396">IF($F1396="","",IFERROR(INDEX(Config!$E:$E,MATCH($F1396,Config!$D:$D,0)),0))</f>
        <v/>
      </c>
      <c r="H1396" s="16"/>
      <c r="I1396" s="36" t="str">
        <f t="shared" si="1"/>
        <v/>
      </c>
      <c r="J1396" s="16"/>
      <c r="K1396" s="15"/>
      <c r="L1396" s="15"/>
      <c r="M1396" s="36" t="str">
        <f t="array" ref="M1396">IF($A1396="","",IF($L1396="Atendido",IFERROR($I1396*INDEX(Config!$B:$B,MATCH($C1396,Config!$A:$A,0)),0),0))</f>
        <v/>
      </c>
      <c r="N1396" s="36" t="str">
        <f t="shared" si="2"/>
        <v/>
      </c>
      <c r="O1396" s="36" t="str">
        <f t="shared" si="3"/>
        <v/>
      </c>
      <c r="P1396" s="15"/>
      <c r="Q1396" s="37" t="str">
        <f t="shared" si="4"/>
        <v/>
      </c>
      <c r="R1396" s="37" t="str">
        <f t="shared" si="5"/>
        <v/>
      </c>
      <c r="S1396" s="32" t="str">
        <f t="shared" si="6"/>
        <v/>
      </c>
      <c r="T1396" s="37" t="str">
        <f t="shared" si="7"/>
        <v/>
      </c>
      <c r="U1396" s="37" t="str">
        <f t="array" ref="U1396">IF($F1396="","",IFERROR(INDEX(Config!$F:$F,MATCH($F1396,Config!$D:$D,0)),0))</f>
        <v/>
      </c>
    </row>
    <row r="1397" ht="15.0" customHeight="1">
      <c r="A1397" s="34"/>
      <c r="B1397" s="35"/>
      <c r="C1397" s="15"/>
      <c r="D1397" s="15"/>
      <c r="E1397" s="15"/>
      <c r="F1397" s="15"/>
      <c r="G1397" s="36" t="str">
        <f t="array" ref="G1397">IF($F1397="","",IFERROR(INDEX(Config!$E:$E,MATCH($F1397,Config!$D:$D,0)),0))</f>
        <v/>
      </c>
      <c r="H1397" s="16"/>
      <c r="I1397" s="36" t="str">
        <f t="shared" si="1"/>
        <v/>
      </c>
      <c r="J1397" s="16"/>
      <c r="K1397" s="15"/>
      <c r="L1397" s="15"/>
      <c r="M1397" s="36" t="str">
        <f t="array" ref="M1397">IF($A1397="","",IF($L1397="Atendido",IFERROR($I1397*INDEX(Config!$B:$B,MATCH($C1397,Config!$A:$A,0)),0),0))</f>
        <v/>
      </c>
      <c r="N1397" s="36" t="str">
        <f t="shared" si="2"/>
        <v/>
      </c>
      <c r="O1397" s="36" t="str">
        <f t="shared" si="3"/>
        <v/>
      </c>
      <c r="P1397" s="15"/>
      <c r="Q1397" s="37" t="str">
        <f t="shared" si="4"/>
        <v/>
      </c>
      <c r="R1397" s="37" t="str">
        <f t="shared" si="5"/>
        <v/>
      </c>
      <c r="S1397" s="32" t="str">
        <f t="shared" si="6"/>
        <v/>
      </c>
      <c r="T1397" s="37" t="str">
        <f t="shared" si="7"/>
        <v/>
      </c>
      <c r="U1397" s="37" t="str">
        <f t="array" ref="U1397">IF($F1397="","",IFERROR(INDEX(Config!$F:$F,MATCH($F1397,Config!$D:$D,0)),0))</f>
        <v/>
      </c>
    </row>
    <row r="1398" ht="15.0" customHeight="1">
      <c r="A1398" s="34"/>
      <c r="B1398" s="35"/>
      <c r="C1398" s="15"/>
      <c r="D1398" s="15"/>
      <c r="E1398" s="15"/>
      <c r="F1398" s="15"/>
      <c r="G1398" s="36" t="str">
        <f t="array" ref="G1398">IF($F1398="","",IFERROR(INDEX(Config!$E:$E,MATCH($F1398,Config!$D:$D,0)),0))</f>
        <v/>
      </c>
      <c r="H1398" s="16"/>
      <c r="I1398" s="36" t="str">
        <f t="shared" si="1"/>
        <v/>
      </c>
      <c r="J1398" s="16"/>
      <c r="K1398" s="15"/>
      <c r="L1398" s="15"/>
      <c r="M1398" s="36" t="str">
        <f t="array" ref="M1398">IF($A1398="","",IF($L1398="Atendido",IFERROR($I1398*INDEX(Config!$B:$B,MATCH($C1398,Config!$A:$A,0)),0),0))</f>
        <v/>
      </c>
      <c r="N1398" s="36" t="str">
        <f t="shared" si="2"/>
        <v/>
      </c>
      <c r="O1398" s="36" t="str">
        <f t="shared" si="3"/>
        <v/>
      </c>
      <c r="P1398" s="15"/>
      <c r="Q1398" s="37" t="str">
        <f t="shared" si="4"/>
        <v/>
      </c>
      <c r="R1398" s="37" t="str">
        <f t="shared" si="5"/>
        <v/>
      </c>
      <c r="S1398" s="32" t="str">
        <f t="shared" si="6"/>
        <v/>
      </c>
      <c r="T1398" s="37" t="str">
        <f t="shared" si="7"/>
        <v/>
      </c>
      <c r="U1398" s="37" t="str">
        <f t="array" ref="U1398">IF($F1398="","",IFERROR(INDEX(Config!$F:$F,MATCH($F1398,Config!$D:$D,0)),0))</f>
        <v/>
      </c>
    </row>
    <row r="1399" ht="15.0" customHeight="1">
      <c r="A1399" s="34"/>
      <c r="B1399" s="35"/>
      <c r="C1399" s="15"/>
      <c r="D1399" s="15"/>
      <c r="E1399" s="15"/>
      <c r="F1399" s="15"/>
      <c r="G1399" s="36" t="str">
        <f t="array" ref="G1399">IF($F1399="","",IFERROR(INDEX(Config!$E:$E,MATCH($F1399,Config!$D:$D,0)),0))</f>
        <v/>
      </c>
      <c r="H1399" s="16"/>
      <c r="I1399" s="36" t="str">
        <f t="shared" si="1"/>
        <v/>
      </c>
      <c r="J1399" s="16"/>
      <c r="K1399" s="15"/>
      <c r="L1399" s="15"/>
      <c r="M1399" s="36" t="str">
        <f t="array" ref="M1399">IF($A1399="","",IF($L1399="Atendido",IFERROR($I1399*INDEX(Config!$B:$B,MATCH($C1399,Config!$A:$A,0)),0),0))</f>
        <v/>
      </c>
      <c r="N1399" s="36" t="str">
        <f t="shared" si="2"/>
        <v/>
      </c>
      <c r="O1399" s="36" t="str">
        <f t="shared" si="3"/>
        <v/>
      </c>
      <c r="P1399" s="15"/>
      <c r="Q1399" s="37" t="str">
        <f t="shared" si="4"/>
        <v/>
      </c>
      <c r="R1399" s="37" t="str">
        <f t="shared" si="5"/>
        <v/>
      </c>
      <c r="S1399" s="32" t="str">
        <f t="shared" si="6"/>
        <v/>
      </c>
      <c r="T1399" s="37" t="str">
        <f t="shared" si="7"/>
        <v/>
      </c>
      <c r="U1399" s="37" t="str">
        <f t="array" ref="U1399">IF($F1399="","",IFERROR(INDEX(Config!$F:$F,MATCH($F1399,Config!$D:$D,0)),0))</f>
        <v/>
      </c>
    </row>
    <row r="1400" ht="15.0" customHeight="1">
      <c r="A1400" s="34"/>
      <c r="B1400" s="35"/>
      <c r="C1400" s="15"/>
      <c r="D1400" s="15"/>
      <c r="E1400" s="15"/>
      <c r="F1400" s="15"/>
      <c r="G1400" s="36" t="str">
        <f t="array" ref="G1400">IF($F1400="","",IFERROR(INDEX(Config!$E:$E,MATCH($F1400,Config!$D:$D,0)),0))</f>
        <v/>
      </c>
      <c r="H1400" s="16"/>
      <c r="I1400" s="36" t="str">
        <f t="shared" si="1"/>
        <v/>
      </c>
      <c r="J1400" s="16"/>
      <c r="K1400" s="15"/>
      <c r="L1400" s="15"/>
      <c r="M1400" s="36" t="str">
        <f t="array" ref="M1400">IF($A1400="","",IF($L1400="Atendido",IFERROR($I1400*INDEX(Config!$B:$B,MATCH($C1400,Config!$A:$A,0)),0),0))</f>
        <v/>
      </c>
      <c r="N1400" s="36" t="str">
        <f t="shared" si="2"/>
        <v/>
      </c>
      <c r="O1400" s="36" t="str">
        <f t="shared" si="3"/>
        <v/>
      </c>
      <c r="P1400" s="15"/>
      <c r="Q1400" s="37" t="str">
        <f t="shared" si="4"/>
        <v/>
      </c>
      <c r="R1400" s="37" t="str">
        <f t="shared" si="5"/>
        <v/>
      </c>
      <c r="S1400" s="32" t="str">
        <f t="shared" si="6"/>
        <v/>
      </c>
      <c r="T1400" s="37" t="str">
        <f t="shared" si="7"/>
        <v/>
      </c>
      <c r="U1400" s="37" t="str">
        <f t="array" ref="U1400">IF($F1400="","",IFERROR(INDEX(Config!$F:$F,MATCH($F1400,Config!$D:$D,0)),0))</f>
        <v/>
      </c>
    </row>
    <row r="1401" ht="15.0" customHeight="1">
      <c r="A1401" s="34"/>
      <c r="B1401" s="35"/>
      <c r="C1401" s="15"/>
      <c r="D1401" s="15"/>
      <c r="E1401" s="15"/>
      <c r="F1401" s="15"/>
      <c r="G1401" s="36" t="str">
        <f t="array" ref="G1401">IF($F1401="","",IFERROR(INDEX(Config!$E:$E,MATCH($F1401,Config!$D:$D,0)),0))</f>
        <v/>
      </c>
      <c r="H1401" s="16"/>
      <c r="I1401" s="36" t="str">
        <f t="shared" si="1"/>
        <v/>
      </c>
      <c r="J1401" s="16"/>
      <c r="K1401" s="15"/>
      <c r="L1401" s="15"/>
      <c r="M1401" s="36" t="str">
        <f t="array" ref="M1401">IF($A1401="","",IF($L1401="Atendido",IFERROR($I1401*INDEX(Config!$B:$B,MATCH($C1401,Config!$A:$A,0)),0),0))</f>
        <v/>
      </c>
      <c r="N1401" s="36" t="str">
        <f t="shared" si="2"/>
        <v/>
      </c>
      <c r="O1401" s="36" t="str">
        <f t="shared" si="3"/>
        <v/>
      </c>
      <c r="P1401" s="15"/>
      <c r="Q1401" s="37" t="str">
        <f t="shared" si="4"/>
        <v/>
      </c>
      <c r="R1401" s="37" t="str">
        <f t="shared" si="5"/>
        <v/>
      </c>
      <c r="S1401" s="32" t="str">
        <f t="shared" si="6"/>
        <v/>
      </c>
      <c r="T1401" s="37" t="str">
        <f t="shared" si="7"/>
        <v/>
      </c>
      <c r="U1401" s="37" t="str">
        <f t="array" ref="U1401">IF($F1401="","",IFERROR(INDEX(Config!$F:$F,MATCH($F1401,Config!$D:$D,0)),0))</f>
        <v/>
      </c>
    </row>
    <row r="1402" ht="15.0" customHeight="1">
      <c r="A1402" s="34"/>
      <c r="B1402" s="35"/>
      <c r="C1402" s="15"/>
      <c r="D1402" s="15"/>
      <c r="E1402" s="15"/>
      <c r="F1402" s="15"/>
      <c r="G1402" s="36" t="str">
        <f t="array" ref="G1402">IF($F1402="","",IFERROR(INDEX(Config!$E:$E,MATCH($F1402,Config!$D:$D,0)),0))</f>
        <v/>
      </c>
      <c r="H1402" s="16"/>
      <c r="I1402" s="36" t="str">
        <f t="shared" si="1"/>
        <v/>
      </c>
      <c r="J1402" s="16"/>
      <c r="K1402" s="15"/>
      <c r="L1402" s="15"/>
      <c r="M1402" s="36" t="str">
        <f t="array" ref="M1402">IF($A1402="","",IF($L1402="Atendido",IFERROR($I1402*INDEX(Config!$B:$B,MATCH($C1402,Config!$A:$A,0)),0),0))</f>
        <v/>
      </c>
      <c r="N1402" s="36" t="str">
        <f t="shared" si="2"/>
        <v/>
      </c>
      <c r="O1402" s="36" t="str">
        <f t="shared" si="3"/>
        <v/>
      </c>
      <c r="P1402" s="15"/>
      <c r="Q1402" s="37" t="str">
        <f t="shared" si="4"/>
        <v/>
      </c>
      <c r="R1402" s="37" t="str">
        <f t="shared" si="5"/>
        <v/>
      </c>
      <c r="S1402" s="32" t="str">
        <f t="shared" si="6"/>
        <v/>
      </c>
      <c r="T1402" s="37" t="str">
        <f t="shared" si="7"/>
        <v/>
      </c>
      <c r="U1402" s="37" t="str">
        <f t="array" ref="U1402">IF($F1402="","",IFERROR(INDEX(Config!$F:$F,MATCH($F1402,Config!$D:$D,0)),0))</f>
        <v/>
      </c>
    </row>
    <row r="1403" ht="15.0" customHeight="1">
      <c r="A1403" s="34"/>
      <c r="B1403" s="35"/>
      <c r="C1403" s="15"/>
      <c r="D1403" s="15"/>
      <c r="E1403" s="15"/>
      <c r="F1403" s="15"/>
      <c r="G1403" s="36" t="str">
        <f t="array" ref="G1403">IF($F1403="","",IFERROR(INDEX(Config!$E:$E,MATCH($F1403,Config!$D:$D,0)),0))</f>
        <v/>
      </c>
      <c r="H1403" s="16"/>
      <c r="I1403" s="36" t="str">
        <f t="shared" si="1"/>
        <v/>
      </c>
      <c r="J1403" s="16"/>
      <c r="K1403" s="15"/>
      <c r="L1403" s="15"/>
      <c r="M1403" s="36" t="str">
        <f t="array" ref="M1403">IF($A1403="","",IF($L1403="Atendido",IFERROR($I1403*INDEX(Config!$B:$B,MATCH($C1403,Config!$A:$A,0)),0),0))</f>
        <v/>
      </c>
      <c r="N1403" s="36" t="str">
        <f t="shared" si="2"/>
        <v/>
      </c>
      <c r="O1403" s="36" t="str">
        <f t="shared" si="3"/>
        <v/>
      </c>
      <c r="P1403" s="15"/>
      <c r="Q1403" s="37" t="str">
        <f t="shared" si="4"/>
        <v/>
      </c>
      <c r="R1403" s="37" t="str">
        <f t="shared" si="5"/>
        <v/>
      </c>
      <c r="S1403" s="32" t="str">
        <f t="shared" si="6"/>
        <v/>
      </c>
      <c r="T1403" s="37" t="str">
        <f t="shared" si="7"/>
        <v/>
      </c>
      <c r="U1403" s="37" t="str">
        <f t="array" ref="U1403">IF($F1403="","",IFERROR(INDEX(Config!$F:$F,MATCH($F1403,Config!$D:$D,0)),0))</f>
        <v/>
      </c>
    </row>
    <row r="1404" ht="15.0" customHeight="1">
      <c r="A1404" s="34"/>
      <c r="B1404" s="35"/>
      <c r="C1404" s="15"/>
      <c r="D1404" s="15"/>
      <c r="E1404" s="15"/>
      <c r="F1404" s="15"/>
      <c r="G1404" s="36" t="str">
        <f t="array" ref="G1404">IF($F1404="","",IFERROR(INDEX(Config!$E:$E,MATCH($F1404,Config!$D:$D,0)),0))</f>
        <v/>
      </c>
      <c r="H1404" s="16"/>
      <c r="I1404" s="36" t="str">
        <f t="shared" si="1"/>
        <v/>
      </c>
      <c r="J1404" s="16"/>
      <c r="K1404" s="15"/>
      <c r="L1404" s="15"/>
      <c r="M1404" s="36" t="str">
        <f t="array" ref="M1404">IF($A1404="","",IF($L1404="Atendido",IFERROR($I1404*INDEX(Config!$B:$B,MATCH($C1404,Config!$A:$A,0)),0),0))</f>
        <v/>
      </c>
      <c r="N1404" s="36" t="str">
        <f t="shared" si="2"/>
        <v/>
      </c>
      <c r="O1404" s="36" t="str">
        <f t="shared" si="3"/>
        <v/>
      </c>
      <c r="P1404" s="15"/>
      <c r="Q1404" s="37" t="str">
        <f t="shared" si="4"/>
        <v/>
      </c>
      <c r="R1404" s="37" t="str">
        <f t="shared" si="5"/>
        <v/>
      </c>
      <c r="S1404" s="32" t="str">
        <f t="shared" si="6"/>
        <v/>
      </c>
      <c r="T1404" s="37" t="str">
        <f t="shared" si="7"/>
        <v/>
      </c>
      <c r="U1404" s="37" t="str">
        <f t="array" ref="U1404">IF($F1404="","",IFERROR(INDEX(Config!$F:$F,MATCH($F1404,Config!$D:$D,0)),0))</f>
        <v/>
      </c>
    </row>
    <row r="1405" ht="15.0" customHeight="1">
      <c r="A1405" s="34"/>
      <c r="B1405" s="35"/>
      <c r="C1405" s="15"/>
      <c r="D1405" s="15"/>
      <c r="E1405" s="15"/>
      <c r="F1405" s="15"/>
      <c r="G1405" s="36" t="str">
        <f t="array" ref="G1405">IF($F1405="","",IFERROR(INDEX(Config!$E:$E,MATCH($F1405,Config!$D:$D,0)),0))</f>
        <v/>
      </c>
      <c r="H1405" s="16"/>
      <c r="I1405" s="36" t="str">
        <f t="shared" si="1"/>
        <v/>
      </c>
      <c r="J1405" s="16"/>
      <c r="K1405" s="15"/>
      <c r="L1405" s="15"/>
      <c r="M1405" s="36" t="str">
        <f t="array" ref="M1405">IF($A1405="","",IF($L1405="Atendido",IFERROR($I1405*INDEX(Config!$B:$B,MATCH($C1405,Config!$A:$A,0)),0),0))</f>
        <v/>
      </c>
      <c r="N1405" s="36" t="str">
        <f t="shared" si="2"/>
        <v/>
      </c>
      <c r="O1405" s="36" t="str">
        <f t="shared" si="3"/>
        <v/>
      </c>
      <c r="P1405" s="15"/>
      <c r="Q1405" s="37" t="str">
        <f t="shared" si="4"/>
        <v/>
      </c>
      <c r="R1405" s="37" t="str">
        <f t="shared" si="5"/>
        <v/>
      </c>
      <c r="S1405" s="32" t="str">
        <f t="shared" si="6"/>
        <v/>
      </c>
      <c r="T1405" s="37" t="str">
        <f t="shared" si="7"/>
        <v/>
      </c>
      <c r="U1405" s="37" t="str">
        <f t="array" ref="U1405">IF($F1405="","",IFERROR(INDEX(Config!$F:$F,MATCH($F1405,Config!$D:$D,0)),0))</f>
        <v/>
      </c>
    </row>
    <row r="1406" ht="15.0" customHeight="1">
      <c r="A1406" s="34"/>
      <c r="B1406" s="35"/>
      <c r="C1406" s="15"/>
      <c r="D1406" s="15"/>
      <c r="E1406" s="15"/>
      <c r="F1406" s="15"/>
      <c r="G1406" s="36" t="str">
        <f t="array" ref="G1406">IF($F1406="","",IFERROR(INDEX(Config!$E:$E,MATCH($F1406,Config!$D:$D,0)),0))</f>
        <v/>
      </c>
      <c r="H1406" s="16"/>
      <c r="I1406" s="36" t="str">
        <f t="shared" si="1"/>
        <v/>
      </c>
      <c r="J1406" s="16"/>
      <c r="K1406" s="15"/>
      <c r="L1406" s="15"/>
      <c r="M1406" s="36" t="str">
        <f t="array" ref="M1406">IF($A1406="","",IF($L1406="Atendido",IFERROR($I1406*INDEX(Config!$B:$B,MATCH($C1406,Config!$A:$A,0)),0),0))</f>
        <v/>
      </c>
      <c r="N1406" s="36" t="str">
        <f t="shared" si="2"/>
        <v/>
      </c>
      <c r="O1406" s="36" t="str">
        <f t="shared" si="3"/>
        <v/>
      </c>
      <c r="P1406" s="15"/>
      <c r="Q1406" s="37" t="str">
        <f t="shared" si="4"/>
        <v/>
      </c>
      <c r="R1406" s="37" t="str">
        <f t="shared" si="5"/>
        <v/>
      </c>
      <c r="S1406" s="32" t="str">
        <f t="shared" si="6"/>
        <v/>
      </c>
      <c r="T1406" s="37" t="str">
        <f t="shared" si="7"/>
        <v/>
      </c>
      <c r="U1406" s="37" t="str">
        <f t="array" ref="U1406">IF($F1406="","",IFERROR(INDEX(Config!$F:$F,MATCH($F1406,Config!$D:$D,0)),0))</f>
        <v/>
      </c>
    </row>
    <row r="1407" ht="15.0" customHeight="1">
      <c r="A1407" s="34"/>
      <c r="B1407" s="35"/>
      <c r="C1407" s="15"/>
      <c r="D1407" s="15"/>
      <c r="E1407" s="15"/>
      <c r="F1407" s="15"/>
      <c r="G1407" s="36" t="str">
        <f t="array" ref="G1407">IF($F1407="","",IFERROR(INDEX(Config!$E:$E,MATCH($F1407,Config!$D:$D,0)),0))</f>
        <v/>
      </c>
      <c r="H1407" s="16"/>
      <c r="I1407" s="36" t="str">
        <f t="shared" si="1"/>
        <v/>
      </c>
      <c r="J1407" s="16"/>
      <c r="K1407" s="15"/>
      <c r="L1407" s="15"/>
      <c r="M1407" s="36" t="str">
        <f t="array" ref="M1407">IF($A1407="","",IF($L1407="Atendido",IFERROR($I1407*INDEX(Config!$B:$B,MATCH($C1407,Config!$A:$A,0)),0),0))</f>
        <v/>
      </c>
      <c r="N1407" s="36" t="str">
        <f t="shared" si="2"/>
        <v/>
      </c>
      <c r="O1407" s="36" t="str">
        <f t="shared" si="3"/>
        <v/>
      </c>
      <c r="P1407" s="15"/>
      <c r="Q1407" s="37" t="str">
        <f t="shared" si="4"/>
        <v/>
      </c>
      <c r="R1407" s="37" t="str">
        <f t="shared" si="5"/>
        <v/>
      </c>
      <c r="S1407" s="32" t="str">
        <f t="shared" si="6"/>
        <v/>
      </c>
      <c r="T1407" s="37" t="str">
        <f t="shared" si="7"/>
        <v/>
      </c>
      <c r="U1407" s="37" t="str">
        <f t="array" ref="U1407">IF($F1407="","",IFERROR(INDEX(Config!$F:$F,MATCH($F1407,Config!$D:$D,0)),0))</f>
        <v/>
      </c>
    </row>
    <row r="1408" ht="15.0" customHeight="1">
      <c r="A1408" s="34"/>
      <c r="B1408" s="35"/>
      <c r="C1408" s="15"/>
      <c r="D1408" s="15"/>
      <c r="E1408" s="15"/>
      <c r="F1408" s="15"/>
      <c r="G1408" s="36" t="str">
        <f t="array" ref="G1408">IF($F1408="","",IFERROR(INDEX(Config!$E:$E,MATCH($F1408,Config!$D:$D,0)),0))</f>
        <v/>
      </c>
      <c r="H1408" s="16"/>
      <c r="I1408" s="36" t="str">
        <f t="shared" si="1"/>
        <v/>
      </c>
      <c r="J1408" s="16"/>
      <c r="K1408" s="15"/>
      <c r="L1408" s="15"/>
      <c r="M1408" s="36" t="str">
        <f t="array" ref="M1408">IF($A1408="","",IF($L1408="Atendido",IFERROR($I1408*INDEX(Config!$B:$B,MATCH($C1408,Config!$A:$A,0)),0),0))</f>
        <v/>
      </c>
      <c r="N1408" s="36" t="str">
        <f t="shared" si="2"/>
        <v/>
      </c>
      <c r="O1408" s="36" t="str">
        <f t="shared" si="3"/>
        <v/>
      </c>
      <c r="P1408" s="15"/>
      <c r="Q1408" s="37" t="str">
        <f t="shared" si="4"/>
        <v/>
      </c>
      <c r="R1408" s="37" t="str">
        <f t="shared" si="5"/>
        <v/>
      </c>
      <c r="S1408" s="32" t="str">
        <f t="shared" si="6"/>
        <v/>
      </c>
      <c r="T1408" s="37" t="str">
        <f t="shared" si="7"/>
        <v/>
      </c>
      <c r="U1408" s="37" t="str">
        <f t="array" ref="U1408">IF($F1408="","",IFERROR(INDEX(Config!$F:$F,MATCH($F1408,Config!$D:$D,0)),0))</f>
        <v/>
      </c>
    </row>
    <row r="1409" ht="15.0" customHeight="1">
      <c r="A1409" s="34"/>
      <c r="B1409" s="35"/>
      <c r="C1409" s="15"/>
      <c r="D1409" s="15"/>
      <c r="E1409" s="15"/>
      <c r="F1409" s="15"/>
      <c r="G1409" s="36" t="str">
        <f t="array" ref="G1409">IF($F1409="","",IFERROR(INDEX(Config!$E:$E,MATCH($F1409,Config!$D:$D,0)),0))</f>
        <v/>
      </c>
      <c r="H1409" s="16"/>
      <c r="I1409" s="36" t="str">
        <f t="shared" si="1"/>
        <v/>
      </c>
      <c r="J1409" s="16"/>
      <c r="K1409" s="15"/>
      <c r="L1409" s="15"/>
      <c r="M1409" s="36" t="str">
        <f t="array" ref="M1409">IF($A1409="","",IF($L1409="Atendido",IFERROR($I1409*INDEX(Config!$B:$B,MATCH($C1409,Config!$A:$A,0)),0),0))</f>
        <v/>
      </c>
      <c r="N1409" s="36" t="str">
        <f t="shared" si="2"/>
        <v/>
      </c>
      <c r="O1409" s="36" t="str">
        <f t="shared" si="3"/>
        <v/>
      </c>
      <c r="P1409" s="15"/>
      <c r="Q1409" s="37" t="str">
        <f t="shared" si="4"/>
        <v/>
      </c>
      <c r="R1409" s="37" t="str">
        <f t="shared" si="5"/>
        <v/>
      </c>
      <c r="S1409" s="32" t="str">
        <f t="shared" si="6"/>
        <v/>
      </c>
      <c r="T1409" s="37" t="str">
        <f t="shared" si="7"/>
        <v/>
      </c>
      <c r="U1409" s="37" t="str">
        <f t="array" ref="U1409">IF($F1409="","",IFERROR(INDEX(Config!$F:$F,MATCH($F1409,Config!$D:$D,0)),0))</f>
        <v/>
      </c>
    </row>
    <row r="1410" ht="15.0" customHeight="1">
      <c r="A1410" s="34"/>
      <c r="B1410" s="35"/>
      <c r="C1410" s="15"/>
      <c r="D1410" s="15"/>
      <c r="E1410" s="15"/>
      <c r="F1410" s="15"/>
      <c r="G1410" s="36" t="str">
        <f t="array" ref="G1410">IF($F1410="","",IFERROR(INDEX(Config!$E:$E,MATCH($F1410,Config!$D:$D,0)),0))</f>
        <v/>
      </c>
      <c r="H1410" s="16"/>
      <c r="I1410" s="36" t="str">
        <f t="shared" si="1"/>
        <v/>
      </c>
      <c r="J1410" s="16"/>
      <c r="K1410" s="15"/>
      <c r="L1410" s="15"/>
      <c r="M1410" s="36" t="str">
        <f t="array" ref="M1410">IF($A1410="","",IF($L1410="Atendido",IFERROR($I1410*INDEX(Config!$B:$B,MATCH($C1410,Config!$A:$A,0)),0),0))</f>
        <v/>
      </c>
      <c r="N1410" s="36" t="str">
        <f t="shared" si="2"/>
        <v/>
      </c>
      <c r="O1410" s="36" t="str">
        <f t="shared" si="3"/>
        <v/>
      </c>
      <c r="P1410" s="15"/>
      <c r="Q1410" s="37" t="str">
        <f t="shared" si="4"/>
        <v/>
      </c>
      <c r="R1410" s="37" t="str">
        <f t="shared" si="5"/>
        <v/>
      </c>
      <c r="S1410" s="32" t="str">
        <f t="shared" si="6"/>
        <v/>
      </c>
      <c r="T1410" s="37" t="str">
        <f t="shared" si="7"/>
        <v/>
      </c>
      <c r="U1410" s="37" t="str">
        <f t="array" ref="U1410">IF($F1410="","",IFERROR(INDEX(Config!$F:$F,MATCH($F1410,Config!$D:$D,0)),0))</f>
        <v/>
      </c>
    </row>
    <row r="1411" ht="15.0" customHeight="1">
      <c r="A1411" s="34"/>
      <c r="B1411" s="35"/>
      <c r="C1411" s="15"/>
      <c r="D1411" s="15"/>
      <c r="E1411" s="15"/>
      <c r="F1411" s="15"/>
      <c r="G1411" s="36" t="str">
        <f t="array" ref="G1411">IF($F1411="","",IFERROR(INDEX(Config!$E:$E,MATCH($F1411,Config!$D:$D,0)),0))</f>
        <v/>
      </c>
      <c r="H1411" s="16"/>
      <c r="I1411" s="36" t="str">
        <f t="shared" si="1"/>
        <v/>
      </c>
      <c r="J1411" s="16"/>
      <c r="K1411" s="15"/>
      <c r="L1411" s="15"/>
      <c r="M1411" s="36" t="str">
        <f t="array" ref="M1411">IF($A1411="","",IF($L1411="Atendido",IFERROR($I1411*INDEX(Config!$B:$B,MATCH($C1411,Config!$A:$A,0)),0),0))</f>
        <v/>
      </c>
      <c r="N1411" s="36" t="str">
        <f t="shared" si="2"/>
        <v/>
      </c>
      <c r="O1411" s="36" t="str">
        <f t="shared" si="3"/>
        <v/>
      </c>
      <c r="P1411" s="15"/>
      <c r="Q1411" s="37" t="str">
        <f t="shared" si="4"/>
        <v/>
      </c>
      <c r="R1411" s="37" t="str">
        <f t="shared" si="5"/>
        <v/>
      </c>
      <c r="S1411" s="32" t="str">
        <f t="shared" si="6"/>
        <v/>
      </c>
      <c r="T1411" s="37" t="str">
        <f t="shared" si="7"/>
        <v/>
      </c>
      <c r="U1411" s="37" t="str">
        <f t="array" ref="U1411">IF($F1411="","",IFERROR(INDEX(Config!$F:$F,MATCH($F1411,Config!$D:$D,0)),0))</f>
        <v/>
      </c>
    </row>
    <row r="1412" ht="15.0" customHeight="1">
      <c r="A1412" s="34"/>
      <c r="B1412" s="35"/>
      <c r="C1412" s="15"/>
      <c r="D1412" s="15"/>
      <c r="E1412" s="15"/>
      <c r="F1412" s="15"/>
      <c r="G1412" s="36" t="str">
        <f t="array" ref="G1412">IF($F1412="","",IFERROR(INDEX(Config!$E:$E,MATCH($F1412,Config!$D:$D,0)),0))</f>
        <v/>
      </c>
      <c r="H1412" s="16"/>
      <c r="I1412" s="36" t="str">
        <f t="shared" si="1"/>
        <v/>
      </c>
      <c r="J1412" s="16"/>
      <c r="K1412" s="15"/>
      <c r="L1412" s="15"/>
      <c r="M1412" s="36" t="str">
        <f t="array" ref="M1412">IF($A1412="","",IF($L1412="Atendido",IFERROR($I1412*INDEX(Config!$B:$B,MATCH($C1412,Config!$A:$A,0)),0),0))</f>
        <v/>
      </c>
      <c r="N1412" s="36" t="str">
        <f t="shared" si="2"/>
        <v/>
      </c>
      <c r="O1412" s="36" t="str">
        <f t="shared" si="3"/>
        <v/>
      </c>
      <c r="P1412" s="15"/>
      <c r="Q1412" s="37" t="str">
        <f t="shared" si="4"/>
        <v/>
      </c>
      <c r="R1412" s="37" t="str">
        <f t="shared" si="5"/>
        <v/>
      </c>
      <c r="S1412" s="32" t="str">
        <f t="shared" si="6"/>
        <v/>
      </c>
      <c r="T1412" s="37" t="str">
        <f t="shared" si="7"/>
        <v/>
      </c>
      <c r="U1412" s="37" t="str">
        <f t="array" ref="U1412">IF($F1412="","",IFERROR(INDEX(Config!$F:$F,MATCH($F1412,Config!$D:$D,0)),0))</f>
        <v/>
      </c>
    </row>
    <row r="1413" ht="15.0" customHeight="1">
      <c r="A1413" s="34"/>
      <c r="B1413" s="35"/>
      <c r="C1413" s="15"/>
      <c r="D1413" s="15"/>
      <c r="E1413" s="15"/>
      <c r="F1413" s="15"/>
      <c r="G1413" s="36" t="str">
        <f t="array" ref="G1413">IF($F1413="","",IFERROR(INDEX(Config!$E:$E,MATCH($F1413,Config!$D:$D,0)),0))</f>
        <v/>
      </c>
      <c r="H1413" s="16"/>
      <c r="I1413" s="36" t="str">
        <f t="shared" si="1"/>
        <v/>
      </c>
      <c r="J1413" s="16"/>
      <c r="K1413" s="15"/>
      <c r="L1413" s="15"/>
      <c r="M1413" s="36" t="str">
        <f t="array" ref="M1413">IF($A1413="","",IF($L1413="Atendido",IFERROR($I1413*INDEX(Config!$B:$B,MATCH($C1413,Config!$A:$A,0)),0),0))</f>
        <v/>
      </c>
      <c r="N1413" s="36" t="str">
        <f t="shared" si="2"/>
        <v/>
      </c>
      <c r="O1413" s="36" t="str">
        <f t="shared" si="3"/>
        <v/>
      </c>
      <c r="P1413" s="15"/>
      <c r="Q1413" s="37" t="str">
        <f t="shared" si="4"/>
        <v/>
      </c>
      <c r="R1413" s="37" t="str">
        <f t="shared" si="5"/>
        <v/>
      </c>
      <c r="S1413" s="32" t="str">
        <f t="shared" si="6"/>
        <v/>
      </c>
      <c r="T1413" s="37" t="str">
        <f t="shared" si="7"/>
        <v/>
      </c>
      <c r="U1413" s="37" t="str">
        <f t="array" ref="U1413">IF($F1413="","",IFERROR(INDEX(Config!$F:$F,MATCH($F1413,Config!$D:$D,0)),0))</f>
        <v/>
      </c>
    </row>
    <row r="1414" ht="15.0" customHeight="1">
      <c r="A1414" s="34"/>
      <c r="B1414" s="35"/>
      <c r="C1414" s="15"/>
      <c r="D1414" s="15"/>
      <c r="E1414" s="15"/>
      <c r="F1414" s="15"/>
      <c r="G1414" s="36" t="str">
        <f t="array" ref="G1414">IF($F1414="","",IFERROR(INDEX(Config!$E:$E,MATCH($F1414,Config!$D:$D,0)),0))</f>
        <v/>
      </c>
      <c r="H1414" s="16"/>
      <c r="I1414" s="36" t="str">
        <f t="shared" si="1"/>
        <v/>
      </c>
      <c r="J1414" s="16"/>
      <c r="K1414" s="15"/>
      <c r="L1414" s="15"/>
      <c r="M1414" s="36" t="str">
        <f t="array" ref="M1414">IF($A1414="","",IF($L1414="Atendido",IFERROR($I1414*INDEX(Config!$B:$B,MATCH($C1414,Config!$A:$A,0)),0),0))</f>
        <v/>
      </c>
      <c r="N1414" s="36" t="str">
        <f t="shared" si="2"/>
        <v/>
      </c>
      <c r="O1414" s="36" t="str">
        <f t="shared" si="3"/>
        <v/>
      </c>
      <c r="P1414" s="15"/>
      <c r="Q1414" s="37" t="str">
        <f t="shared" si="4"/>
        <v/>
      </c>
      <c r="R1414" s="37" t="str">
        <f t="shared" si="5"/>
        <v/>
      </c>
      <c r="S1414" s="32" t="str">
        <f t="shared" si="6"/>
        <v/>
      </c>
      <c r="T1414" s="37" t="str">
        <f t="shared" si="7"/>
        <v/>
      </c>
      <c r="U1414" s="37" t="str">
        <f t="array" ref="U1414">IF($F1414="","",IFERROR(INDEX(Config!$F:$F,MATCH($F1414,Config!$D:$D,0)),0))</f>
        <v/>
      </c>
    </row>
    <row r="1415" ht="15.0" customHeight="1">
      <c r="A1415" s="34"/>
      <c r="B1415" s="35"/>
      <c r="C1415" s="15"/>
      <c r="D1415" s="15"/>
      <c r="E1415" s="15"/>
      <c r="F1415" s="15"/>
      <c r="G1415" s="36" t="str">
        <f t="array" ref="G1415">IF($F1415="","",IFERROR(INDEX(Config!$E:$E,MATCH($F1415,Config!$D:$D,0)),0))</f>
        <v/>
      </c>
      <c r="H1415" s="16"/>
      <c r="I1415" s="36" t="str">
        <f t="shared" si="1"/>
        <v/>
      </c>
      <c r="J1415" s="16"/>
      <c r="K1415" s="15"/>
      <c r="L1415" s="15"/>
      <c r="M1415" s="36" t="str">
        <f t="array" ref="M1415">IF($A1415="","",IF($L1415="Atendido",IFERROR($I1415*INDEX(Config!$B:$B,MATCH($C1415,Config!$A:$A,0)),0),0))</f>
        <v/>
      </c>
      <c r="N1415" s="36" t="str">
        <f t="shared" si="2"/>
        <v/>
      </c>
      <c r="O1415" s="36" t="str">
        <f t="shared" si="3"/>
        <v/>
      </c>
      <c r="P1415" s="15"/>
      <c r="Q1415" s="37" t="str">
        <f t="shared" si="4"/>
        <v/>
      </c>
      <c r="R1415" s="37" t="str">
        <f t="shared" si="5"/>
        <v/>
      </c>
      <c r="S1415" s="32" t="str">
        <f t="shared" si="6"/>
        <v/>
      </c>
      <c r="T1415" s="37" t="str">
        <f t="shared" si="7"/>
        <v/>
      </c>
      <c r="U1415" s="37" t="str">
        <f t="array" ref="U1415">IF($F1415="","",IFERROR(INDEX(Config!$F:$F,MATCH($F1415,Config!$D:$D,0)),0))</f>
        <v/>
      </c>
    </row>
    <row r="1416" ht="15.0" customHeight="1">
      <c r="A1416" s="34"/>
      <c r="B1416" s="35"/>
      <c r="C1416" s="15"/>
      <c r="D1416" s="15"/>
      <c r="E1416" s="15"/>
      <c r="F1416" s="15"/>
      <c r="G1416" s="36" t="str">
        <f t="array" ref="G1416">IF($F1416="","",IFERROR(INDEX(Config!$E:$E,MATCH($F1416,Config!$D:$D,0)),0))</f>
        <v/>
      </c>
      <c r="H1416" s="16"/>
      <c r="I1416" s="36" t="str">
        <f t="shared" si="1"/>
        <v/>
      </c>
      <c r="J1416" s="16"/>
      <c r="K1416" s="15"/>
      <c r="L1416" s="15"/>
      <c r="M1416" s="36" t="str">
        <f t="array" ref="M1416">IF($A1416="","",IF($L1416="Atendido",IFERROR($I1416*INDEX(Config!$B:$B,MATCH($C1416,Config!$A:$A,0)),0),0))</f>
        <v/>
      </c>
      <c r="N1416" s="36" t="str">
        <f t="shared" si="2"/>
        <v/>
      </c>
      <c r="O1416" s="36" t="str">
        <f t="shared" si="3"/>
        <v/>
      </c>
      <c r="P1416" s="15"/>
      <c r="Q1416" s="37" t="str">
        <f t="shared" si="4"/>
        <v/>
      </c>
      <c r="R1416" s="37" t="str">
        <f t="shared" si="5"/>
        <v/>
      </c>
      <c r="S1416" s="32" t="str">
        <f t="shared" si="6"/>
        <v/>
      </c>
      <c r="T1416" s="37" t="str">
        <f t="shared" si="7"/>
        <v/>
      </c>
      <c r="U1416" s="37" t="str">
        <f t="array" ref="U1416">IF($F1416="","",IFERROR(INDEX(Config!$F:$F,MATCH($F1416,Config!$D:$D,0)),0))</f>
        <v/>
      </c>
    </row>
    <row r="1417" ht="15.0" customHeight="1">
      <c r="A1417" s="34"/>
      <c r="B1417" s="35"/>
      <c r="C1417" s="15"/>
      <c r="D1417" s="15"/>
      <c r="E1417" s="15"/>
      <c r="F1417" s="15"/>
      <c r="G1417" s="36" t="str">
        <f t="array" ref="G1417">IF($F1417="","",IFERROR(INDEX(Config!$E:$E,MATCH($F1417,Config!$D:$D,0)),0))</f>
        <v/>
      </c>
      <c r="H1417" s="16"/>
      <c r="I1417" s="36" t="str">
        <f t="shared" si="1"/>
        <v/>
      </c>
      <c r="J1417" s="16"/>
      <c r="K1417" s="15"/>
      <c r="L1417" s="15"/>
      <c r="M1417" s="36" t="str">
        <f t="array" ref="M1417">IF($A1417="","",IF($L1417="Atendido",IFERROR($I1417*INDEX(Config!$B:$B,MATCH($C1417,Config!$A:$A,0)),0),0))</f>
        <v/>
      </c>
      <c r="N1417" s="36" t="str">
        <f t="shared" si="2"/>
        <v/>
      </c>
      <c r="O1417" s="36" t="str">
        <f t="shared" si="3"/>
        <v/>
      </c>
      <c r="P1417" s="15"/>
      <c r="Q1417" s="37" t="str">
        <f t="shared" si="4"/>
        <v/>
      </c>
      <c r="R1417" s="37" t="str">
        <f t="shared" si="5"/>
        <v/>
      </c>
      <c r="S1417" s="32" t="str">
        <f t="shared" si="6"/>
        <v/>
      </c>
      <c r="T1417" s="37" t="str">
        <f t="shared" si="7"/>
        <v/>
      </c>
      <c r="U1417" s="37" t="str">
        <f t="array" ref="U1417">IF($F1417="","",IFERROR(INDEX(Config!$F:$F,MATCH($F1417,Config!$D:$D,0)),0))</f>
        <v/>
      </c>
    </row>
    <row r="1418" ht="15.0" customHeight="1">
      <c r="A1418" s="34"/>
      <c r="B1418" s="35"/>
      <c r="C1418" s="15"/>
      <c r="D1418" s="15"/>
      <c r="E1418" s="15"/>
      <c r="F1418" s="15"/>
      <c r="G1418" s="36" t="str">
        <f t="array" ref="G1418">IF($F1418="","",IFERROR(INDEX(Config!$E:$E,MATCH($F1418,Config!$D:$D,0)),0))</f>
        <v/>
      </c>
      <c r="H1418" s="16"/>
      <c r="I1418" s="36" t="str">
        <f t="shared" si="1"/>
        <v/>
      </c>
      <c r="J1418" s="16"/>
      <c r="K1418" s="15"/>
      <c r="L1418" s="15"/>
      <c r="M1418" s="36" t="str">
        <f t="array" ref="M1418">IF($A1418="","",IF($L1418="Atendido",IFERROR($I1418*INDEX(Config!$B:$B,MATCH($C1418,Config!$A:$A,0)),0),0))</f>
        <v/>
      </c>
      <c r="N1418" s="36" t="str">
        <f t="shared" si="2"/>
        <v/>
      </c>
      <c r="O1418" s="36" t="str">
        <f t="shared" si="3"/>
        <v/>
      </c>
      <c r="P1418" s="15"/>
      <c r="Q1418" s="37" t="str">
        <f t="shared" si="4"/>
        <v/>
      </c>
      <c r="R1418" s="37" t="str">
        <f t="shared" si="5"/>
        <v/>
      </c>
      <c r="S1418" s="32" t="str">
        <f t="shared" si="6"/>
        <v/>
      </c>
      <c r="T1418" s="37" t="str">
        <f t="shared" si="7"/>
        <v/>
      </c>
      <c r="U1418" s="37" t="str">
        <f t="array" ref="U1418">IF($F1418="","",IFERROR(INDEX(Config!$F:$F,MATCH($F1418,Config!$D:$D,0)),0))</f>
        <v/>
      </c>
    </row>
    <row r="1419" ht="15.0" customHeight="1">
      <c r="A1419" s="34"/>
      <c r="B1419" s="35"/>
      <c r="C1419" s="15"/>
      <c r="D1419" s="15"/>
      <c r="E1419" s="15"/>
      <c r="F1419" s="15"/>
      <c r="G1419" s="36" t="str">
        <f t="array" ref="G1419">IF($F1419="","",IFERROR(INDEX(Config!$E:$E,MATCH($F1419,Config!$D:$D,0)),0))</f>
        <v/>
      </c>
      <c r="H1419" s="16"/>
      <c r="I1419" s="36" t="str">
        <f t="shared" si="1"/>
        <v/>
      </c>
      <c r="J1419" s="16"/>
      <c r="K1419" s="15"/>
      <c r="L1419" s="15"/>
      <c r="M1419" s="36" t="str">
        <f t="array" ref="M1419">IF($A1419="","",IF($L1419="Atendido",IFERROR($I1419*INDEX(Config!$B:$B,MATCH($C1419,Config!$A:$A,0)),0),0))</f>
        <v/>
      </c>
      <c r="N1419" s="36" t="str">
        <f t="shared" si="2"/>
        <v/>
      </c>
      <c r="O1419" s="36" t="str">
        <f t="shared" si="3"/>
        <v/>
      </c>
      <c r="P1419" s="15"/>
      <c r="Q1419" s="37" t="str">
        <f t="shared" si="4"/>
        <v/>
      </c>
      <c r="R1419" s="37" t="str">
        <f t="shared" si="5"/>
        <v/>
      </c>
      <c r="S1419" s="32" t="str">
        <f t="shared" si="6"/>
        <v/>
      </c>
      <c r="T1419" s="37" t="str">
        <f t="shared" si="7"/>
        <v/>
      </c>
      <c r="U1419" s="37" t="str">
        <f t="array" ref="U1419">IF($F1419="","",IFERROR(INDEX(Config!$F:$F,MATCH($F1419,Config!$D:$D,0)),0))</f>
        <v/>
      </c>
    </row>
    <row r="1420" ht="15.0" customHeight="1">
      <c r="A1420" s="34"/>
      <c r="B1420" s="35"/>
      <c r="C1420" s="15"/>
      <c r="D1420" s="15"/>
      <c r="E1420" s="15"/>
      <c r="F1420" s="15"/>
      <c r="G1420" s="36" t="str">
        <f t="array" ref="G1420">IF($F1420="","",IFERROR(INDEX(Config!$E:$E,MATCH($F1420,Config!$D:$D,0)),0))</f>
        <v/>
      </c>
      <c r="H1420" s="16"/>
      <c r="I1420" s="36" t="str">
        <f t="shared" si="1"/>
        <v/>
      </c>
      <c r="J1420" s="16"/>
      <c r="K1420" s="15"/>
      <c r="L1420" s="15"/>
      <c r="M1420" s="36" t="str">
        <f t="array" ref="M1420">IF($A1420="","",IF($L1420="Atendido",IFERROR($I1420*INDEX(Config!$B:$B,MATCH($C1420,Config!$A:$A,0)),0),0))</f>
        <v/>
      </c>
      <c r="N1420" s="36" t="str">
        <f t="shared" si="2"/>
        <v/>
      </c>
      <c r="O1420" s="36" t="str">
        <f t="shared" si="3"/>
        <v/>
      </c>
      <c r="P1420" s="15"/>
      <c r="Q1420" s="37" t="str">
        <f t="shared" si="4"/>
        <v/>
      </c>
      <c r="R1420" s="37" t="str">
        <f t="shared" si="5"/>
        <v/>
      </c>
      <c r="S1420" s="32" t="str">
        <f t="shared" si="6"/>
        <v/>
      </c>
      <c r="T1420" s="37" t="str">
        <f t="shared" si="7"/>
        <v/>
      </c>
      <c r="U1420" s="37" t="str">
        <f t="array" ref="U1420">IF($F1420="","",IFERROR(INDEX(Config!$F:$F,MATCH($F1420,Config!$D:$D,0)),0))</f>
        <v/>
      </c>
    </row>
    <row r="1421" ht="15.0" customHeight="1">
      <c r="A1421" s="34"/>
      <c r="B1421" s="35"/>
      <c r="C1421" s="15"/>
      <c r="D1421" s="15"/>
      <c r="E1421" s="15"/>
      <c r="F1421" s="15"/>
      <c r="G1421" s="36" t="str">
        <f t="array" ref="G1421">IF($F1421="","",IFERROR(INDEX(Config!$E:$E,MATCH($F1421,Config!$D:$D,0)),0))</f>
        <v/>
      </c>
      <c r="H1421" s="16"/>
      <c r="I1421" s="36" t="str">
        <f t="shared" si="1"/>
        <v/>
      </c>
      <c r="J1421" s="16"/>
      <c r="K1421" s="15"/>
      <c r="L1421" s="15"/>
      <c r="M1421" s="36" t="str">
        <f t="array" ref="M1421">IF($A1421="","",IF($L1421="Atendido",IFERROR($I1421*INDEX(Config!$B:$B,MATCH($C1421,Config!$A:$A,0)),0),0))</f>
        <v/>
      </c>
      <c r="N1421" s="36" t="str">
        <f t="shared" si="2"/>
        <v/>
      </c>
      <c r="O1421" s="36" t="str">
        <f t="shared" si="3"/>
        <v/>
      </c>
      <c r="P1421" s="15"/>
      <c r="Q1421" s="37" t="str">
        <f t="shared" si="4"/>
        <v/>
      </c>
      <c r="R1421" s="37" t="str">
        <f t="shared" si="5"/>
        <v/>
      </c>
      <c r="S1421" s="32" t="str">
        <f t="shared" si="6"/>
        <v/>
      </c>
      <c r="T1421" s="37" t="str">
        <f t="shared" si="7"/>
        <v/>
      </c>
      <c r="U1421" s="37" t="str">
        <f t="array" ref="U1421">IF($F1421="","",IFERROR(INDEX(Config!$F:$F,MATCH($F1421,Config!$D:$D,0)),0))</f>
        <v/>
      </c>
    </row>
    <row r="1422" ht="15.0" customHeight="1">
      <c r="A1422" s="34"/>
      <c r="B1422" s="35"/>
      <c r="C1422" s="15"/>
      <c r="D1422" s="15"/>
      <c r="E1422" s="15"/>
      <c r="F1422" s="15"/>
      <c r="G1422" s="36" t="str">
        <f t="array" ref="G1422">IF($F1422="","",IFERROR(INDEX(Config!$E:$E,MATCH($F1422,Config!$D:$D,0)),0))</f>
        <v/>
      </c>
      <c r="H1422" s="16"/>
      <c r="I1422" s="36" t="str">
        <f t="shared" si="1"/>
        <v/>
      </c>
      <c r="J1422" s="16"/>
      <c r="K1422" s="15"/>
      <c r="L1422" s="15"/>
      <c r="M1422" s="36" t="str">
        <f t="array" ref="M1422">IF($A1422="","",IF($L1422="Atendido",IFERROR($I1422*INDEX(Config!$B:$B,MATCH($C1422,Config!$A:$A,0)),0),0))</f>
        <v/>
      </c>
      <c r="N1422" s="36" t="str">
        <f t="shared" si="2"/>
        <v/>
      </c>
      <c r="O1422" s="36" t="str">
        <f t="shared" si="3"/>
        <v/>
      </c>
      <c r="P1422" s="15"/>
      <c r="Q1422" s="37" t="str">
        <f t="shared" si="4"/>
        <v/>
      </c>
      <c r="R1422" s="37" t="str">
        <f t="shared" si="5"/>
        <v/>
      </c>
      <c r="S1422" s="32" t="str">
        <f t="shared" si="6"/>
        <v/>
      </c>
      <c r="T1422" s="37" t="str">
        <f t="shared" si="7"/>
        <v/>
      </c>
      <c r="U1422" s="37" t="str">
        <f t="array" ref="U1422">IF($F1422="","",IFERROR(INDEX(Config!$F:$F,MATCH($F1422,Config!$D:$D,0)),0))</f>
        <v/>
      </c>
    </row>
    <row r="1423" ht="15.0" customHeight="1">
      <c r="A1423" s="34"/>
      <c r="B1423" s="35"/>
      <c r="C1423" s="15"/>
      <c r="D1423" s="15"/>
      <c r="E1423" s="15"/>
      <c r="F1423" s="15"/>
      <c r="G1423" s="36" t="str">
        <f t="array" ref="G1423">IF($F1423="","",IFERROR(INDEX(Config!$E:$E,MATCH($F1423,Config!$D:$D,0)),0))</f>
        <v/>
      </c>
      <c r="H1423" s="16"/>
      <c r="I1423" s="36" t="str">
        <f t="shared" si="1"/>
        <v/>
      </c>
      <c r="J1423" s="16"/>
      <c r="K1423" s="15"/>
      <c r="L1423" s="15"/>
      <c r="M1423" s="36" t="str">
        <f t="array" ref="M1423">IF($A1423="","",IF($L1423="Atendido",IFERROR($I1423*INDEX(Config!$B:$B,MATCH($C1423,Config!$A:$A,0)),0),0))</f>
        <v/>
      </c>
      <c r="N1423" s="36" t="str">
        <f t="shared" si="2"/>
        <v/>
      </c>
      <c r="O1423" s="36" t="str">
        <f t="shared" si="3"/>
        <v/>
      </c>
      <c r="P1423" s="15"/>
      <c r="Q1423" s="37" t="str">
        <f t="shared" si="4"/>
        <v/>
      </c>
      <c r="R1423" s="37" t="str">
        <f t="shared" si="5"/>
        <v/>
      </c>
      <c r="S1423" s="32" t="str">
        <f t="shared" si="6"/>
        <v/>
      </c>
      <c r="T1423" s="37" t="str">
        <f t="shared" si="7"/>
        <v/>
      </c>
      <c r="U1423" s="37" t="str">
        <f t="array" ref="U1423">IF($F1423="","",IFERROR(INDEX(Config!$F:$F,MATCH($F1423,Config!$D:$D,0)),0))</f>
        <v/>
      </c>
    </row>
    <row r="1424" ht="15.0" customHeight="1">
      <c r="A1424" s="34"/>
      <c r="B1424" s="35"/>
      <c r="C1424" s="15"/>
      <c r="D1424" s="15"/>
      <c r="E1424" s="15"/>
      <c r="F1424" s="15"/>
      <c r="G1424" s="36" t="str">
        <f t="array" ref="G1424">IF($F1424="","",IFERROR(INDEX(Config!$E:$E,MATCH($F1424,Config!$D:$D,0)),0))</f>
        <v/>
      </c>
      <c r="H1424" s="16"/>
      <c r="I1424" s="36" t="str">
        <f t="shared" si="1"/>
        <v/>
      </c>
      <c r="J1424" s="16"/>
      <c r="K1424" s="15"/>
      <c r="L1424" s="15"/>
      <c r="M1424" s="36" t="str">
        <f t="array" ref="M1424">IF($A1424="","",IF($L1424="Atendido",IFERROR($I1424*INDEX(Config!$B:$B,MATCH($C1424,Config!$A:$A,0)),0),0))</f>
        <v/>
      </c>
      <c r="N1424" s="36" t="str">
        <f t="shared" si="2"/>
        <v/>
      </c>
      <c r="O1424" s="36" t="str">
        <f t="shared" si="3"/>
        <v/>
      </c>
      <c r="P1424" s="15"/>
      <c r="Q1424" s="37" t="str">
        <f t="shared" si="4"/>
        <v/>
      </c>
      <c r="R1424" s="37" t="str">
        <f t="shared" si="5"/>
        <v/>
      </c>
      <c r="S1424" s="32" t="str">
        <f t="shared" si="6"/>
        <v/>
      </c>
      <c r="T1424" s="37" t="str">
        <f t="shared" si="7"/>
        <v/>
      </c>
      <c r="U1424" s="37" t="str">
        <f t="array" ref="U1424">IF($F1424="","",IFERROR(INDEX(Config!$F:$F,MATCH($F1424,Config!$D:$D,0)),0))</f>
        <v/>
      </c>
    </row>
    <row r="1425" ht="15.0" customHeight="1">
      <c r="A1425" s="34"/>
      <c r="B1425" s="35"/>
      <c r="C1425" s="15"/>
      <c r="D1425" s="15"/>
      <c r="E1425" s="15"/>
      <c r="F1425" s="15"/>
      <c r="G1425" s="36" t="str">
        <f t="array" ref="G1425">IF($F1425="","",IFERROR(INDEX(Config!$E:$E,MATCH($F1425,Config!$D:$D,0)),0))</f>
        <v/>
      </c>
      <c r="H1425" s="16"/>
      <c r="I1425" s="36" t="str">
        <f t="shared" si="1"/>
        <v/>
      </c>
      <c r="J1425" s="16"/>
      <c r="K1425" s="15"/>
      <c r="L1425" s="15"/>
      <c r="M1425" s="36" t="str">
        <f t="array" ref="M1425">IF($A1425="","",IF($L1425="Atendido",IFERROR($I1425*INDEX(Config!$B:$B,MATCH($C1425,Config!$A:$A,0)),0),0))</f>
        <v/>
      </c>
      <c r="N1425" s="36" t="str">
        <f t="shared" si="2"/>
        <v/>
      </c>
      <c r="O1425" s="36" t="str">
        <f t="shared" si="3"/>
        <v/>
      </c>
      <c r="P1425" s="15"/>
      <c r="Q1425" s="37" t="str">
        <f t="shared" si="4"/>
        <v/>
      </c>
      <c r="R1425" s="37" t="str">
        <f t="shared" si="5"/>
        <v/>
      </c>
      <c r="S1425" s="32" t="str">
        <f t="shared" si="6"/>
        <v/>
      </c>
      <c r="T1425" s="37" t="str">
        <f t="shared" si="7"/>
        <v/>
      </c>
      <c r="U1425" s="37" t="str">
        <f t="array" ref="U1425">IF($F1425="","",IFERROR(INDEX(Config!$F:$F,MATCH($F1425,Config!$D:$D,0)),0))</f>
        <v/>
      </c>
    </row>
    <row r="1426" ht="15.0" customHeight="1">
      <c r="A1426" s="34"/>
      <c r="B1426" s="35"/>
      <c r="C1426" s="15"/>
      <c r="D1426" s="15"/>
      <c r="E1426" s="15"/>
      <c r="F1426" s="15"/>
      <c r="G1426" s="36" t="str">
        <f t="array" ref="G1426">IF($F1426="","",IFERROR(INDEX(Config!$E:$E,MATCH($F1426,Config!$D:$D,0)),0))</f>
        <v/>
      </c>
      <c r="H1426" s="16"/>
      <c r="I1426" s="36" t="str">
        <f t="shared" si="1"/>
        <v/>
      </c>
      <c r="J1426" s="16"/>
      <c r="K1426" s="15"/>
      <c r="L1426" s="15"/>
      <c r="M1426" s="36" t="str">
        <f t="array" ref="M1426">IF($A1426="","",IF($L1426="Atendido",IFERROR($I1426*INDEX(Config!$B:$B,MATCH($C1426,Config!$A:$A,0)),0),0))</f>
        <v/>
      </c>
      <c r="N1426" s="36" t="str">
        <f t="shared" si="2"/>
        <v/>
      </c>
      <c r="O1426" s="36" t="str">
        <f t="shared" si="3"/>
        <v/>
      </c>
      <c r="P1426" s="15"/>
      <c r="Q1426" s="37" t="str">
        <f t="shared" si="4"/>
        <v/>
      </c>
      <c r="R1426" s="37" t="str">
        <f t="shared" si="5"/>
        <v/>
      </c>
      <c r="S1426" s="32" t="str">
        <f t="shared" si="6"/>
        <v/>
      </c>
      <c r="T1426" s="37" t="str">
        <f t="shared" si="7"/>
        <v/>
      </c>
      <c r="U1426" s="37" t="str">
        <f t="array" ref="U1426">IF($F1426="","",IFERROR(INDEX(Config!$F:$F,MATCH($F1426,Config!$D:$D,0)),0))</f>
        <v/>
      </c>
    </row>
    <row r="1427" ht="15.0" customHeight="1">
      <c r="A1427" s="34"/>
      <c r="B1427" s="35"/>
      <c r="C1427" s="15"/>
      <c r="D1427" s="15"/>
      <c r="E1427" s="15"/>
      <c r="F1427" s="15"/>
      <c r="G1427" s="36" t="str">
        <f t="array" ref="G1427">IF($F1427="","",IFERROR(INDEX(Config!$E:$E,MATCH($F1427,Config!$D:$D,0)),0))</f>
        <v/>
      </c>
      <c r="H1427" s="16"/>
      <c r="I1427" s="36" t="str">
        <f t="shared" si="1"/>
        <v/>
      </c>
      <c r="J1427" s="16"/>
      <c r="K1427" s="15"/>
      <c r="L1427" s="15"/>
      <c r="M1427" s="36" t="str">
        <f t="array" ref="M1427">IF($A1427="","",IF($L1427="Atendido",IFERROR($I1427*INDEX(Config!$B:$B,MATCH($C1427,Config!$A:$A,0)),0),0))</f>
        <v/>
      </c>
      <c r="N1427" s="36" t="str">
        <f t="shared" si="2"/>
        <v/>
      </c>
      <c r="O1427" s="36" t="str">
        <f t="shared" si="3"/>
        <v/>
      </c>
      <c r="P1427" s="15"/>
      <c r="Q1427" s="37" t="str">
        <f t="shared" si="4"/>
        <v/>
      </c>
      <c r="R1427" s="37" t="str">
        <f t="shared" si="5"/>
        <v/>
      </c>
      <c r="S1427" s="32" t="str">
        <f t="shared" si="6"/>
        <v/>
      </c>
      <c r="T1427" s="37" t="str">
        <f t="shared" si="7"/>
        <v/>
      </c>
      <c r="U1427" s="37" t="str">
        <f t="array" ref="U1427">IF($F1427="","",IFERROR(INDEX(Config!$F:$F,MATCH($F1427,Config!$D:$D,0)),0))</f>
        <v/>
      </c>
    </row>
    <row r="1428" ht="15.0" customHeight="1">
      <c r="A1428" s="34"/>
      <c r="B1428" s="35"/>
      <c r="C1428" s="15"/>
      <c r="D1428" s="15"/>
      <c r="E1428" s="15"/>
      <c r="F1428" s="15"/>
      <c r="G1428" s="36" t="str">
        <f t="array" ref="G1428">IF($F1428="","",IFERROR(INDEX(Config!$E:$E,MATCH($F1428,Config!$D:$D,0)),0))</f>
        <v/>
      </c>
      <c r="H1428" s="16"/>
      <c r="I1428" s="36" t="str">
        <f t="shared" si="1"/>
        <v/>
      </c>
      <c r="J1428" s="16"/>
      <c r="K1428" s="15"/>
      <c r="L1428" s="15"/>
      <c r="M1428" s="36" t="str">
        <f t="array" ref="M1428">IF($A1428="","",IF($L1428="Atendido",IFERROR($I1428*INDEX(Config!$B:$B,MATCH($C1428,Config!$A:$A,0)),0),0))</f>
        <v/>
      </c>
      <c r="N1428" s="36" t="str">
        <f t="shared" si="2"/>
        <v/>
      </c>
      <c r="O1428" s="36" t="str">
        <f t="shared" si="3"/>
        <v/>
      </c>
      <c r="P1428" s="15"/>
      <c r="Q1428" s="37" t="str">
        <f t="shared" si="4"/>
        <v/>
      </c>
      <c r="R1428" s="37" t="str">
        <f t="shared" si="5"/>
        <v/>
      </c>
      <c r="S1428" s="32" t="str">
        <f t="shared" si="6"/>
        <v/>
      </c>
      <c r="T1428" s="37" t="str">
        <f t="shared" si="7"/>
        <v/>
      </c>
      <c r="U1428" s="37" t="str">
        <f t="array" ref="U1428">IF($F1428="","",IFERROR(INDEX(Config!$F:$F,MATCH($F1428,Config!$D:$D,0)),0))</f>
        <v/>
      </c>
    </row>
    <row r="1429" ht="15.0" customHeight="1">
      <c r="A1429" s="34"/>
      <c r="B1429" s="35"/>
      <c r="C1429" s="15"/>
      <c r="D1429" s="15"/>
      <c r="E1429" s="15"/>
      <c r="F1429" s="15"/>
      <c r="G1429" s="36" t="str">
        <f t="array" ref="G1429">IF($F1429="","",IFERROR(INDEX(Config!$E:$E,MATCH($F1429,Config!$D:$D,0)),0))</f>
        <v/>
      </c>
      <c r="H1429" s="16"/>
      <c r="I1429" s="36" t="str">
        <f t="shared" si="1"/>
        <v/>
      </c>
      <c r="J1429" s="16"/>
      <c r="K1429" s="15"/>
      <c r="L1429" s="15"/>
      <c r="M1429" s="36" t="str">
        <f t="array" ref="M1429">IF($A1429="","",IF($L1429="Atendido",IFERROR($I1429*INDEX(Config!$B:$B,MATCH($C1429,Config!$A:$A,0)),0),0))</f>
        <v/>
      </c>
      <c r="N1429" s="36" t="str">
        <f t="shared" si="2"/>
        <v/>
      </c>
      <c r="O1429" s="36" t="str">
        <f t="shared" si="3"/>
        <v/>
      </c>
      <c r="P1429" s="15"/>
      <c r="Q1429" s="37" t="str">
        <f t="shared" si="4"/>
        <v/>
      </c>
      <c r="R1429" s="37" t="str">
        <f t="shared" si="5"/>
        <v/>
      </c>
      <c r="S1429" s="32" t="str">
        <f t="shared" si="6"/>
        <v/>
      </c>
      <c r="T1429" s="37" t="str">
        <f t="shared" si="7"/>
        <v/>
      </c>
      <c r="U1429" s="37" t="str">
        <f t="array" ref="U1429">IF($F1429="","",IFERROR(INDEX(Config!$F:$F,MATCH($F1429,Config!$D:$D,0)),0))</f>
        <v/>
      </c>
    </row>
    <row r="1430" ht="15.0" customHeight="1">
      <c r="A1430" s="34"/>
      <c r="B1430" s="35"/>
      <c r="C1430" s="15"/>
      <c r="D1430" s="15"/>
      <c r="E1430" s="15"/>
      <c r="F1430" s="15"/>
      <c r="G1430" s="36" t="str">
        <f t="array" ref="G1430">IF($F1430="","",IFERROR(INDEX(Config!$E:$E,MATCH($F1430,Config!$D:$D,0)),0))</f>
        <v/>
      </c>
      <c r="H1430" s="16"/>
      <c r="I1430" s="36" t="str">
        <f t="shared" si="1"/>
        <v/>
      </c>
      <c r="J1430" s="16"/>
      <c r="K1430" s="15"/>
      <c r="L1430" s="15"/>
      <c r="M1430" s="36" t="str">
        <f t="array" ref="M1430">IF($A1430="","",IF($L1430="Atendido",IFERROR($I1430*INDEX(Config!$B:$B,MATCH($C1430,Config!$A:$A,0)),0),0))</f>
        <v/>
      </c>
      <c r="N1430" s="36" t="str">
        <f t="shared" si="2"/>
        <v/>
      </c>
      <c r="O1430" s="36" t="str">
        <f t="shared" si="3"/>
        <v/>
      </c>
      <c r="P1430" s="15"/>
      <c r="Q1430" s="37" t="str">
        <f t="shared" si="4"/>
        <v/>
      </c>
      <c r="R1430" s="37" t="str">
        <f t="shared" si="5"/>
        <v/>
      </c>
      <c r="S1430" s="32" t="str">
        <f t="shared" si="6"/>
        <v/>
      </c>
      <c r="T1430" s="37" t="str">
        <f t="shared" si="7"/>
        <v/>
      </c>
      <c r="U1430" s="37" t="str">
        <f t="array" ref="U1430">IF($F1430="","",IFERROR(INDEX(Config!$F:$F,MATCH($F1430,Config!$D:$D,0)),0))</f>
        <v/>
      </c>
    </row>
    <row r="1431" ht="15.0" customHeight="1">
      <c r="A1431" s="34"/>
      <c r="B1431" s="35"/>
      <c r="C1431" s="15"/>
      <c r="D1431" s="15"/>
      <c r="E1431" s="15"/>
      <c r="F1431" s="15"/>
      <c r="G1431" s="36" t="str">
        <f t="array" ref="G1431">IF($F1431="","",IFERROR(INDEX(Config!$E:$E,MATCH($F1431,Config!$D:$D,0)),0))</f>
        <v/>
      </c>
      <c r="H1431" s="16"/>
      <c r="I1431" s="36" t="str">
        <f t="shared" si="1"/>
        <v/>
      </c>
      <c r="J1431" s="16"/>
      <c r="K1431" s="15"/>
      <c r="L1431" s="15"/>
      <c r="M1431" s="36" t="str">
        <f t="array" ref="M1431">IF($A1431="","",IF($L1431="Atendido",IFERROR($I1431*INDEX(Config!$B:$B,MATCH($C1431,Config!$A:$A,0)),0),0))</f>
        <v/>
      </c>
      <c r="N1431" s="36" t="str">
        <f t="shared" si="2"/>
        <v/>
      </c>
      <c r="O1431" s="36" t="str">
        <f t="shared" si="3"/>
        <v/>
      </c>
      <c r="P1431" s="15"/>
      <c r="Q1431" s="37" t="str">
        <f t="shared" si="4"/>
        <v/>
      </c>
      <c r="R1431" s="37" t="str">
        <f t="shared" si="5"/>
        <v/>
      </c>
      <c r="S1431" s="32" t="str">
        <f t="shared" si="6"/>
        <v/>
      </c>
      <c r="T1431" s="37" t="str">
        <f t="shared" si="7"/>
        <v/>
      </c>
      <c r="U1431" s="37" t="str">
        <f t="array" ref="U1431">IF($F1431="","",IFERROR(INDEX(Config!$F:$F,MATCH($F1431,Config!$D:$D,0)),0))</f>
        <v/>
      </c>
    </row>
    <row r="1432" ht="15.0" customHeight="1">
      <c r="A1432" s="34"/>
      <c r="B1432" s="35"/>
      <c r="C1432" s="15"/>
      <c r="D1432" s="15"/>
      <c r="E1432" s="15"/>
      <c r="F1432" s="15"/>
      <c r="G1432" s="36" t="str">
        <f t="array" ref="G1432">IF($F1432="","",IFERROR(INDEX(Config!$E:$E,MATCH($F1432,Config!$D:$D,0)),0))</f>
        <v/>
      </c>
      <c r="H1432" s="16"/>
      <c r="I1432" s="36" t="str">
        <f t="shared" si="1"/>
        <v/>
      </c>
      <c r="J1432" s="16"/>
      <c r="K1432" s="15"/>
      <c r="L1432" s="15"/>
      <c r="M1432" s="36" t="str">
        <f t="array" ref="M1432">IF($A1432="","",IF($L1432="Atendido",IFERROR($I1432*INDEX(Config!$B:$B,MATCH($C1432,Config!$A:$A,0)),0),0))</f>
        <v/>
      </c>
      <c r="N1432" s="36" t="str">
        <f t="shared" si="2"/>
        <v/>
      </c>
      <c r="O1432" s="36" t="str">
        <f t="shared" si="3"/>
        <v/>
      </c>
      <c r="P1432" s="15"/>
      <c r="Q1432" s="37" t="str">
        <f t="shared" si="4"/>
        <v/>
      </c>
      <c r="R1432" s="37" t="str">
        <f t="shared" si="5"/>
        <v/>
      </c>
      <c r="S1432" s="32" t="str">
        <f t="shared" si="6"/>
        <v/>
      </c>
      <c r="T1432" s="37" t="str">
        <f t="shared" si="7"/>
        <v/>
      </c>
      <c r="U1432" s="37" t="str">
        <f t="array" ref="U1432">IF($F1432="","",IFERROR(INDEX(Config!$F:$F,MATCH($F1432,Config!$D:$D,0)),0))</f>
        <v/>
      </c>
    </row>
    <row r="1433" ht="15.0" customHeight="1">
      <c r="A1433" s="34"/>
      <c r="B1433" s="35"/>
      <c r="C1433" s="15"/>
      <c r="D1433" s="15"/>
      <c r="E1433" s="15"/>
      <c r="F1433" s="15"/>
      <c r="G1433" s="36" t="str">
        <f t="array" ref="G1433">IF($F1433="","",IFERROR(INDEX(Config!$E:$E,MATCH($F1433,Config!$D:$D,0)),0))</f>
        <v/>
      </c>
      <c r="H1433" s="16"/>
      <c r="I1433" s="36" t="str">
        <f t="shared" si="1"/>
        <v/>
      </c>
      <c r="J1433" s="16"/>
      <c r="K1433" s="15"/>
      <c r="L1433" s="15"/>
      <c r="M1433" s="36" t="str">
        <f t="array" ref="M1433">IF($A1433="","",IF($L1433="Atendido",IFERROR($I1433*INDEX(Config!$B:$B,MATCH($C1433,Config!$A:$A,0)),0),0))</f>
        <v/>
      </c>
      <c r="N1433" s="36" t="str">
        <f t="shared" si="2"/>
        <v/>
      </c>
      <c r="O1433" s="36" t="str">
        <f t="shared" si="3"/>
        <v/>
      </c>
      <c r="P1433" s="15"/>
      <c r="Q1433" s="37" t="str">
        <f t="shared" si="4"/>
        <v/>
      </c>
      <c r="R1433" s="37" t="str">
        <f t="shared" si="5"/>
        <v/>
      </c>
      <c r="S1433" s="32" t="str">
        <f t="shared" si="6"/>
        <v/>
      </c>
      <c r="T1433" s="37" t="str">
        <f t="shared" si="7"/>
        <v/>
      </c>
      <c r="U1433" s="37" t="str">
        <f t="array" ref="U1433">IF($F1433="","",IFERROR(INDEX(Config!$F:$F,MATCH($F1433,Config!$D:$D,0)),0))</f>
        <v/>
      </c>
    </row>
    <row r="1434" ht="15.0" customHeight="1">
      <c r="A1434" s="34"/>
      <c r="B1434" s="35"/>
      <c r="C1434" s="15"/>
      <c r="D1434" s="15"/>
      <c r="E1434" s="15"/>
      <c r="F1434" s="15"/>
      <c r="G1434" s="36" t="str">
        <f t="array" ref="G1434">IF($F1434="","",IFERROR(INDEX(Config!$E:$E,MATCH($F1434,Config!$D:$D,0)),0))</f>
        <v/>
      </c>
      <c r="H1434" s="16"/>
      <c r="I1434" s="36" t="str">
        <f t="shared" si="1"/>
        <v/>
      </c>
      <c r="J1434" s="16"/>
      <c r="K1434" s="15"/>
      <c r="L1434" s="15"/>
      <c r="M1434" s="36" t="str">
        <f t="array" ref="M1434">IF($A1434="","",IF($L1434="Atendido",IFERROR($I1434*INDEX(Config!$B:$B,MATCH($C1434,Config!$A:$A,0)),0),0))</f>
        <v/>
      </c>
      <c r="N1434" s="36" t="str">
        <f t="shared" si="2"/>
        <v/>
      </c>
      <c r="O1434" s="36" t="str">
        <f t="shared" si="3"/>
        <v/>
      </c>
      <c r="P1434" s="15"/>
      <c r="Q1434" s="37" t="str">
        <f t="shared" si="4"/>
        <v/>
      </c>
      <c r="R1434" s="37" t="str">
        <f t="shared" si="5"/>
        <v/>
      </c>
      <c r="S1434" s="32" t="str">
        <f t="shared" si="6"/>
        <v/>
      </c>
      <c r="T1434" s="37" t="str">
        <f t="shared" si="7"/>
        <v/>
      </c>
      <c r="U1434" s="37" t="str">
        <f t="array" ref="U1434">IF($F1434="","",IFERROR(INDEX(Config!$F:$F,MATCH($F1434,Config!$D:$D,0)),0))</f>
        <v/>
      </c>
    </row>
    <row r="1435" ht="15.0" customHeight="1">
      <c r="A1435" s="34"/>
      <c r="B1435" s="35"/>
      <c r="C1435" s="15"/>
      <c r="D1435" s="15"/>
      <c r="E1435" s="15"/>
      <c r="F1435" s="15"/>
      <c r="G1435" s="36" t="str">
        <f t="array" ref="G1435">IF($F1435="","",IFERROR(INDEX(Config!$E:$E,MATCH($F1435,Config!$D:$D,0)),0))</f>
        <v/>
      </c>
      <c r="H1435" s="16"/>
      <c r="I1435" s="36" t="str">
        <f t="shared" si="1"/>
        <v/>
      </c>
      <c r="J1435" s="16"/>
      <c r="K1435" s="15"/>
      <c r="L1435" s="15"/>
      <c r="M1435" s="36" t="str">
        <f t="array" ref="M1435">IF($A1435="","",IF($L1435="Atendido",IFERROR($I1435*INDEX(Config!$B:$B,MATCH($C1435,Config!$A:$A,0)),0),0))</f>
        <v/>
      </c>
      <c r="N1435" s="36" t="str">
        <f t="shared" si="2"/>
        <v/>
      </c>
      <c r="O1435" s="36" t="str">
        <f t="shared" si="3"/>
        <v/>
      </c>
      <c r="P1435" s="15"/>
      <c r="Q1435" s="37" t="str">
        <f t="shared" si="4"/>
        <v/>
      </c>
      <c r="R1435" s="37" t="str">
        <f t="shared" si="5"/>
        <v/>
      </c>
      <c r="S1435" s="32" t="str">
        <f t="shared" si="6"/>
        <v/>
      </c>
      <c r="T1435" s="37" t="str">
        <f t="shared" si="7"/>
        <v/>
      </c>
      <c r="U1435" s="37" t="str">
        <f t="array" ref="U1435">IF($F1435="","",IFERROR(INDEX(Config!$F:$F,MATCH($F1435,Config!$D:$D,0)),0))</f>
        <v/>
      </c>
    </row>
    <row r="1436" ht="15.0" customHeight="1">
      <c r="A1436" s="34"/>
      <c r="B1436" s="35"/>
      <c r="C1436" s="15"/>
      <c r="D1436" s="15"/>
      <c r="E1436" s="15"/>
      <c r="F1436" s="15"/>
      <c r="G1436" s="36" t="str">
        <f t="array" ref="G1436">IF($F1436="","",IFERROR(INDEX(Config!$E:$E,MATCH($F1436,Config!$D:$D,0)),0))</f>
        <v/>
      </c>
      <c r="H1436" s="16"/>
      <c r="I1436" s="36" t="str">
        <f t="shared" si="1"/>
        <v/>
      </c>
      <c r="J1436" s="16"/>
      <c r="K1436" s="15"/>
      <c r="L1436" s="15"/>
      <c r="M1436" s="36" t="str">
        <f t="array" ref="M1436">IF($A1436="","",IF($L1436="Atendido",IFERROR($I1436*INDEX(Config!$B:$B,MATCH($C1436,Config!$A:$A,0)),0),0))</f>
        <v/>
      </c>
      <c r="N1436" s="36" t="str">
        <f t="shared" si="2"/>
        <v/>
      </c>
      <c r="O1436" s="36" t="str">
        <f t="shared" si="3"/>
        <v/>
      </c>
      <c r="P1436" s="15"/>
      <c r="Q1436" s="37" t="str">
        <f t="shared" si="4"/>
        <v/>
      </c>
      <c r="R1436" s="37" t="str">
        <f t="shared" si="5"/>
        <v/>
      </c>
      <c r="S1436" s="32" t="str">
        <f t="shared" si="6"/>
        <v/>
      </c>
      <c r="T1436" s="37" t="str">
        <f t="shared" si="7"/>
        <v/>
      </c>
      <c r="U1436" s="37" t="str">
        <f t="array" ref="U1436">IF($F1436="","",IFERROR(INDEX(Config!$F:$F,MATCH($F1436,Config!$D:$D,0)),0))</f>
        <v/>
      </c>
    </row>
    <row r="1437" ht="15.0" customHeight="1">
      <c r="A1437" s="34"/>
      <c r="B1437" s="35"/>
      <c r="C1437" s="15"/>
      <c r="D1437" s="15"/>
      <c r="E1437" s="15"/>
      <c r="F1437" s="15"/>
      <c r="G1437" s="36" t="str">
        <f t="array" ref="G1437">IF($F1437="","",IFERROR(INDEX(Config!$E:$E,MATCH($F1437,Config!$D:$D,0)),0))</f>
        <v/>
      </c>
      <c r="H1437" s="16"/>
      <c r="I1437" s="36" t="str">
        <f t="shared" si="1"/>
        <v/>
      </c>
      <c r="J1437" s="16"/>
      <c r="K1437" s="15"/>
      <c r="L1437" s="15"/>
      <c r="M1437" s="36" t="str">
        <f t="array" ref="M1437">IF($A1437="","",IF($L1437="Atendido",IFERROR($I1437*INDEX(Config!$B:$B,MATCH($C1437,Config!$A:$A,0)),0),0))</f>
        <v/>
      </c>
      <c r="N1437" s="36" t="str">
        <f t="shared" si="2"/>
        <v/>
      </c>
      <c r="O1437" s="36" t="str">
        <f t="shared" si="3"/>
        <v/>
      </c>
      <c r="P1437" s="15"/>
      <c r="Q1437" s="37" t="str">
        <f t="shared" si="4"/>
        <v/>
      </c>
      <c r="R1437" s="37" t="str">
        <f t="shared" si="5"/>
        <v/>
      </c>
      <c r="S1437" s="32" t="str">
        <f t="shared" si="6"/>
        <v/>
      </c>
      <c r="T1437" s="37" t="str">
        <f t="shared" si="7"/>
        <v/>
      </c>
      <c r="U1437" s="37" t="str">
        <f t="array" ref="U1437">IF($F1437="","",IFERROR(INDEX(Config!$F:$F,MATCH($F1437,Config!$D:$D,0)),0))</f>
        <v/>
      </c>
    </row>
    <row r="1438" ht="15.0" customHeight="1">
      <c r="A1438" s="34"/>
      <c r="B1438" s="35"/>
      <c r="C1438" s="15"/>
      <c r="D1438" s="15"/>
      <c r="E1438" s="15"/>
      <c r="F1438" s="15"/>
      <c r="G1438" s="36" t="str">
        <f t="array" ref="G1438">IF($F1438="","",IFERROR(INDEX(Config!$E:$E,MATCH($F1438,Config!$D:$D,0)),0))</f>
        <v/>
      </c>
      <c r="H1438" s="16"/>
      <c r="I1438" s="36" t="str">
        <f t="shared" si="1"/>
        <v/>
      </c>
      <c r="J1438" s="16"/>
      <c r="K1438" s="15"/>
      <c r="L1438" s="15"/>
      <c r="M1438" s="36" t="str">
        <f t="array" ref="M1438">IF($A1438="","",IF($L1438="Atendido",IFERROR($I1438*INDEX(Config!$B:$B,MATCH($C1438,Config!$A:$A,0)),0),0))</f>
        <v/>
      </c>
      <c r="N1438" s="36" t="str">
        <f t="shared" si="2"/>
        <v/>
      </c>
      <c r="O1438" s="36" t="str">
        <f t="shared" si="3"/>
        <v/>
      </c>
      <c r="P1438" s="15"/>
      <c r="Q1438" s="37" t="str">
        <f t="shared" si="4"/>
        <v/>
      </c>
      <c r="R1438" s="37" t="str">
        <f t="shared" si="5"/>
        <v/>
      </c>
      <c r="S1438" s="32" t="str">
        <f t="shared" si="6"/>
        <v/>
      </c>
      <c r="T1438" s="37" t="str">
        <f t="shared" si="7"/>
        <v/>
      </c>
      <c r="U1438" s="37" t="str">
        <f t="array" ref="U1438">IF($F1438="","",IFERROR(INDEX(Config!$F:$F,MATCH($F1438,Config!$D:$D,0)),0))</f>
        <v/>
      </c>
    </row>
    <row r="1439" ht="15.0" customHeight="1">
      <c r="A1439" s="34"/>
      <c r="B1439" s="35"/>
      <c r="C1439" s="15"/>
      <c r="D1439" s="15"/>
      <c r="E1439" s="15"/>
      <c r="F1439" s="15"/>
      <c r="G1439" s="36" t="str">
        <f t="array" ref="G1439">IF($F1439="","",IFERROR(INDEX(Config!$E:$E,MATCH($F1439,Config!$D:$D,0)),0))</f>
        <v/>
      </c>
      <c r="H1439" s="16"/>
      <c r="I1439" s="36" t="str">
        <f t="shared" si="1"/>
        <v/>
      </c>
      <c r="J1439" s="16"/>
      <c r="K1439" s="15"/>
      <c r="L1439" s="15"/>
      <c r="M1439" s="36" t="str">
        <f t="array" ref="M1439">IF($A1439="","",IF($L1439="Atendido",IFERROR($I1439*INDEX(Config!$B:$B,MATCH($C1439,Config!$A:$A,0)),0),0))</f>
        <v/>
      </c>
      <c r="N1439" s="36" t="str">
        <f t="shared" si="2"/>
        <v/>
      </c>
      <c r="O1439" s="36" t="str">
        <f t="shared" si="3"/>
        <v/>
      </c>
      <c r="P1439" s="15"/>
      <c r="Q1439" s="37" t="str">
        <f t="shared" si="4"/>
        <v/>
      </c>
      <c r="R1439" s="37" t="str">
        <f t="shared" si="5"/>
        <v/>
      </c>
      <c r="S1439" s="32" t="str">
        <f t="shared" si="6"/>
        <v/>
      </c>
      <c r="T1439" s="37" t="str">
        <f t="shared" si="7"/>
        <v/>
      </c>
      <c r="U1439" s="37" t="str">
        <f t="array" ref="U1439">IF($F1439="","",IFERROR(INDEX(Config!$F:$F,MATCH($F1439,Config!$D:$D,0)),0))</f>
        <v/>
      </c>
    </row>
    <row r="1440" ht="15.0" customHeight="1">
      <c r="A1440" s="34"/>
      <c r="B1440" s="35"/>
      <c r="C1440" s="15"/>
      <c r="D1440" s="15"/>
      <c r="E1440" s="15"/>
      <c r="F1440" s="15"/>
      <c r="G1440" s="36" t="str">
        <f t="array" ref="G1440">IF($F1440="","",IFERROR(INDEX(Config!$E:$E,MATCH($F1440,Config!$D:$D,0)),0))</f>
        <v/>
      </c>
      <c r="H1440" s="16"/>
      <c r="I1440" s="36" t="str">
        <f t="shared" si="1"/>
        <v/>
      </c>
      <c r="J1440" s="16"/>
      <c r="K1440" s="15"/>
      <c r="L1440" s="15"/>
      <c r="M1440" s="36" t="str">
        <f t="array" ref="M1440">IF($A1440="","",IF($L1440="Atendido",IFERROR($I1440*INDEX(Config!$B:$B,MATCH($C1440,Config!$A:$A,0)),0),0))</f>
        <v/>
      </c>
      <c r="N1440" s="36" t="str">
        <f t="shared" si="2"/>
        <v/>
      </c>
      <c r="O1440" s="36" t="str">
        <f t="shared" si="3"/>
        <v/>
      </c>
      <c r="P1440" s="15"/>
      <c r="Q1440" s="37" t="str">
        <f t="shared" si="4"/>
        <v/>
      </c>
      <c r="R1440" s="37" t="str">
        <f t="shared" si="5"/>
        <v/>
      </c>
      <c r="S1440" s="32" t="str">
        <f t="shared" si="6"/>
        <v/>
      </c>
      <c r="T1440" s="37" t="str">
        <f t="shared" si="7"/>
        <v/>
      </c>
      <c r="U1440" s="37" t="str">
        <f t="array" ref="U1440">IF($F1440="","",IFERROR(INDEX(Config!$F:$F,MATCH($F1440,Config!$D:$D,0)),0))</f>
        <v/>
      </c>
    </row>
    <row r="1441" ht="15.0" customHeight="1">
      <c r="A1441" s="34"/>
      <c r="B1441" s="35"/>
      <c r="C1441" s="15"/>
      <c r="D1441" s="15"/>
      <c r="E1441" s="15"/>
      <c r="F1441" s="15"/>
      <c r="G1441" s="36" t="str">
        <f t="array" ref="G1441">IF($F1441="","",IFERROR(INDEX(Config!$E:$E,MATCH($F1441,Config!$D:$D,0)),0))</f>
        <v/>
      </c>
      <c r="H1441" s="16"/>
      <c r="I1441" s="36" t="str">
        <f t="shared" si="1"/>
        <v/>
      </c>
      <c r="J1441" s="16"/>
      <c r="K1441" s="15"/>
      <c r="L1441" s="15"/>
      <c r="M1441" s="36" t="str">
        <f t="array" ref="M1441">IF($A1441="","",IF($L1441="Atendido",IFERROR($I1441*INDEX(Config!$B:$B,MATCH($C1441,Config!$A:$A,0)),0),0))</f>
        <v/>
      </c>
      <c r="N1441" s="36" t="str">
        <f t="shared" si="2"/>
        <v/>
      </c>
      <c r="O1441" s="36" t="str">
        <f t="shared" si="3"/>
        <v/>
      </c>
      <c r="P1441" s="15"/>
      <c r="Q1441" s="37" t="str">
        <f t="shared" si="4"/>
        <v/>
      </c>
      <c r="R1441" s="37" t="str">
        <f t="shared" si="5"/>
        <v/>
      </c>
      <c r="S1441" s="32" t="str">
        <f t="shared" si="6"/>
        <v/>
      </c>
      <c r="T1441" s="37" t="str">
        <f t="shared" si="7"/>
        <v/>
      </c>
      <c r="U1441" s="37" t="str">
        <f t="array" ref="U1441">IF($F1441="","",IFERROR(INDEX(Config!$F:$F,MATCH($F1441,Config!$D:$D,0)),0))</f>
        <v/>
      </c>
    </row>
    <row r="1442" ht="15.0" customHeight="1">
      <c r="A1442" s="34"/>
      <c r="B1442" s="35"/>
      <c r="C1442" s="15"/>
      <c r="D1442" s="15"/>
      <c r="E1442" s="15"/>
      <c r="F1442" s="15"/>
      <c r="G1442" s="36" t="str">
        <f t="array" ref="G1442">IF($F1442="","",IFERROR(INDEX(Config!$E:$E,MATCH($F1442,Config!$D:$D,0)),0))</f>
        <v/>
      </c>
      <c r="H1442" s="16"/>
      <c r="I1442" s="36" t="str">
        <f t="shared" si="1"/>
        <v/>
      </c>
      <c r="J1442" s="16"/>
      <c r="K1442" s="15"/>
      <c r="L1442" s="15"/>
      <c r="M1442" s="36" t="str">
        <f t="array" ref="M1442">IF($A1442="","",IF($L1442="Atendido",IFERROR($I1442*INDEX(Config!$B:$B,MATCH($C1442,Config!$A:$A,0)),0),0))</f>
        <v/>
      </c>
      <c r="N1442" s="36" t="str">
        <f t="shared" si="2"/>
        <v/>
      </c>
      <c r="O1442" s="36" t="str">
        <f t="shared" si="3"/>
        <v/>
      </c>
      <c r="P1442" s="15"/>
      <c r="Q1442" s="37" t="str">
        <f t="shared" si="4"/>
        <v/>
      </c>
      <c r="R1442" s="37" t="str">
        <f t="shared" si="5"/>
        <v/>
      </c>
      <c r="S1442" s="32" t="str">
        <f t="shared" si="6"/>
        <v/>
      </c>
      <c r="T1442" s="37" t="str">
        <f t="shared" si="7"/>
        <v/>
      </c>
      <c r="U1442" s="37" t="str">
        <f t="array" ref="U1442">IF($F1442="","",IFERROR(INDEX(Config!$F:$F,MATCH($F1442,Config!$D:$D,0)),0))</f>
        <v/>
      </c>
    </row>
    <row r="1443" ht="15.0" customHeight="1">
      <c r="A1443" s="34"/>
      <c r="B1443" s="35"/>
      <c r="C1443" s="15"/>
      <c r="D1443" s="15"/>
      <c r="E1443" s="15"/>
      <c r="F1443" s="15"/>
      <c r="G1443" s="36" t="str">
        <f t="array" ref="G1443">IF($F1443="","",IFERROR(INDEX(Config!$E:$E,MATCH($F1443,Config!$D:$D,0)),0))</f>
        <v/>
      </c>
      <c r="H1443" s="16"/>
      <c r="I1443" s="36" t="str">
        <f t="shared" si="1"/>
        <v/>
      </c>
      <c r="J1443" s="16"/>
      <c r="K1443" s="15"/>
      <c r="L1443" s="15"/>
      <c r="M1443" s="36" t="str">
        <f t="array" ref="M1443">IF($A1443="","",IF($L1443="Atendido",IFERROR($I1443*INDEX(Config!$B:$B,MATCH($C1443,Config!$A:$A,0)),0),0))</f>
        <v/>
      </c>
      <c r="N1443" s="36" t="str">
        <f t="shared" si="2"/>
        <v/>
      </c>
      <c r="O1443" s="36" t="str">
        <f t="shared" si="3"/>
        <v/>
      </c>
      <c r="P1443" s="15"/>
      <c r="Q1443" s="37" t="str">
        <f t="shared" si="4"/>
        <v/>
      </c>
      <c r="R1443" s="37" t="str">
        <f t="shared" si="5"/>
        <v/>
      </c>
      <c r="S1443" s="32" t="str">
        <f t="shared" si="6"/>
        <v/>
      </c>
      <c r="T1443" s="37" t="str">
        <f t="shared" si="7"/>
        <v/>
      </c>
      <c r="U1443" s="37" t="str">
        <f t="array" ref="U1443">IF($F1443="","",IFERROR(INDEX(Config!$F:$F,MATCH($F1443,Config!$D:$D,0)),0))</f>
        <v/>
      </c>
    </row>
    <row r="1444" ht="15.0" customHeight="1">
      <c r="A1444" s="34"/>
      <c r="B1444" s="35"/>
      <c r="C1444" s="15"/>
      <c r="D1444" s="15"/>
      <c r="E1444" s="15"/>
      <c r="F1444" s="15"/>
      <c r="G1444" s="36" t="str">
        <f t="array" ref="G1444">IF($F1444="","",IFERROR(INDEX(Config!$E:$E,MATCH($F1444,Config!$D:$D,0)),0))</f>
        <v/>
      </c>
      <c r="H1444" s="16"/>
      <c r="I1444" s="36" t="str">
        <f t="shared" si="1"/>
        <v/>
      </c>
      <c r="J1444" s="16"/>
      <c r="K1444" s="15"/>
      <c r="L1444" s="15"/>
      <c r="M1444" s="36" t="str">
        <f t="array" ref="M1444">IF($A1444="","",IF($L1444="Atendido",IFERROR($I1444*INDEX(Config!$B:$B,MATCH($C1444,Config!$A:$A,0)),0),0))</f>
        <v/>
      </c>
      <c r="N1444" s="36" t="str">
        <f t="shared" si="2"/>
        <v/>
      </c>
      <c r="O1444" s="36" t="str">
        <f t="shared" si="3"/>
        <v/>
      </c>
      <c r="P1444" s="15"/>
      <c r="Q1444" s="37" t="str">
        <f t="shared" si="4"/>
        <v/>
      </c>
      <c r="R1444" s="37" t="str">
        <f t="shared" si="5"/>
        <v/>
      </c>
      <c r="S1444" s="32" t="str">
        <f t="shared" si="6"/>
        <v/>
      </c>
      <c r="T1444" s="37" t="str">
        <f t="shared" si="7"/>
        <v/>
      </c>
      <c r="U1444" s="37" t="str">
        <f t="array" ref="U1444">IF($F1444="","",IFERROR(INDEX(Config!$F:$F,MATCH($F1444,Config!$D:$D,0)),0))</f>
        <v/>
      </c>
    </row>
    <row r="1445" ht="15.0" customHeight="1">
      <c r="A1445" s="34"/>
      <c r="B1445" s="35"/>
      <c r="C1445" s="15"/>
      <c r="D1445" s="15"/>
      <c r="E1445" s="15"/>
      <c r="F1445" s="15"/>
      <c r="G1445" s="36" t="str">
        <f t="array" ref="G1445">IF($F1445="","",IFERROR(INDEX(Config!$E:$E,MATCH($F1445,Config!$D:$D,0)),0))</f>
        <v/>
      </c>
      <c r="H1445" s="16"/>
      <c r="I1445" s="36" t="str">
        <f t="shared" si="1"/>
        <v/>
      </c>
      <c r="J1445" s="16"/>
      <c r="K1445" s="15"/>
      <c r="L1445" s="15"/>
      <c r="M1445" s="36" t="str">
        <f t="array" ref="M1445">IF($A1445="","",IF($L1445="Atendido",IFERROR($I1445*INDEX(Config!$B:$B,MATCH($C1445,Config!$A:$A,0)),0),0))</f>
        <v/>
      </c>
      <c r="N1445" s="36" t="str">
        <f t="shared" si="2"/>
        <v/>
      </c>
      <c r="O1445" s="36" t="str">
        <f t="shared" si="3"/>
        <v/>
      </c>
      <c r="P1445" s="15"/>
      <c r="Q1445" s="37" t="str">
        <f t="shared" si="4"/>
        <v/>
      </c>
      <c r="R1445" s="37" t="str">
        <f t="shared" si="5"/>
        <v/>
      </c>
      <c r="S1445" s="32" t="str">
        <f t="shared" si="6"/>
        <v/>
      </c>
      <c r="T1445" s="37" t="str">
        <f t="shared" si="7"/>
        <v/>
      </c>
      <c r="U1445" s="37" t="str">
        <f t="array" ref="U1445">IF($F1445="","",IFERROR(INDEX(Config!$F:$F,MATCH($F1445,Config!$D:$D,0)),0))</f>
        <v/>
      </c>
    </row>
    <row r="1446" ht="15.0" customHeight="1">
      <c r="A1446" s="34"/>
      <c r="B1446" s="35"/>
      <c r="C1446" s="15"/>
      <c r="D1446" s="15"/>
      <c r="E1446" s="15"/>
      <c r="F1446" s="15"/>
      <c r="G1446" s="36" t="str">
        <f t="array" ref="G1446">IF($F1446="","",IFERROR(INDEX(Config!$E:$E,MATCH($F1446,Config!$D:$D,0)),0))</f>
        <v/>
      </c>
      <c r="H1446" s="16"/>
      <c r="I1446" s="36" t="str">
        <f t="shared" si="1"/>
        <v/>
      </c>
      <c r="J1446" s="16"/>
      <c r="K1446" s="15"/>
      <c r="L1446" s="15"/>
      <c r="M1446" s="36" t="str">
        <f t="array" ref="M1446">IF($A1446="","",IF($L1446="Atendido",IFERROR($I1446*INDEX(Config!$B:$B,MATCH($C1446,Config!$A:$A,0)),0),0))</f>
        <v/>
      </c>
      <c r="N1446" s="36" t="str">
        <f t="shared" si="2"/>
        <v/>
      </c>
      <c r="O1446" s="36" t="str">
        <f t="shared" si="3"/>
        <v/>
      </c>
      <c r="P1446" s="15"/>
      <c r="Q1446" s="37" t="str">
        <f t="shared" si="4"/>
        <v/>
      </c>
      <c r="R1446" s="37" t="str">
        <f t="shared" si="5"/>
        <v/>
      </c>
      <c r="S1446" s="32" t="str">
        <f t="shared" si="6"/>
        <v/>
      </c>
      <c r="T1446" s="37" t="str">
        <f t="shared" si="7"/>
        <v/>
      </c>
      <c r="U1446" s="37" t="str">
        <f t="array" ref="U1446">IF($F1446="","",IFERROR(INDEX(Config!$F:$F,MATCH($F1446,Config!$D:$D,0)),0))</f>
        <v/>
      </c>
    </row>
    <row r="1447" ht="15.0" customHeight="1">
      <c r="A1447" s="34"/>
      <c r="B1447" s="35"/>
      <c r="C1447" s="15"/>
      <c r="D1447" s="15"/>
      <c r="E1447" s="15"/>
      <c r="F1447" s="15"/>
      <c r="G1447" s="36" t="str">
        <f t="array" ref="G1447">IF($F1447="","",IFERROR(INDEX(Config!$E:$E,MATCH($F1447,Config!$D:$D,0)),0))</f>
        <v/>
      </c>
      <c r="H1447" s="16"/>
      <c r="I1447" s="36" t="str">
        <f t="shared" si="1"/>
        <v/>
      </c>
      <c r="J1447" s="16"/>
      <c r="K1447" s="15"/>
      <c r="L1447" s="15"/>
      <c r="M1447" s="36" t="str">
        <f t="array" ref="M1447">IF($A1447="","",IF($L1447="Atendido",IFERROR($I1447*INDEX(Config!$B:$B,MATCH($C1447,Config!$A:$A,0)),0),0))</f>
        <v/>
      </c>
      <c r="N1447" s="36" t="str">
        <f t="shared" si="2"/>
        <v/>
      </c>
      <c r="O1447" s="36" t="str">
        <f t="shared" si="3"/>
        <v/>
      </c>
      <c r="P1447" s="15"/>
      <c r="Q1447" s="37" t="str">
        <f t="shared" si="4"/>
        <v/>
      </c>
      <c r="R1447" s="37" t="str">
        <f t="shared" si="5"/>
        <v/>
      </c>
      <c r="S1447" s="32" t="str">
        <f t="shared" si="6"/>
        <v/>
      </c>
      <c r="T1447" s="37" t="str">
        <f t="shared" si="7"/>
        <v/>
      </c>
      <c r="U1447" s="37" t="str">
        <f t="array" ref="U1447">IF($F1447="","",IFERROR(INDEX(Config!$F:$F,MATCH($F1447,Config!$D:$D,0)),0))</f>
        <v/>
      </c>
    </row>
    <row r="1448" ht="15.0" customHeight="1">
      <c r="A1448" s="34"/>
      <c r="B1448" s="35"/>
      <c r="C1448" s="15"/>
      <c r="D1448" s="15"/>
      <c r="E1448" s="15"/>
      <c r="F1448" s="15"/>
      <c r="G1448" s="36" t="str">
        <f t="array" ref="G1448">IF($F1448="","",IFERROR(INDEX(Config!$E:$E,MATCH($F1448,Config!$D:$D,0)),0))</f>
        <v/>
      </c>
      <c r="H1448" s="16"/>
      <c r="I1448" s="36" t="str">
        <f t="shared" si="1"/>
        <v/>
      </c>
      <c r="J1448" s="16"/>
      <c r="K1448" s="15"/>
      <c r="L1448" s="15"/>
      <c r="M1448" s="36" t="str">
        <f t="array" ref="M1448">IF($A1448="","",IF($L1448="Atendido",IFERROR($I1448*INDEX(Config!$B:$B,MATCH($C1448,Config!$A:$A,0)),0),0))</f>
        <v/>
      </c>
      <c r="N1448" s="36" t="str">
        <f t="shared" si="2"/>
        <v/>
      </c>
      <c r="O1448" s="36" t="str">
        <f t="shared" si="3"/>
        <v/>
      </c>
      <c r="P1448" s="15"/>
      <c r="Q1448" s="37" t="str">
        <f t="shared" si="4"/>
        <v/>
      </c>
      <c r="R1448" s="37" t="str">
        <f t="shared" si="5"/>
        <v/>
      </c>
      <c r="S1448" s="32" t="str">
        <f t="shared" si="6"/>
        <v/>
      </c>
      <c r="T1448" s="37" t="str">
        <f t="shared" si="7"/>
        <v/>
      </c>
      <c r="U1448" s="37" t="str">
        <f t="array" ref="U1448">IF($F1448="","",IFERROR(INDEX(Config!$F:$F,MATCH($F1448,Config!$D:$D,0)),0))</f>
        <v/>
      </c>
    </row>
    <row r="1449" ht="15.0" customHeight="1">
      <c r="A1449" s="34"/>
      <c r="B1449" s="35"/>
      <c r="C1449" s="15"/>
      <c r="D1449" s="15"/>
      <c r="E1449" s="15"/>
      <c r="F1449" s="15"/>
      <c r="G1449" s="36" t="str">
        <f t="array" ref="G1449">IF($F1449="","",IFERROR(INDEX(Config!$E:$E,MATCH($F1449,Config!$D:$D,0)),0))</f>
        <v/>
      </c>
      <c r="H1449" s="16"/>
      <c r="I1449" s="36" t="str">
        <f t="shared" si="1"/>
        <v/>
      </c>
      <c r="J1449" s="16"/>
      <c r="K1449" s="15"/>
      <c r="L1449" s="15"/>
      <c r="M1449" s="36" t="str">
        <f t="array" ref="M1449">IF($A1449="","",IF($L1449="Atendido",IFERROR($I1449*INDEX(Config!$B:$B,MATCH($C1449,Config!$A:$A,0)),0),0))</f>
        <v/>
      </c>
      <c r="N1449" s="36" t="str">
        <f t="shared" si="2"/>
        <v/>
      </c>
      <c r="O1449" s="36" t="str">
        <f t="shared" si="3"/>
        <v/>
      </c>
      <c r="P1449" s="15"/>
      <c r="Q1449" s="37" t="str">
        <f t="shared" si="4"/>
        <v/>
      </c>
      <c r="R1449" s="37" t="str">
        <f t="shared" si="5"/>
        <v/>
      </c>
      <c r="S1449" s="32" t="str">
        <f t="shared" si="6"/>
        <v/>
      </c>
      <c r="T1449" s="37" t="str">
        <f t="shared" si="7"/>
        <v/>
      </c>
      <c r="U1449" s="37" t="str">
        <f t="array" ref="U1449">IF($F1449="","",IFERROR(INDEX(Config!$F:$F,MATCH($F1449,Config!$D:$D,0)),0))</f>
        <v/>
      </c>
    </row>
    <row r="1450" ht="15.0" customHeight="1">
      <c r="A1450" s="34"/>
      <c r="B1450" s="35"/>
      <c r="C1450" s="15"/>
      <c r="D1450" s="15"/>
      <c r="E1450" s="15"/>
      <c r="F1450" s="15"/>
      <c r="G1450" s="36" t="str">
        <f t="array" ref="G1450">IF($F1450="","",IFERROR(INDEX(Config!$E:$E,MATCH($F1450,Config!$D:$D,0)),0))</f>
        <v/>
      </c>
      <c r="H1450" s="16"/>
      <c r="I1450" s="36" t="str">
        <f t="shared" si="1"/>
        <v/>
      </c>
      <c r="J1450" s="16"/>
      <c r="K1450" s="15"/>
      <c r="L1450" s="15"/>
      <c r="M1450" s="36" t="str">
        <f t="array" ref="M1450">IF($A1450="","",IF($L1450="Atendido",IFERROR($I1450*INDEX(Config!$B:$B,MATCH($C1450,Config!$A:$A,0)),0),0))</f>
        <v/>
      </c>
      <c r="N1450" s="36" t="str">
        <f t="shared" si="2"/>
        <v/>
      </c>
      <c r="O1450" s="36" t="str">
        <f t="shared" si="3"/>
        <v/>
      </c>
      <c r="P1450" s="15"/>
      <c r="Q1450" s="37" t="str">
        <f t="shared" si="4"/>
        <v/>
      </c>
      <c r="R1450" s="37" t="str">
        <f t="shared" si="5"/>
        <v/>
      </c>
      <c r="S1450" s="32" t="str">
        <f t="shared" si="6"/>
        <v/>
      </c>
      <c r="T1450" s="37" t="str">
        <f t="shared" si="7"/>
        <v/>
      </c>
      <c r="U1450" s="37" t="str">
        <f t="array" ref="U1450">IF($F1450="","",IFERROR(INDEX(Config!$F:$F,MATCH($F1450,Config!$D:$D,0)),0))</f>
        <v/>
      </c>
    </row>
    <row r="1451" ht="15.0" customHeight="1">
      <c r="A1451" s="34"/>
      <c r="B1451" s="35"/>
      <c r="C1451" s="15"/>
      <c r="D1451" s="15"/>
      <c r="E1451" s="15"/>
      <c r="F1451" s="15"/>
      <c r="G1451" s="36" t="str">
        <f t="array" ref="G1451">IF($F1451="","",IFERROR(INDEX(Config!$E:$E,MATCH($F1451,Config!$D:$D,0)),0))</f>
        <v/>
      </c>
      <c r="H1451" s="16"/>
      <c r="I1451" s="36" t="str">
        <f t="shared" si="1"/>
        <v/>
      </c>
      <c r="J1451" s="16"/>
      <c r="K1451" s="15"/>
      <c r="L1451" s="15"/>
      <c r="M1451" s="36" t="str">
        <f t="array" ref="M1451">IF($A1451="","",IF($L1451="Atendido",IFERROR($I1451*INDEX(Config!$B:$B,MATCH($C1451,Config!$A:$A,0)),0),0))</f>
        <v/>
      </c>
      <c r="N1451" s="36" t="str">
        <f t="shared" si="2"/>
        <v/>
      </c>
      <c r="O1451" s="36" t="str">
        <f t="shared" si="3"/>
        <v/>
      </c>
      <c r="P1451" s="15"/>
      <c r="Q1451" s="37" t="str">
        <f t="shared" si="4"/>
        <v/>
      </c>
      <c r="R1451" s="37" t="str">
        <f t="shared" si="5"/>
        <v/>
      </c>
      <c r="S1451" s="32" t="str">
        <f t="shared" si="6"/>
        <v/>
      </c>
      <c r="T1451" s="37" t="str">
        <f t="shared" si="7"/>
        <v/>
      </c>
      <c r="U1451" s="37" t="str">
        <f t="array" ref="U1451">IF($F1451="","",IFERROR(INDEX(Config!$F:$F,MATCH($F1451,Config!$D:$D,0)),0))</f>
        <v/>
      </c>
    </row>
    <row r="1452" ht="15.0" customHeight="1">
      <c r="A1452" s="34"/>
      <c r="B1452" s="35"/>
      <c r="C1452" s="15"/>
      <c r="D1452" s="15"/>
      <c r="E1452" s="15"/>
      <c r="F1452" s="15"/>
      <c r="G1452" s="36" t="str">
        <f t="array" ref="G1452">IF($F1452="","",IFERROR(INDEX(Config!$E:$E,MATCH($F1452,Config!$D:$D,0)),0))</f>
        <v/>
      </c>
      <c r="H1452" s="16"/>
      <c r="I1452" s="36" t="str">
        <f t="shared" si="1"/>
        <v/>
      </c>
      <c r="J1452" s="16"/>
      <c r="K1452" s="15"/>
      <c r="L1452" s="15"/>
      <c r="M1452" s="36" t="str">
        <f t="array" ref="M1452">IF($A1452="","",IF($L1452="Atendido",IFERROR($I1452*INDEX(Config!$B:$B,MATCH($C1452,Config!$A:$A,0)),0),0))</f>
        <v/>
      </c>
      <c r="N1452" s="36" t="str">
        <f t="shared" si="2"/>
        <v/>
      </c>
      <c r="O1452" s="36" t="str">
        <f t="shared" si="3"/>
        <v/>
      </c>
      <c r="P1452" s="15"/>
      <c r="Q1452" s="37" t="str">
        <f t="shared" si="4"/>
        <v/>
      </c>
      <c r="R1452" s="37" t="str">
        <f t="shared" si="5"/>
        <v/>
      </c>
      <c r="S1452" s="32" t="str">
        <f t="shared" si="6"/>
        <v/>
      </c>
      <c r="T1452" s="37" t="str">
        <f t="shared" si="7"/>
        <v/>
      </c>
      <c r="U1452" s="37" t="str">
        <f t="array" ref="U1452">IF($F1452="","",IFERROR(INDEX(Config!$F:$F,MATCH($F1452,Config!$D:$D,0)),0))</f>
        <v/>
      </c>
    </row>
    <row r="1453" ht="15.0" customHeight="1">
      <c r="A1453" s="34"/>
      <c r="B1453" s="35"/>
      <c r="C1453" s="15"/>
      <c r="D1453" s="15"/>
      <c r="E1453" s="15"/>
      <c r="F1453" s="15"/>
      <c r="G1453" s="36" t="str">
        <f t="array" ref="G1453">IF($F1453="","",IFERROR(INDEX(Config!$E:$E,MATCH($F1453,Config!$D:$D,0)),0))</f>
        <v/>
      </c>
      <c r="H1453" s="16"/>
      <c r="I1453" s="36" t="str">
        <f t="shared" si="1"/>
        <v/>
      </c>
      <c r="J1453" s="16"/>
      <c r="K1453" s="15"/>
      <c r="L1453" s="15"/>
      <c r="M1453" s="36" t="str">
        <f t="array" ref="M1453">IF($A1453="","",IF($L1453="Atendido",IFERROR($I1453*INDEX(Config!$B:$B,MATCH($C1453,Config!$A:$A,0)),0),0))</f>
        <v/>
      </c>
      <c r="N1453" s="36" t="str">
        <f t="shared" si="2"/>
        <v/>
      </c>
      <c r="O1453" s="36" t="str">
        <f t="shared" si="3"/>
        <v/>
      </c>
      <c r="P1453" s="15"/>
      <c r="Q1453" s="37" t="str">
        <f t="shared" si="4"/>
        <v/>
      </c>
      <c r="R1453" s="37" t="str">
        <f t="shared" si="5"/>
        <v/>
      </c>
      <c r="S1453" s="32" t="str">
        <f t="shared" si="6"/>
        <v/>
      </c>
      <c r="T1453" s="37" t="str">
        <f t="shared" si="7"/>
        <v/>
      </c>
      <c r="U1453" s="37" t="str">
        <f t="array" ref="U1453">IF($F1453="","",IFERROR(INDEX(Config!$F:$F,MATCH($F1453,Config!$D:$D,0)),0))</f>
        <v/>
      </c>
    </row>
    <row r="1454" ht="15.0" customHeight="1">
      <c r="A1454" s="34"/>
      <c r="B1454" s="35"/>
      <c r="C1454" s="15"/>
      <c r="D1454" s="15"/>
      <c r="E1454" s="15"/>
      <c r="F1454" s="15"/>
      <c r="G1454" s="36" t="str">
        <f t="array" ref="G1454">IF($F1454="","",IFERROR(INDEX(Config!$E:$E,MATCH($F1454,Config!$D:$D,0)),0))</f>
        <v/>
      </c>
      <c r="H1454" s="16"/>
      <c r="I1454" s="36" t="str">
        <f t="shared" si="1"/>
        <v/>
      </c>
      <c r="J1454" s="16"/>
      <c r="K1454" s="15"/>
      <c r="L1454" s="15"/>
      <c r="M1454" s="36" t="str">
        <f t="array" ref="M1454">IF($A1454="","",IF($L1454="Atendido",IFERROR($I1454*INDEX(Config!$B:$B,MATCH($C1454,Config!$A:$A,0)),0),0))</f>
        <v/>
      </c>
      <c r="N1454" s="36" t="str">
        <f t="shared" si="2"/>
        <v/>
      </c>
      <c r="O1454" s="36" t="str">
        <f t="shared" si="3"/>
        <v/>
      </c>
      <c r="P1454" s="15"/>
      <c r="Q1454" s="37" t="str">
        <f t="shared" si="4"/>
        <v/>
      </c>
      <c r="R1454" s="37" t="str">
        <f t="shared" si="5"/>
        <v/>
      </c>
      <c r="S1454" s="32" t="str">
        <f t="shared" si="6"/>
        <v/>
      </c>
      <c r="T1454" s="37" t="str">
        <f t="shared" si="7"/>
        <v/>
      </c>
      <c r="U1454" s="37" t="str">
        <f t="array" ref="U1454">IF($F1454="","",IFERROR(INDEX(Config!$F:$F,MATCH($F1454,Config!$D:$D,0)),0))</f>
        <v/>
      </c>
    </row>
    <row r="1455" ht="15.0" customHeight="1">
      <c r="A1455" s="34"/>
      <c r="B1455" s="35"/>
      <c r="C1455" s="15"/>
      <c r="D1455" s="15"/>
      <c r="E1455" s="15"/>
      <c r="F1455" s="15"/>
      <c r="G1455" s="36" t="str">
        <f t="array" ref="G1455">IF($F1455="","",IFERROR(INDEX(Config!$E:$E,MATCH($F1455,Config!$D:$D,0)),0))</f>
        <v/>
      </c>
      <c r="H1455" s="16"/>
      <c r="I1455" s="36" t="str">
        <f t="shared" si="1"/>
        <v/>
      </c>
      <c r="J1455" s="16"/>
      <c r="K1455" s="15"/>
      <c r="L1455" s="15"/>
      <c r="M1455" s="36" t="str">
        <f t="array" ref="M1455">IF($A1455="","",IF($L1455="Atendido",IFERROR($I1455*INDEX(Config!$B:$B,MATCH($C1455,Config!$A:$A,0)),0),0))</f>
        <v/>
      </c>
      <c r="N1455" s="36" t="str">
        <f t="shared" si="2"/>
        <v/>
      </c>
      <c r="O1455" s="36" t="str">
        <f t="shared" si="3"/>
        <v/>
      </c>
      <c r="P1455" s="15"/>
      <c r="Q1455" s="37" t="str">
        <f t="shared" si="4"/>
        <v/>
      </c>
      <c r="R1455" s="37" t="str">
        <f t="shared" si="5"/>
        <v/>
      </c>
      <c r="S1455" s="32" t="str">
        <f t="shared" si="6"/>
        <v/>
      </c>
      <c r="T1455" s="37" t="str">
        <f t="shared" si="7"/>
        <v/>
      </c>
      <c r="U1455" s="37" t="str">
        <f t="array" ref="U1455">IF($F1455="","",IFERROR(INDEX(Config!$F:$F,MATCH($F1455,Config!$D:$D,0)),0))</f>
        <v/>
      </c>
    </row>
    <row r="1456" ht="15.0" customHeight="1">
      <c r="A1456" s="34"/>
      <c r="B1456" s="35"/>
      <c r="C1456" s="15"/>
      <c r="D1456" s="15"/>
      <c r="E1456" s="15"/>
      <c r="F1456" s="15"/>
      <c r="G1456" s="36" t="str">
        <f t="array" ref="G1456">IF($F1456="","",IFERROR(INDEX(Config!$E:$E,MATCH($F1456,Config!$D:$D,0)),0))</f>
        <v/>
      </c>
      <c r="H1456" s="16"/>
      <c r="I1456" s="36" t="str">
        <f t="shared" si="1"/>
        <v/>
      </c>
      <c r="J1456" s="16"/>
      <c r="K1456" s="15"/>
      <c r="L1456" s="15"/>
      <c r="M1456" s="36" t="str">
        <f t="array" ref="M1456">IF($A1456="","",IF($L1456="Atendido",IFERROR($I1456*INDEX(Config!$B:$B,MATCH($C1456,Config!$A:$A,0)),0),0))</f>
        <v/>
      </c>
      <c r="N1456" s="36" t="str">
        <f t="shared" si="2"/>
        <v/>
      </c>
      <c r="O1456" s="36" t="str">
        <f t="shared" si="3"/>
        <v/>
      </c>
      <c r="P1456" s="15"/>
      <c r="Q1456" s="37" t="str">
        <f t="shared" si="4"/>
        <v/>
      </c>
      <c r="R1456" s="37" t="str">
        <f t="shared" si="5"/>
        <v/>
      </c>
      <c r="S1456" s="32" t="str">
        <f t="shared" si="6"/>
        <v/>
      </c>
      <c r="T1456" s="37" t="str">
        <f t="shared" si="7"/>
        <v/>
      </c>
      <c r="U1456" s="37" t="str">
        <f t="array" ref="U1456">IF($F1456="","",IFERROR(INDEX(Config!$F:$F,MATCH($F1456,Config!$D:$D,0)),0))</f>
        <v/>
      </c>
    </row>
    <row r="1457" ht="15.0" customHeight="1">
      <c r="A1457" s="34"/>
      <c r="B1457" s="35"/>
      <c r="C1457" s="15"/>
      <c r="D1457" s="15"/>
      <c r="E1457" s="15"/>
      <c r="F1457" s="15"/>
      <c r="G1457" s="36" t="str">
        <f t="array" ref="G1457">IF($F1457="","",IFERROR(INDEX(Config!$E:$E,MATCH($F1457,Config!$D:$D,0)),0))</f>
        <v/>
      </c>
      <c r="H1457" s="16"/>
      <c r="I1457" s="36" t="str">
        <f t="shared" si="1"/>
        <v/>
      </c>
      <c r="J1457" s="16"/>
      <c r="K1457" s="15"/>
      <c r="L1457" s="15"/>
      <c r="M1457" s="36" t="str">
        <f t="array" ref="M1457">IF($A1457="","",IF($L1457="Atendido",IFERROR($I1457*INDEX(Config!$B:$B,MATCH($C1457,Config!$A:$A,0)),0),0))</f>
        <v/>
      </c>
      <c r="N1457" s="36" t="str">
        <f t="shared" si="2"/>
        <v/>
      </c>
      <c r="O1457" s="36" t="str">
        <f t="shared" si="3"/>
        <v/>
      </c>
      <c r="P1457" s="15"/>
      <c r="Q1457" s="37" t="str">
        <f t="shared" si="4"/>
        <v/>
      </c>
      <c r="R1457" s="37" t="str">
        <f t="shared" si="5"/>
        <v/>
      </c>
      <c r="S1457" s="32" t="str">
        <f t="shared" si="6"/>
        <v/>
      </c>
      <c r="T1457" s="37" t="str">
        <f t="shared" si="7"/>
        <v/>
      </c>
      <c r="U1457" s="37" t="str">
        <f t="array" ref="U1457">IF($F1457="","",IFERROR(INDEX(Config!$F:$F,MATCH($F1457,Config!$D:$D,0)),0))</f>
        <v/>
      </c>
    </row>
    <row r="1458" ht="15.0" customHeight="1">
      <c r="A1458" s="34"/>
      <c r="B1458" s="35"/>
      <c r="C1458" s="15"/>
      <c r="D1458" s="15"/>
      <c r="E1458" s="15"/>
      <c r="F1458" s="15"/>
      <c r="G1458" s="36" t="str">
        <f t="array" ref="G1458">IF($F1458="","",IFERROR(INDEX(Config!$E:$E,MATCH($F1458,Config!$D:$D,0)),0))</f>
        <v/>
      </c>
      <c r="H1458" s="16"/>
      <c r="I1458" s="36" t="str">
        <f t="shared" si="1"/>
        <v/>
      </c>
      <c r="J1458" s="16"/>
      <c r="K1458" s="15"/>
      <c r="L1458" s="15"/>
      <c r="M1458" s="36" t="str">
        <f t="array" ref="M1458">IF($A1458="","",IF($L1458="Atendido",IFERROR($I1458*INDEX(Config!$B:$B,MATCH($C1458,Config!$A:$A,0)),0),0))</f>
        <v/>
      </c>
      <c r="N1458" s="36" t="str">
        <f t="shared" si="2"/>
        <v/>
      </c>
      <c r="O1458" s="36" t="str">
        <f t="shared" si="3"/>
        <v/>
      </c>
      <c r="P1458" s="15"/>
      <c r="Q1458" s="37" t="str">
        <f t="shared" si="4"/>
        <v/>
      </c>
      <c r="R1458" s="37" t="str">
        <f t="shared" si="5"/>
        <v/>
      </c>
      <c r="S1458" s="32" t="str">
        <f t="shared" si="6"/>
        <v/>
      </c>
      <c r="T1458" s="37" t="str">
        <f t="shared" si="7"/>
        <v/>
      </c>
      <c r="U1458" s="37" t="str">
        <f t="array" ref="U1458">IF($F1458="","",IFERROR(INDEX(Config!$F:$F,MATCH($F1458,Config!$D:$D,0)),0))</f>
        <v/>
      </c>
    </row>
    <row r="1459" ht="15.0" customHeight="1">
      <c r="A1459" s="34"/>
      <c r="B1459" s="35"/>
      <c r="C1459" s="15"/>
      <c r="D1459" s="15"/>
      <c r="E1459" s="15"/>
      <c r="F1459" s="15"/>
      <c r="G1459" s="36" t="str">
        <f t="array" ref="G1459">IF($F1459="","",IFERROR(INDEX(Config!$E:$E,MATCH($F1459,Config!$D:$D,0)),0))</f>
        <v/>
      </c>
      <c r="H1459" s="16"/>
      <c r="I1459" s="36" t="str">
        <f t="shared" si="1"/>
        <v/>
      </c>
      <c r="J1459" s="16"/>
      <c r="K1459" s="15"/>
      <c r="L1459" s="15"/>
      <c r="M1459" s="36" t="str">
        <f t="array" ref="M1459">IF($A1459="","",IF($L1459="Atendido",IFERROR($I1459*INDEX(Config!$B:$B,MATCH($C1459,Config!$A:$A,0)),0),0))</f>
        <v/>
      </c>
      <c r="N1459" s="36" t="str">
        <f t="shared" si="2"/>
        <v/>
      </c>
      <c r="O1459" s="36" t="str">
        <f t="shared" si="3"/>
        <v/>
      </c>
      <c r="P1459" s="15"/>
      <c r="Q1459" s="37" t="str">
        <f t="shared" si="4"/>
        <v/>
      </c>
      <c r="R1459" s="37" t="str">
        <f t="shared" si="5"/>
        <v/>
      </c>
      <c r="S1459" s="32" t="str">
        <f t="shared" si="6"/>
        <v/>
      </c>
      <c r="T1459" s="37" t="str">
        <f t="shared" si="7"/>
        <v/>
      </c>
      <c r="U1459" s="37" t="str">
        <f t="array" ref="U1459">IF($F1459="","",IFERROR(INDEX(Config!$F:$F,MATCH($F1459,Config!$D:$D,0)),0))</f>
        <v/>
      </c>
    </row>
    <row r="1460" ht="15.0" customHeight="1">
      <c r="A1460" s="34"/>
      <c r="B1460" s="35"/>
      <c r="C1460" s="15"/>
      <c r="D1460" s="15"/>
      <c r="E1460" s="15"/>
      <c r="F1460" s="15"/>
      <c r="G1460" s="36" t="str">
        <f t="array" ref="G1460">IF($F1460="","",IFERROR(INDEX(Config!$E:$E,MATCH($F1460,Config!$D:$D,0)),0))</f>
        <v/>
      </c>
      <c r="H1460" s="16"/>
      <c r="I1460" s="36" t="str">
        <f t="shared" si="1"/>
        <v/>
      </c>
      <c r="J1460" s="16"/>
      <c r="K1460" s="15"/>
      <c r="L1460" s="15"/>
      <c r="M1460" s="36" t="str">
        <f t="array" ref="M1460">IF($A1460="","",IF($L1460="Atendido",IFERROR($I1460*INDEX(Config!$B:$B,MATCH($C1460,Config!$A:$A,0)),0),0))</f>
        <v/>
      </c>
      <c r="N1460" s="36" t="str">
        <f t="shared" si="2"/>
        <v/>
      </c>
      <c r="O1460" s="36" t="str">
        <f t="shared" si="3"/>
        <v/>
      </c>
      <c r="P1460" s="15"/>
      <c r="Q1460" s="37" t="str">
        <f t="shared" si="4"/>
        <v/>
      </c>
      <c r="R1460" s="37" t="str">
        <f t="shared" si="5"/>
        <v/>
      </c>
      <c r="S1460" s="32" t="str">
        <f t="shared" si="6"/>
        <v/>
      </c>
      <c r="T1460" s="37" t="str">
        <f t="shared" si="7"/>
        <v/>
      </c>
      <c r="U1460" s="37" t="str">
        <f t="array" ref="U1460">IF($F1460="","",IFERROR(INDEX(Config!$F:$F,MATCH($F1460,Config!$D:$D,0)),0))</f>
        <v/>
      </c>
    </row>
    <row r="1461" ht="15.0" customHeight="1">
      <c r="A1461" s="34"/>
      <c r="B1461" s="35"/>
      <c r="C1461" s="15"/>
      <c r="D1461" s="15"/>
      <c r="E1461" s="15"/>
      <c r="F1461" s="15"/>
      <c r="G1461" s="36" t="str">
        <f t="array" ref="G1461">IF($F1461="","",IFERROR(INDEX(Config!$E:$E,MATCH($F1461,Config!$D:$D,0)),0))</f>
        <v/>
      </c>
      <c r="H1461" s="16"/>
      <c r="I1461" s="36" t="str">
        <f t="shared" si="1"/>
        <v/>
      </c>
      <c r="J1461" s="16"/>
      <c r="K1461" s="15"/>
      <c r="L1461" s="15"/>
      <c r="M1461" s="36" t="str">
        <f t="array" ref="M1461">IF($A1461="","",IF($L1461="Atendido",IFERROR($I1461*INDEX(Config!$B:$B,MATCH($C1461,Config!$A:$A,0)),0),0))</f>
        <v/>
      </c>
      <c r="N1461" s="36" t="str">
        <f t="shared" si="2"/>
        <v/>
      </c>
      <c r="O1461" s="36" t="str">
        <f t="shared" si="3"/>
        <v/>
      </c>
      <c r="P1461" s="15"/>
      <c r="Q1461" s="37" t="str">
        <f t="shared" si="4"/>
        <v/>
      </c>
      <c r="R1461" s="37" t="str">
        <f t="shared" si="5"/>
        <v/>
      </c>
      <c r="S1461" s="32" t="str">
        <f t="shared" si="6"/>
        <v/>
      </c>
      <c r="T1461" s="37" t="str">
        <f t="shared" si="7"/>
        <v/>
      </c>
      <c r="U1461" s="37" t="str">
        <f t="array" ref="U1461">IF($F1461="","",IFERROR(INDEX(Config!$F:$F,MATCH($F1461,Config!$D:$D,0)),0))</f>
        <v/>
      </c>
    </row>
    <row r="1462" ht="15.0" customHeight="1">
      <c r="A1462" s="34"/>
      <c r="B1462" s="35"/>
      <c r="C1462" s="15"/>
      <c r="D1462" s="15"/>
      <c r="E1462" s="15"/>
      <c r="F1462" s="15"/>
      <c r="G1462" s="36" t="str">
        <f t="array" ref="G1462">IF($F1462="","",IFERROR(INDEX(Config!$E:$E,MATCH($F1462,Config!$D:$D,0)),0))</f>
        <v/>
      </c>
      <c r="H1462" s="16"/>
      <c r="I1462" s="36" t="str">
        <f t="shared" si="1"/>
        <v/>
      </c>
      <c r="J1462" s="16"/>
      <c r="K1462" s="15"/>
      <c r="L1462" s="15"/>
      <c r="M1462" s="36" t="str">
        <f t="array" ref="M1462">IF($A1462="","",IF($L1462="Atendido",IFERROR($I1462*INDEX(Config!$B:$B,MATCH($C1462,Config!$A:$A,0)),0),0))</f>
        <v/>
      </c>
      <c r="N1462" s="36" t="str">
        <f t="shared" si="2"/>
        <v/>
      </c>
      <c r="O1462" s="36" t="str">
        <f t="shared" si="3"/>
        <v/>
      </c>
      <c r="P1462" s="15"/>
      <c r="Q1462" s="37" t="str">
        <f t="shared" si="4"/>
        <v/>
      </c>
      <c r="R1462" s="37" t="str">
        <f t="shared" si="5"/>
        <v/>
      </c>
      <c r="S1462" s="32" t="str">
        <f t="shared" si="6"/>
        <v/>
      </c>
      <c r="T1462" s="37" t="str">
        <f t="shared" si="7"/>
        <v/>
      </c>
      <c r="U1462" s="37" t="str">
        <f t="array" ref="U1462">IF($F1462="","",IFERROR(INDEX(Config!$F:$F,MATCH($F1462,Config!$D:$D,0)),0))</f>
        <v/>
      </c>
    </row>
    <row r="1463" ht="15.0" customHeight="1">
      <c r="A1463" s="34"/>
      <c r="B1463" s="35"/>
      <c r="C1463" s="15"/>
      <c r="D1463" s="15"/>
      <c r="E1463" s="15"/>
      <c r="F1463" s="15"/>
      <c r="G1463" s="36" t="str">
        <f t="array" ref="G1463">IF($F1463="","",IFERROR(INDEX(Config!$E:$E,MATCH($F1463,Config!$D:$D,0)),0))</f>
        <v/>
      </c>
      <c r="H1463" s="16"/>
      <c r="I1463" s="36" t="str">
        <f t="shared" si="1"/>
        <v/>
      </c>
      <c r="J1463" s="16"/>
      <c r="K1463" s="15"/>
      <c r="L1463" s="15"/>
      <c r="M1463" s="36" t="str">
        <f t="array" ref="M1463">IF($A1463="","",IF($L1463="Atendido",IFERROR($I1463*INDEX(Config!$B:$B,MATCH($C1463,Config!$A:$A,0)),0),0))</f>
        <v/>
      </c>
      <c r="N1463" s="36" t="str">
        <f t="shared" si="2"/>
        <v/>
      </c>
      <c r="O1463" s="36" t="str">
        <f t="shared" si="3"/>
        <v/>
      </c>
      <c r="P1463" s="15"/>
      <c r="Q1463" s="37" t="str">
        <f t="shared" si="4"/>
        <v/>
      </c>
      <c r="R1463" s="37" t="str">
        <f t="shared" si="5"/>
        <v/>
      </c>
      <c r="S1463" s="32" t="str">
        <f t="shared" si="6"/>
        <v/>
      </c>
      <c r="T1463" s="37" t="str">
        <f t="shared" si="7"/>
        <v/>
      </c>
      <c r="U1463" s="37" t="str">
        <f t="array" ref="U1463">IF($F1463="","",IFERROR(INDEX(Config!$F:$F,MATCH($F1463,Config!$D:$D,0)),0))</f>
        <v/>
      </c>
    </row>
    <row r="1464" ht="15.0" customHeight="1">
      <c r="A1464" s="34"/>
      <c r="B1464" s="35"/>
      <c r="C1464" s="15"/>
      <c r="D1464" s="15"/>
      <c r="E1464" s="15"/>
      <c r="F1464" s="15"/>
      <c r="G1464" s="36" t="str">
        <f t="array" ref="G1464">IF($F1464="","",IFERROR(INDEX(Config!$E:$E,MATCH($F1464,Config!$D:$D,0)),0))</f>
        <v/>
      </c>
      <c r="H1464" s="16"/>
      <c r="I1464" s="36" t="str">
        <f t="shared" si="1"/>
        <v/>
      </c>
      <c r="J1464" s="16"/>
      <c r="K1464" s="15"/>
      <c r="L1464" s="15"/>
      <c r="M1464" s="36" t="str">
        <f t="array" ref="M1464">IF($A1464="","",IF($L1464="Atendido",IFERROR($I1464*INDEX(Config!$B:$B,MATCH($C1464,Config!$A:$A,0)),0),0))</f>
        <v/>
      </c>
      <c r="N1464" s="36" t="str">
        <f t="shared" si="2"/>
        <v/>
      </c>
      <c r="O1464" s="36" t="str">
        <f t="shared" si="3"/>
        <v/>
      </c>
      <c r="P1464" s="15"/>
      <c r="Q1464" s="37" t="str">
        <f t="shared" si="4"/>
        <v/>
      </c>
      <c r="R1464" s="37" t="str">
        <f t="shared" si="5"/>
        <v/>
      </c>
      <c r="S1464" s="32" t="str">
        <f t="shared" si="6"/>
        <v/>
      </c>
      <c r="T1464" s="37" t="str">
        <f t="shared" si="7"/>
        <v/>
      </c>
      <c r="U1464" s="37" t="str">
        <f t="array" ref="U1464">IF($F1464="","",IFERROR(INDEX(Config!$F:$F,MATCH($F1464,Config!$D:$D,0)),0))</f>
        <v/>
      </c>
    </row>
    <row r="1465" ht="15.0" customHeight="1">
      <c r="A1465" s="34"/>
      <c r="B1465" s="35"/>
      <c r="C1465" s="15"/>
      <c r="D1465" s="15"/>
      <c r="E1465" s="15"/>
      <c r="F1465" s="15"/>
      <c r="G1465" s="36" t="str">
        <f t="array" ref="G1465">IF($F1465="","",IFERROR(INDEX(Config!$E:$E,MATCH($F1465,Config!$D:$D,0)),0))</f>
        <v/>
      </c>
      <c r="H1465" s="16"/>
      <c r="I1465" s="36" t="str">
        <f t="shared" si="1"/>
        <v/>
      </c>
      <c r="J1465" s="16"/>
      <c r="K1465" s="15"/>
      <c r="L1465" s="15"/>
      <c r="M1465" s="36" t="str">
        <f t="array" ref="M1465">IF($A1465="","",IF($L1465="Atendido",IFERROR($I1465*INDEX(Config!$B:$B,MATCH($C1465,Config!$A:$A,0)),0),0))</f>
        <v/>
      </c>
      <c r="N1465" s="36" t="str">
        <f t="shared" si="2"/>
        <v/>
      </c>
      <c r="O1465" s="36" t="str">
        <f t="shared" si="3"/>
        <v/>
      </c>
      <c r="P1465" s="15"/>
      <c r="Q1465" s="37" t="str">
        <f t="shared" si="4"/>
        <v/>
      </c>
      <c r="R1465" s="37" t="str">
        <f t="shared" si="5"/>
        <v/>
      </c>
      <c r="S1465" s="32" t="str">
        <f t="shared" si="6"/>
        <v/>
      </c>
      <c r="T1465" s="37" t="str">
        <f t="shared" si="7"/>
        <v/>
      </c>
      <c r="U1465" s="37" t="str">
        <f t="array" ref="U1465">IF($F1465="","",IFERROR(INDEX(Config!$F:$F,MATCH($F1465,Config!$D:$D,0)),0))</f>
        <v/>
      </c>
    </row>
    <row r="1466" ht="15.0" customHeight="1">
      <c r="A1466" s="34"/>
      <c r="B1466" s="35"/>
      <c r="C1466" s="15"/>
      <c r="D1466" s="15"/>
      <c r="E1466" s="15"/>
      <c r="F1466" s="15"/>
      <c r="G1466" s="36" t="str">
        <f t="array" ref="G1466">IF($F1466="","",IFERROR(INDEX(Config!$E:$E,MATCH($F1466,Config!$D:$D,0)),0))</f>
        <v/>
      </c>
      <c r="H1466" s="16"/>
      <c r="I1466" s="36" t="str">
        <f t="shared" si="1"/>
        <v/>
      </c>
      <c r="J1466" s="16"/>
      <c r="K1466" s="15"/>
      <c r="L1466" s="15"/>
      <c r="M1466" s="36" t="str">
        <f t="array" ref="M1466">IF($A1466="","",IF($L1466="Atendido",IFERROR($I1466*INDEX(Config!$B:$B,MATCH($C1466,Config!$A:$A,0)),0),0))</f>
        <v/>
      </c>
      <c r="N1466" s="36" t="str">
        <f t="shared" si="2"/>
        <v/>
      </c>
      <c r="O1466" s="36" t="str">
        <f t="shared" si="3"/>
        <v/>
      </c>
      <c r="P1466" s="15"/>
      <c r="Q1466" s="37" t="str">
        <f t="shared" si="4"/>
        <v/>
      </c>
      <c r="R1466" s="37" t="str">
        <f t="shared" si="5"/>
        <v/>
      </c>
      <c r="S1466" s="32" t="str">
        <f t="shared" si="6"/>
        <v/>
      </c>
      <c r="T1466" s="37" t="str">
        <f t="shared" si="7"/>
        <v/>
      </c>
      <c r="U1466" s="37" t="str">
        <f t="array" ref="U1466">IF($F1466="","",IFERROR(INDEX(Config!$F:$F,MATCH($F1466,Config!$D:$D,0)),0))</f>
        <v/>
      </c>
    </row>
    <row r="1467" ht="15.0" customHeight="1">
      <c r="A1467" s="34"/>
      <c r="B1467" s="35"/>
      <c r="C1467" s="15"/>
      <c r="D1467" s="15"/>
      <c r="E1467" s="15"/>
      <c r="F1467" s="15"/>
      <c r="G1467" s="36" t="str">
        <f t="array" ref="G1467">IF($F1467="","",IFERROR(INDEX(Config!$E:$E,MATCH($F1467,Config!$D:$D,0)),0))</f>
        <v/>
      </c>
      <c r="H1467" s="16"/>
      <c r="I1467" s="36" t="str">
        <f t="shared" si="1"/>
        <v/>
      </c>
      <c r="J1467" s="16"/>
      <c r="K1467" s="15"/>
      <c r="L1467" s="15"/>
      <c r="M1467" s="36" t="str">
        <f t="array" ref="M1467">IF($A1467="","",IF($L1467="Atendido",IFERROR($I1467*INDEX(Config!$B:$B,MATCH($C1467,Config!$A:$A,0)),0),0))</f>
        <v/>
      </c>
      <c r="N1467" s="36" t="str">
        <f t="shared" si="2"/>
        <v/>
      </c>
      <c r="O1467" s="36" t="str">
        <f t="shared" si="3"/>
        <v/>
      </c>
      <c r="P1467" s="15"/>
      <c r="Q1467" s="37" t="str">
        <f t="shared" si="4"/>
        <v/>
      </c>
      <c r="R1467" s="37" t="str">
        <f t="shared" si="5"/>
        <v/>
      </c>
      <c r="S1467" s="32" t="str">
        <f t="shared" si="6"/>
        <v/>
      </c>
      <c r="T1467" s="37" t="str">
        <f t="shared" si="7"/>
        <v/>
      </c>
      <c r="U1467" s="37" t="str">
        <f t="array" ref="U1467">IF($F1467="","",IFERROR(INDEX(Config!$F:$F,MATCH($F1467,Config!$D:$D,0)),0))</f>
        <v/>
      </c>
    </row>
    <row r="1468" ht="15.0" customHeight="1">
      <c r="A1468" s="34"/>
      <c r="B1468" s="35"/>
      <c r="C1468" s="15"/>
      <c r="D1468" s="15"/>
      <c r="E1468" s="15"/>
      <c r="F1468" s="15"/>
      <c r="G1468" s="36" t="str">
        <f t="array" ref="G1468">IF($F1468="","",IFERROR(INDEX(Config!$E:$E,MATCH($F1468,Config!$D:$D,0)),0))</f>
        <v/>
      </c>
      <c r="H1468" s="16"/>
      <c r="I1468" s="36" t="str">
        <f t="shared" si="1"/>
        <v/>
      </c>
      <c r="J1468" s="16"/>
      <c r="K1468" s="15"/>
      <c r="L1468" s="15"/>
      <c r="M1468" s="36" t="str">
        <f t="array" ref="M1468">IF($A1468="","",IF($L1468="Atendido",IFERROR($I1468*INDEX(Config!$B:$B,MATCH($C1468,Config!$A:$A,0)),0),0))</f>
        <v/>
      </c>
      <c r="N1468" s="36" t="str">
        <f t="shared" si="2"/>
        <v/>
      </c>
      <c r="O1468" s="36" t="str">
        <f t="shared" si="3"/>
        <v/>
      </c>
      <c r="P1468" s="15"/>
      <c r="Q1468" s="37" t="str">
        <f t="shared" si="4"/>
        <v/>
      </c>
      <c r="R1468" s="37" t="str">
        <f t="shared" si="5"/>
        <v/>
      </c>
      <c r="S1468" s="32" t="str">
        <f t="shared" si="6"/>
        <v/>
      </c>
      <c r="T1468" s="37" t="str">
        <f t="shared" si="7"/>
        <v/>
      </c>
      <c r="U1468" s="37" t="str">
        <f t="array" ref="U1468">IF($F1468="","",IFERROR(INDEX(Config!$F:$F,MATCH($F1468,Config!$D:$D,0)),0))</f>
        <v/>
      </c>
    </row>
    <row r="1469" ht="15.0" customHeight="1">
      <c r="A1469" s="34"/>
      <c r="B1469" s="35"/>
      <c r="C1469" s="15"/>
      <c r="D1469" s="15"/>
      <c r="E1469" s="15"/>
      <c r="F1469" s="15"/>
      <c r="G1469" s="36" t="str">
        <f t="array" ref="G1469">IF($F1469="","",IFERROR(INDEX(Config!$E:$E,MATCH($F1469,Config!$D:$D,0)),0))</f>
        <v/>
      </c>
      <c r="H1469" s="16"/>
      <c r="I1469" s="36" t="str">
        <f t="shared" si="1"/>
        <v/>
      </c>
      <c r="J1469" s="16"/>
      <c r="K1469" s="15"/>
      <c r="L1469" s="15"/>
      <c r="M1469" s="36" t="str">
        <f t="array" ref="M1469">IF($A1469="","",IF($L1469="Atendido",IFERROR($I1469*INDEX(Config!$B:$B,MATCH($C1469,Config!$A:$A,0)),0),0))</f>
        <v/>
      </c>
      <c r="N1469" s="36" t="str">
        <f t="shared" si="2"/>
        <v/>
      </c>
      <c r="O1469" s="36" t="str">
        <f t="shared" si="3"/>
        <v/>
      </c>
      <c r="P1469" s="15"/>
      <c r="Q1469" s="37" t="str">
        <f t="shared" si="4"/>
        <v/>
      </c>
      <c r="R1469" s="37" t="str">
        <f t="shared" si="5"/>
        <v/>
      </c>
      <c r="S1469" s="32" t="str">
        <f t="shared" si="6"/>
        <v/>
      </c>
      <c r="T1469" s="37" t="str">
        <f t="shared" si="7"/>
        <v/>
      </c>
      <c r="U1469" s="37" t="str">
        <f t="array" ref="U1469">IF($F1469="","",IFERROR(INDEX(Config!$F:$F,MATCH($F1469,Config!$D:$D,0)),0))</f>
        <v/>
      </c>
    </row>
    <row r="1470" ht="15.0" customHeight="1">
      <c r="A1470" s="34"/>
      <c r="B1470" s="35"/>
      <c r="C1470" s="15"/>
      <c r="D1470" s="15"/>
      <c r="E1470" s="15"/>
      <c r="F1470" s="15"/>
      <c r="G1470" s="36" t="str">
        <f t="array" ref="G1470">IF($F1470="","",IFERROR(INDEX(Config!$E:$E,MATCH($F1470,Config!$D:$D,0)),0))</f>
        <v/>
      </c>
      <c r="H1470" s="16"/>
      <c r="I1470" s="36" t="str">
        <f t="shared" si="1"/>
        <v/>
      </c>
      <c r="J1470" s="16"/>
      <c r="K1470" s="15"/>
      <c r="L1470" s="15"/>
      <c r="M1470" s="36" t="str">
        <f t="array" ref="M1470">IF($A1470="","",IF($L1470="Atendido",IFERROR($I1470*INDEX(Config!$B:$B,MATCH($C1470,Config!$A:$A,0)),0),0))</f>
        <v/>
      </c>
      <c r="N1470" s="36" t="str">
        <f t="shared" si="2"/>
        <v/>
      </c>
      <c r="O1470" s="36" t="str">
        <f t="shared" si="3"/>
        <v/>
      </c>
      <c r="P1470" s="15"/>
      <c r="Q1470" s="37" t="str">
        <f t="shared" si="4"/>
        <v/>
      </c>
      <c r="R1470" s="37" t="str">
        <f t="shared" si="5"/>
        <v/>
      </c>
      <c r="S1470" s="32" t="str">
        <f t="shared" si="6"/>
        <v/>
      </c>
      <c r="T1470" s="37" t="str">
        <f t="shared" si="7"/>
        <v/>
      </c>
      <c r="U1470" s="37" t="str">
        <f t="array" ref="U1470">IF($F1470="","",IFERROR(INDEX(Config!$F:$F,MATCH($F1470,Config!$D:$D,0)),0))</f>
        <v/>
      </c>
    </row>
    <row r="1471" ht="15.0" customHeight="1">
      <c r="A1471" s="34"/>
      <c r="B1471" s="35"/>
      <c r="C1471" s="15"/>
      <c r="D1471" s="15"/>
      <c r="E1471" s="15"/>
      <c r="F1471" s="15"/>
      <c r="G1471" s="36" t="str">
        <f t="array" ref="G1471">IF($F1471="","",IFERROR(INDEX(Config!$E:$E,MATCH($F1471,Config!$D:$D,0)),0))</f>
        <v/>
      </c>
      <c r="H1471" s="16"/>
      <c r="I1471" s="36" t="str">
        <f t="shared" si="1"/>
        <v/>
      </c>
      <c r="J1471" s="16"/>
      <c r="K1471" s="15"/>
      <c r="L1471" s="15"/>
      <c r="M1471" s="36" t="str">
        <f t="array" ref="M1471">IF($A1471="","",IF($L1471="Atendido",IFERROR($I1471*INDEX(Config!$B:$B,MATCH($C1471,Config!$A:$A,0)),0),0))</f>
        <v/>
      </c>
      <c r="N1471" s="36" t="str">
        <f t="shared" si="2"/>
        <v/>
      </c>
      <c r="O1471" s="36" t="str">
        <f t="shared" si="3"/>
        <v/>
      </c>
      <c r="P1471" s="15"/>
      <c r="Q1471" s="37" t="str">
        <f t="shared" si="4"/>
        <v/>
      </c>
      <c r="R1471" s="37" t="str">
        <f t="shared" si="5"/>
        <v/>
      </c>
      <c r="S1471" s="32" t="str">
        <f t="shared" si="6"/>
        <v/>
      </c>
      <c r="T1471" s="37" t="str">
        <f t="shared" si="7"/>
        <v/>
      </c>
      <c r="U1471" s="37" t="str">
        <f t="array" ref="U1471">IF($F1471="","",IFERROR(INDEX(Config!$F:$F,MATCH($F1471,Config!$D:$D,0)),0))</f>
        <v/>
      </c>
    </row>
    <row r="1472" ht="15.0" customHeight="1">
      <c r="A1472" s="34"/>
      <c r="B1472" s="35"/>
      <c r="C1472" s="15"/>
      <c r="D1472" s="15"/>
      <c r="E1472" s="15"/>
      <c r="F1472" s="15"/>
      <c r="G1472" s="36" t="str">
        <f t="array" ref="G1472">IF($F1472="","",IFERROR(INDEX(Config!$E:$E,MATCH($F1472,Config!$D:$D,0)),0))</f>
        <v/>
      </c>
      <c r="H1472" s="16"/>
      <c r="I1472" s="36" t="str">
        <f t="shared" si="1"/>
        <v/>
      </c>
      <c r="J1472" s="16"/>
      <c r="K1472" s="15"/>
      <c r="L1472" s="15"/>
      <c r="M1472" s="36" t="str">
        <f t="array" ref="M1472">IF($A1472="","",IF($L1472="Atendido",IFERROR($I1472*INDEX(Config!$B:$B,MATCH($C1472,Config!$A:$A,0)),0),0))</f>
        <v/>
      </c>
      <c r="N1472" s="36" t="str">
        <f t="shared" si="2"/>
        <v/>
      </c>
      <c r="O1472" s="36" t="str">
        <f t="shared" si="3"/>
        <v/>
      </c>
      <c r="P1472" s="15"/>
      <c r="Q1472" s="37" t="str">
        <f t="shared" si="4"/>
        <v/>
      </c>
      <c r="R1472" s="37" t="str">
        <f t="shared" si="5"/>
        <v/>
      </c>
      <c r="S1472" s="32" t="str">
        <f t="shared" si="6"/>
        <v/>
      </c>
      <c r="T1472" s="37" t="str">
        <f t="shared" si="7"/>
        <v/>
      </c>
      <c r="U1472" s="37" t="str">
        <f t="array" ref="U1472">IF($F1472="","",IFERROR(INDEX(Config!$F:$F,MATCH($F1472,Config!$D:$D,0)),0))</f>
        <v/>
      </c>
    </row>
    <row r="1473" ht="15.0" customHeight="1">
      <c r="A1473" s="34"/>
      <c r="B1473" s="35"/>
      <c r="C1473" s="15"/>
      <c r="D1473" s="15"/>
      <c r="E1473" s="15"/>
      <c r="F1473" s="15"/>
      <c r="G1473" s="36" t="str">
        <f t="array" ref="G1473">IF($F1473="","",IFERROR(INDEX(Config!$E:$E,MATCH($F1473,Config!$D:$D,0)),0))</f>
        <v/>
      </c>
      <c r="H1473" s="16"/>
      <c r="I1473" s="36" t="str">
        <f t="shared" si="1"/>
        <v/>
      </c>
      <c r="J1473" s="16"/>
      <c r="K1473" s="15"/>
      <c r="L1473" s="15"/>
      <c r="M1473" s="36" t="str">
        <f t="array" ref="M1473">IF($A1473="","",IF($L1473="Atendido",IFERROR($I1473*INDEX(Config!$B:$B,MATCH($C1473,Config!$A:$A,0)),0),0))</f>
        <v/>
      </c>
      <c r="N1473" s="36" t="str">
        <f t="shared" si="2"/>
        <v/>
      </c>
      <c r="O1473" s="36" t="str">
        <f t="shared" si="3"/>
        <v/>
      </c>
      <c r="P1473" s="15"/>
      <c r="Q1473" s="37" t="str">
        <f t="shared" si="4"/>
        <v/>
      </c>
      <c r="R1473" s="37" t="str">
        <f t="shared" si="5"/>
        <v/>
      </c>
      <c r="S1473" s="32" t="str">
        <f t="shared" si="6"/>
        <v/>
      </c>
      <c r="T1473" s="37" t="str">
        <f t="shared" si="7"/>
        <v/>
      </c>
      <c r="U1473" s="37" t="str">
        <f t="array" ref="U1473">IF($F1473="","",IFERROR(INDEX(Config!$F:$F,MATCH($F1473,Config!$D:$D,0)),0))</f>
        <v/>
      </c>
    </row>
    <row r="1474" ht="15.0" customHeight="1">
      <c r="A1474" s="34"/>
      <c r="B1474" s="35"/>
      <c r="C1474" s="15"/>
      <c r="D1474" s="15"/>
      <c r="E1474" s="15"/>
      <c r="F1474" s="15"/>
      <c r="G1474" s="36" t="str">
        <f t="array" ref="G1474">IF($F1474="","",IFERROR(INDEX(Config!$E:$E,MATCH($F1474,Config!$D:$D,0)),0))</f>
        <v/>
      </c>
      <c r="H1474" s="16"/>
      <c r="I1474" s="36" t="str">
        <f t="shared" si="1"/>
        <v/>
      </c>
      <c r="J1474" s="16"/>
      <c r="K1474" s="15"/>
      <c r="L1474" s="15"/>
      <c r="M1474" s="36" t="str">
        <f t="array" ref="M1474">IF($A1474="","",IF($L1474="Atendido",IFERROR($I1474*INDEX(Config!$B:$B,MATCH($C1474,Config!$A:$A,0)),0),0))</f>
        <v/>
      </c>
      <c r="N1474" s="36" t="str">
        <f t="shared" si="2"/>
        <v/>
      </c>
      <c r="O1474" s="36" t="str">
        <f t="shared" si="3"/>
        <v/>
      </c>
      <c r="P1474" s="15"/>
      <c r="Q1474" s="37" t="str">
        <f t="shared" si="4"/>
        <v/>
      </c>
      <c r="R1474" s="37" t="str">
        <f t="shared" si="5"/>
        <v/>
      </c>
      <c r="S1474" s="32" t="str">
        <f t="shared" si="6"/>
        <v/>
      </c>
      <c r="T1474" s="37" t="str">
        <f t="shared" si="7"/>
        <v/>
      </c>
      <c r="U1474" s="37" t="str">
        <f t="array" ref="U1474">IF($F1474="","",IFERROR(INDEX(Config!$F:$F,MATCH($F1474,Config!$D:$D,0)),0))</f>
        <v/>
      </c>
    </row>
    <row r="1475" ht="15.0" customHeight="1">
      <c r="A1475" s="34"/>
      <c r="B1475" s="35"/>
      <c r="C1475" s="15"/>
      <c r="D1475" s="15"/>
      <c r="E1475" s="15"/>
      <c r="F1475" s="15"/>
      <c r="G1475" s="36" t="str">
        <f t="array" ref="G1475">IF($F1475="","",IFERROR(INDEX(Config!$E:$E,MATCH($F1475,Config!$D:$D,0)),0))</f>
        <v/>
      </c>
      <c r="H1475" s="16"/>
      <c r="I1475" s="36" t="str">
        <f t="shared" si="1"/>
        <v/>
      </c>
      <c r="J1475" s="16"/>
      <c r="K1475" s="15"/>
      <c r="L1475" s="15"/>
      <c r="M1475" s="36" t="str">
        <f t="array" ref="M1475">IF($A1475="","",IF($L1475="Atendido",IFERROR($I1475*INDEX(Config!$B:$B,MATCH($C1475,Config!$A:$A,0)),0),0))</f>
        <v/>
      </c>
      <c r="N1475" s="36" t="str">
        <f t="shared" si="2"/>
        <v/>
      </c>
      <c r="O1475" s="36" t="str">
        <f t="shared" si="3"/>
        <v/>
      </c>
      <c r="P1475" s="15"/>
      <c r="Q1475" s="37" t="str">
        <f t="shared" si="4"/>
        <v/>
      </c>
      <c r="R1475" s="37" t="str">
        <f t="shared" si="5"/>
        <v/>
      </c>
      <c r="S1475" s="32" t="str">
        <f t="shared" si="6"/>
        <v/>
      </c>
      <c r="T1475" s="37" t="str">
        <f t="shared" si="7"/>
        <v/>
      </c>
      <c r="U1475" s="37" t="str">
        <f t="array" ref="U1475">IF($F1475="","",IFERROR(INDEX(Config!$F:$F,MATCH($F1475,Config!$D:$D,0)),0))</f>
        <v/>
      </c>
    </row>
    <row r="1476" ht="15.0" customHeight="1">
      <c r="A1476" s="34"/>
      <c r="B1476" s="35"/>
      <c r="C1476" s="15"/>
      <c r="D1476" s="15"/>
      <c r="E1476" s="15"/>
      <c r="F1476" s="15"/>
      <c r="G1476" s="36" t="str">
        <f t="array" ref="G1476">IF($F1476="","",IFERROR(INDEX(Config!$E:$E,MATCH($F1476,Config!$D:$D,0)),0))</f>
        <v/>
      </c>
      <c r="H1476" s="16"/>
      <c r="I1476" s="36" t="str">
        <f t="shared" si="1"/>
        <v/>
      </c>
      <c r="J1476" s="16"/>
      <c r="K1476" s="15"/>
      <c r="L1476" s="15"/>
      <c r="M1476" s="36" t="str">
        <f t="array" ref="M1476">IF($A1476="","",IF($L1476="Atendido",IFERROR($I1476*INDEX(Config!$B:$B,MATCH($C1476,Config!$A:$A,0)),0),0))</f>
        <v/>
      </c>
      <c r="N1476" s="36" t="str">
        <f t="shared" si="2"/>
        <v/>
      </c>
      <c r="O1476" s="36" t="str">
        <f t="shared" si="3"/>
        <v/>
      </c>
      <c r="P1476" s="15"/>
      <c r="Q1476" s="37" t="str">
        <f t="shared" si="4"/>
        <v/>
      </c>
      <c r="R1476" s="37" t="str">
        <f t="shared" si="5"/>
        <v/>
      </c>
      <c r="S1476" s="32" t="str">
        <f t="shared" si="6"/>
        <v/>
      </c>
      <c r="T1476" s="37" t="str">
        <f t="shared" si="7"/>
        <v/>
      </c>
      <c r="U1476" s="37" t="str">
        <f t="array" ref="U1476">IF($F1476="","",IFERROR(INDEX(Config!$F:$F,MATCH($F1476,Config!$D:$D,0)),0))</f>
        <v/>
      </c>
    </row>
    <row r="1477" ht="15.0" customHeight="1">
      <c r="A1477" s="34"/>
      <c r="B1477" s="35"/>
      <c r="C1477" s="15"/>
      <c r="D1477" s="15"/>
      <c r="E1477" s="15"/>
      <c r="F1477" s="15"/>
      <c r="G1477" s="36" t="str">
        <f t="array" ref="G1477">IF($F1477="","",IFERROR(INDEX(Config!$E:$E,MATCH($F1477,Config!$D:$D,0)),0))</f>
        <v/>
      </c>
      <c r="H1477" s="16"/>
      <c r="I1477" s="36" t="str">
        <f t="shared" si="1"/>
        <v/>
      </c>
      <c r="J1477" s="16"/>
      <c r="K1477" s="15"/>
      <c r="L1477" s="15"/>
      <c r="M1477" s="36" t="str">
        <f t="array" ref="M1477">IF($A1477="","",IF($L1477="Atendido",IFERROR($I1477*INDEX(Config!$B:$B,MATCH($C1477,Config!$A:$A,0)),0),0))</f>
        <v/>
      </c>
      <c r="N1477" s="36" t="str">
        <f t="shared" si="2"/>
        <v/>
      </c>
      <c r="O1477" s="36" t="str">
        <f t="shared" si="3"/>
        <v/>
      </c>
      <c r="P1477" s="15"/>
      <c r="Q1477" s="37" t="str">
        <f t="shared" si="4"/>
        <v/>
      </c>
      <c r="R1477" s="37" t="str">
        <f t="shared" si="5"/>
        <v/>
      </c>
      <c r="S1477" s="32" t="str">
        <f t="shared" si="6"/>
        <v/>
      </c>
      <c r="T1477" s="37" t="str">
        <f t="shared" si="7"/>
        <v/>
      </c>
      <c r="U1477" s="37" t="str">
        <f t="array" ref="U1477">IF($F1477="","",IFERROR(INDEX(Config!$F:$F,MATCH($F1477,Config!$D:$D,0)),0))</f>
        <v/>
      </c>
    </row>
    <row r="1478" ht="15.0" customHeight="1">
      <c r="A1478" s="34"/>
      <c r="B1478" s="35"/>
      <c r="C1478" s="15"/>
      <c r="D1478" s="15"/>
      <c r="E1478" s="15"/>
      <c r="F1478" s="15"/>
      <c r="G1478" s="36" t="str">
        <f t="array" ref="G1478">IF($F1478="","",IFERROR(INDEX(Config!$E:$E,MATCH($F1478,Config!$D:$D,0)),0))</f>
        <v/>
      </c>
      <c r="H1478" s="16"/>
      <c r="I1478" s="36" t="str">
        <f t="shared" si="1"/>
        <v/>
      </c>
      <c r="J1478" s="16"/>
      <c r="K1478" s="15"/>
      <c r="L1478" s="15"/>
      <c r="M1478" s="36" t="str">
        <f t="array" ref="M1478">IF($A1478="","",IF($L1478="Atendido",IFERROR($I1478*INDEX(Config!$B:$B,MATCH($C1478,Config!$A:$A,0)),0),0))</f>
        <v/>
      </c>
      <c r="N1478" s="36" t="str">
        <f t="shared" si="2"/>
        <v/>
      </c>
      <c r="O1478" s="36" t="str">
        <f t="shared" si="3"/>
        <v/>
      </c>
      <c r="P1478" s="15"/>
      <c r="Q1478" s="37" t="str">
        <f t="shared" si="4"/>
        <v/>
      </c>
      <c r="R1478" s="37" t="str">
        <f t="shared" si="5"/>
        <v/>
      </c>
      <c r="S1478" s="32" t="str">
        <f t="shared" si="6"/>
        <v/>
      </c>
      <c r="T1478" s="37" t="str">
        <f t="shared" si="7"/>
        <v/>
      </c>
      <c r="U1478" s="37" t="str">
        <f t="array" ref="U1478">IF($F1478="","",IFERROR(INDEX(Config!$F:$F,MATCH($F1478,Config!$D:$D,0)),0))</f>
        <v/>
      </c>
    </row>
    <row r="1479" ht="15.0" customHeight="1">
      <c r="A1479" s="34"/>
      <c r="B1479" s="35"/>
      <c r="C1479" s="15"/>
      <c r="D1479" s="15"/>
      <c r="E1479" s="15"/>
      <c r="F1479" s="15"/>
      <c r="G1479" s="36" t="str">
        <f t="array" ref="G1479">IF($F1479="","",IFERROR(INDEX(Config!$E:$E,MATCH($F1479,Config!$D:$D,0)),0))</f>
        <v/>
      </c>
      <c r="H1479" s="16"/>
      <c r="I1479" s="36" t="str">
        <f t="shared" si="1"/>
        <v/>
      </c>
      <c r="J1479" s="16"/>
      <c r="K1479" s="15"/>
      <c r="L1479" s="15"/>
      <c r="M1479" s="36" t="str">
        <f t="array" ref="M1479">IF($A1479="","",IF($L1479="Atendido",IFERROR($I1479*INDEX(Config!$B:$B,MATCH($C1479,Config!$A:$A,0)),0),0))</f>
        <v/>
      </c>
      <c r="N1479" s="36" t="str">
        <f t="shared" si="2"/>
        <v/>
      </c>
      <c r="O1479" s="36" t="str">
        <f t="shared" si="3"/>
        <v/>
      </c>
      <c r="P1479" s="15"/>
      <c r="Q1479" s="37" t="str">
        <f t="shared" si="4"/>
        <v/>
      </c>
      <c r="R1479" s="37" t="str">
        <f t="shared" si="5"/>
        <v/>
      </c>
      <c r="S1479" s="32" t="str">
        <f t="shared" si="6"/>
        <v/>
      </c>
      <c r="T1479" s="37" t="str">
        <f t="shared" si="7"/>
        <v/>
      </c>
      <c r="U1479" s="37" t="str">
        <f t="array" ref="U1479">IF($F1479="","",IFERROR(INDEX(Config!$F:$F,MATCH($F1479,Config!$D:$D,0)),0))</f>
        <v/>
      </c>
    </row>
    <row r="1480" ht="15.0" customHeight="1">
      <c r="A1480" s="34"/>
      <c r="B1480" s="35"/>
      <c r="C1480" s="15"/>
      <c r="D1480" s="15"/>
      <c r="E1480" s="15"/>
      <c r="F1480" s="15"/>
      <c r="G1480" s="36" t="str">
        <f t="array" ref="G1480">IF($F1480="","",IFERROR(INDEX(Config!$E:$E,MATCH($F1480,Config!$D:$D,0)),0))</f>
        <v/>
      </c>
      <c r="H1480" s="16"/>
      <c r="I1480" s="36" t="str">
        <f t="shared" si="1"/>
        <v/>
      </c>
      <c r="J1480" s="16"/>
      <c r="K1480" s="15"/>
      <c r="L1480" s="15"/>
      <c r="M1480" s="36" t="str">
        <f t="array" ref="M1480">IF($A1480="","",IF($L1480="Atendido",IFERROR($I1480*INDEX(Config!$B:$B,MATCH($C1480,Config!$A:$A,0)),0),0))</f>
        <v/>
      </c>
      <c r="N1480" s="36" t="str">
        <f t="shared" si="2"/>
        <v/>
      </c>
      <c r="O1480" s="36" t="str">
        <f t="shared" si="3"/>
        <v/>
      </c>
      <c r="P1480" s="15"/>
      <c r="Q1480" s="37" t="str">
        <f t="shared" si="4"/>
        <v/>
      </c>
      <c r="R1480" s="37" t="str">
        <f t="shared" si="5"/>
        <v/>
      </c>
      <c r="S1480" s="32" t="str">
        <f t="shared" si="6"/>
        <v/>
      </c>
      <c r="T1480" s="37" t="str">
        <f t="shared" si="7"/>
        <v/>
      </c>
      <c r="U1480" s="37" t="str">
        <f t="array" ref="U1480">IF($F1480="","",IFERROR(INDEX(Config!$F:$F,MATCH($F1480,Config!$D:$D,0)),0))</f>
        <v/>
      </c>
    </row>
    <row r="1481" ht="15.0" customHeight="1">
      <c r="A1481" s="34"/>
      <c r="B1481" s="35"/>
      <c r="C1481" s="15"/>
      <c r="D1481" s="15"/>
      <c r="E1481" s="15"/>
      <c r="F1481" s="15"/>
      <c r="G1481" s="36" t="str">
        <f t="array" ref="G1481">IF($F1481="","",IFERROR(INDEX(Config!$E:$E,MATCH($F1481,Config!$D:$D,0)),0))</f>
        <v/>
      </c>
      <c r="H1481" s="16"/>
      <c r="I1481" s="36" t="str">
        <f t="shared" si="1"/>
        <v/>
      </c>
      <c r="J1481" s="16"/>
      <c r="K1481" s="15"/>
      <c r="L1481" s="15"/>
      <c r="M1481" s="36" t="str">
        <f t="array" ref="M1481">IF($A1481="","",IF($L1481="Atendido",IFERROR($I1481*INDEX(Config!$B:$B,MATCH($C1481,Config!$A:$A,0)),0),0))</f>
        <v/>
      </c>
      <c r="N1481" s="36" t="str">
        <f t="shared" si="2"/>
        <v/>
      </c>
      <c r="O1481" s="36" t="str">
        <f t="shared" si="3"/>
        <v/>
      </c>
      <c r="P1481" s="15"/>
      <c r="Q1481" s="37" t="str">
        <f t="shared" si="4"/>
        <v/>
      </c>
      <c r="R1481" s="37" t="str">
        <f t="shared" si="5"/>
        <v/>
      </c>
      <c r="S1481" s="32" t="str">
        <f t="shared" si="6"/>
        <v/>
      </c>
      <c r="T1481" s="37" t="str">
        <f t="shared" si="7"/>
        <v/>
      </c>
      <c r="U1481" s="37" t="str">
        <f t="array" ref="U1481">IF($F1481="","",IFERROR(INDEX(Config!$F:$F,MATCH($F1481,Config!$D:$D,0)),0))</f>
        <v/>
      </c>
    </row>
    <row r="1482" ht="15.0" customHeight="1">
      <c r="A1482" s="34"/>
      <c r="B1482" s="35"/>
      <c r="C1482" s="15"/>
      <c r="D1482" s="15"/>
      <c r="E1482" s="15"/>
      <c r="F1482" s="15"/>
      <c r="G1482" s="36" t="str">
        <f t="array" ref="G1482">IF($F1482="","",IFERROR(INDEX(Config!$E:$E,MATCH($F1482,Config!$D:$D,0)),0))</f>
        <v/>
      </c>
      <c r="H1482" s="16"/>
      <c r="I1482" s="36" t="str">
        <f t="shared" si="1"/>
        <v/>
      </c>
      <c r="J1482" s="16"/>
      <c r="K1482" s="15"/>
      <c r="L1482" s="15"/>
      <c r="M1482" s="36" t="str">
        <f t="array" ref="M1482">IF($A1482="","",IF($L1482="Atendido",IFERROR($I1482*INDEX(Config!$B:$B,MATCH($C1482,Config!$A:$A,0)),0),0))</f>
        <v/>
      </c>
      <c r="N1482" s="36" t="str">
        <f t="shared" si="2"/>
        <v/>
      </c>
      <c r="O1482" s="36" t="str">
        <f t="shared" si="3"/>
        <v/>
      </c>
      <c r="P1482" s="15"/>
      <c r="Q1482" s="37" t="str">
        <f t="shared" si="4"/>
        <v/>
      </c>
      <c r="R1482" s="37" t="str">
        <f t="shared" si="5"/>
        <v/>
      </c>
      <c r="S1482" s="32" t="str">
        <f t="shared" si="6"/>
        <v/>
      </c>
      <c r="T1482" s="37" t="str">
        <f t="shared" si="7"/>
        <v/>
      </c>
      <c r="U1482" s="37" t="str">
        <f t="array" ref="U1482">IF($F1482="","",IFERROR(INDEX(Config!$F:$F,MATCH($F1482,Config!$D:$D,0)),0))</f>
        <v/>
      </c>
    </row>
    <row r="1483" ht="15.0" customHeight="1">
      <c r="A1483" s="34"/>
      <c r="B1483" s="35"/>
      <c r="C1483" s="15"/>
      <c r="D1483" s="15"/>
      <c r="E1483" s="15"/>
      <c r="F1483" s="15"/>
      <c r="G1483" s="36" t="str">
        <f t="array" ref="G1483">IF($F1483="","",IFERROR(INDEX(Config!$E:$E,MATCH($F1483,Config!$D:$D,0)),0))</f>
        <v/>
      </c>
      <c r="H1483" s="16"/>
      <c r="I1483" s="36" t="str">
        <f t="shared" si="1"/>
        <v/>
      </c>
      <c r="J1483" s="16"/>
      <c r="K1483" s="15"/>
      <c r="L1483" s="15"/>
      <c r="M1483" s="36" t="str">
        <f t="array" ref="M1483">IF($A1483="","",IF($L1483="Atendido",IFERROR($I1483*INDEX(Config!$B:$B,MATCH($C1483,Config!$A:$A,0)),0),0))</f>
        <v/>
      </c>
      <c r="N1483" s="36" t="str">
        <f t="shared" si="2"/>
        <v/>
      </c>
      <c r="O1483" s="36" t="str">
        <f t="shared" si="3"/>
        <v/>
      </c>
      <c r="P1483" s="15"/>
      <c r="Q1483" s="37" t="str">
        <f t="shared" si="4"/>
        <v/>
      </c>
      <c r="R1483" s="37" t="str">
        <f t="shared" si="5"/>
        <v/>
      </c>
      <c r="S1483" s="32" t="str">
        <f t="shared" si="6"/>
        <v/>
      </c>
      <c r="T1483" s="37" t="str">
        <f t="shared" si="7"/>
        <v/>
      </c>
      <c r="U1483" s="37" t="str">
        <f t="array" ref="U1483">IF($F1483="","",IFERROR(INDEX(Config!$F:$F,MATCH($F1483,Config!$D:$D,0)),0))</f>
        <v/>
      </c>
    </row>
    <row r="1484" ht="15.0" customHeight="1">
      <c r="A1484" s="34"/>
      <c r="B1484" s="35"/>
      <c r="C1484" s="15"/>
      <c r="D1484" s="15"/>
      <c r="E1484" s="15"/>
      <c r="F1484" s="15"/>
      <c r="G1484" s="36" t="str">
        <f t="array" ref="G1484">IF($F1484="","",IFERROR(INDEX(Config!$E:$E,MATCH($F1484,Config!$D:$D,0)),0))</f>
        <v/>
      </c>
      <c r="H1484" s="16"/>
      <c r="I1484" s="36" t="str">
        <f t="shared" si="1"/>
        <v/>
      </c>
      <c r="J1484" s="16"/>
      <c r="K1484" s="15"/>
      <c r="L1484" s="15"/>
      <c r="M1484" s="36" t="str">
        <f t="array" ref="M1484">IF($A1484="","",IF($L1484="Atendido",IFERROR($I1484*INDEX(Config!$B:$B,MATCH($C1484,Config!$A:$A,0)),0),0))</f>
        <v/>
      </c>
      <c r="N1484" s="36" t="str">
        <f t="shared" si="2"/>
        <v/>
      </c>
      <c r="O1484" s="36" t="str">
        <f t="shared" si="3"/>
        <v/>
      </c>
      <c r="P1484" s="15"/>
      <c r="Q1484" s="37" t="str">
        <f t="shared" si="4"/>
        <v/>
      </c>
      <c r="R1484" s="37" t="str">
        <f t="shared" si="5"/>
        <v/>
      </c>
      <c r="S1484" s="32" t="str">
        <f t="shared" si="6"/>
        <v/>
      </c>
      <c r="T1484" s="37" t="str">
        <f t="shared" si="7"/>
        <v/>
      </c>
      <c r="U1484" s="37" t="str">
        <f t="array" ref="U1484">IF($F1484="","",IFERROR(INDEX(Config!$F:$F,MATCH($F1484,Config!$D:$D,0)),0))</f>
        <v/>
      </c>
    </row>
    <row r="1485" ht="15.0" customHeight="1">
      <c r="A1485" s="34"/>
      <c r="B1485" s="35"/>
      <c r="C1485" s="15"/>
      <c r="D1485" s="15"/>
      <c r="E1485" s="15"/>
      <c r="F1485" s="15"/>
      <c r="G1485" s="36" t="str">
        <f t="array" ref="G1485">IF($F1485="","",IFERROR(INDEX(Config!$E:$E,MATCH($F1485,Config!$D:$D,0)),0))</f>
        <v/>
      </c>
      <c r="H1485" s="16"/>
      <c r="I1485" s="36" t="str">
        <f t="shared" si="1"/>
        <v/>
      </c>
      <c r="J1485" s="16"/>
      <c r="K1485" s="15"/>
      <c r="L1485" s="15"/>
      <c r="M1485" s="36" t="str">
        <f t="array" ref="M1485">IF($A1485="","",IF($L1485="Atendido",IFERROR($I1485*INDEX(Config!$B:$B,MATCH($C1485,Config!$A:$A,0)),0),0))</f>
        <v/>
      </c>
      <c r="N1485" s="36" t="str">
        <f t="shared" si="2"/>
        <v/>
      </c>
      <c r="O1485" s="36" t="str">
        <f t="shared" si="3"/>
        <v/>
      </c>
      <c r="P1485" s="15"/>
      <c r="Q1485" s="37" t="str">
        <f t="shared" si="4"/>
        <v/>
      </c>
      <c r="R1485" s="37" t="str">
        <f t="shared" si="5"/>
        <v/>
      </c>
      <c r="S1485" s="32" t="str">
        <f t="shared" si="6"/>
        <v/>
      </c>
      <c r="T1485" s="37" t="str">
        <f t="shared" si="7"/>
        <v/>
      </c>
      <c r="U1485" s="37" t="str">
        <f t="array" ref="U1485">IF($F1485="","",IFERROR(INDEX(Config!$F:$F,MATCH($F1485,Config!$D:$D,0)),0))</f>
        <v/>
      </c>
    </row>
    <row r="1486" ht="15.0" customHeight="1">
      <c r="A1486" s="34"/>
      <c r="B1486" s="35"/>
      <c r="C1486" s="15"/>
      <c r="D1486" s="15"/>
      <c r="E1486" s="15"/>
      <c r="F1486" s="15"/>
      <c r="G1486" s="36" t="str">
        <f t="array" ref="G1486">IF($F1486="","",IFERROR(INDEX(Config!$E:$E,MATCH($F1486,Config!$D:$D,0)),0))</f>
        <v/>
      </c>
      <c r="H1486" s="16"/>
      <c r="I1486" s="36" t="str">
        <f t="shared" si="1"/>
        <v/>
      </c>
      <c r="J1486" s="16"/>
      <c r="K1486" s="15"/>
      <c r="L1486" s="15"/>
      <c r="M1486" s="36" t="str">
        <f t="array" ref="M1486">IF($A1486="","",IF($L1486="Atendido",IFERROR($I1486*INDEX(Config!$B:$B,MATCH($C1486,Config!$A:$A,0)),0),0))</f>
        <v/>
      </c>
      <c r="N1486" s="36" t="str">
        <f t="shared" si="2"/>
        <v/>
      </c>
      <c r="O1486" s="36" t="str">
        <f t="shared" si="3"/>
        <v/>
      </c>
      <c r="P1486" s="15"/>
      <c r="Q1486" s="37" t="str">
        <f t="shared" si="4"/>
        <v/>
      </c>
      <c r="R1486" s="37" t="str">
        <f t="shared" si="5"/>
        <v/>
      </c>
      <c r="S1486" s="32" t="str">
        <f t="shared" si="6"/>
        <v/>
      </c>
      <c r="T1486" s="37" t="str">
        <f t="shared" si="7"/>
        <v/>
      </c>
      <c r="U1486" s="37" t="str">
        <f t="array" ref="U1486">IF($F1486="","",IFERROR(INDEX(Config!$F:$F,MATCH($F1486,Config!$D:$D,0)),0))</f>
        <v/>
      </c>
    </row>
    <row r="1487" ht="15.0" customHeight="1">
      <c r="A1487" s="34"/>
      <c r="B1487" s="35"/>
      <c r="C1487" s="15"/>
      <c r="D1487" s="15"/>
      <c r="E1487" s="15"/>
      <c r="F1487" s="15"/>
      <c r="G1487" s="36" t="str">
        <f t="array" ref="G1487">IF($F1487="","",IFERROR(INDEX(Config!$E:$E,MATCH($F1487,Config!$D:$D,0)),0))</f>
        <v/>
      </c>
      <c r="H1487" s="16"/>
      <c r="I1487" s="36" t="str">
        <f t="shared" si="1"/>
        <v/>
      </c>
      <c r="J1487" s="16"/>
      <c r="K1487" s="15"/>
      <c r="L1487" s="15"/>
      <c r="M1487" s="36" t="str">
        <f t="array" ref="M1487">IF($A1487="","",IF($L1487="Atendido",IFERROR($I1487*INDEX(Config!$B:$B,MATCH($C1487,Config!$A:$A,0)),0),0))</f>
        <v/>
      </c>
      <c r="N1487" s="36" t="str">
        <f t="shared" si="2"/>
        <v/>
      </c>
      <c r="O1487" s="36" t="str">
        <f t="shared" si="3"/>
        <v/>
      </c>
      <c r="P1487" s="15"/>
      <c r="Q1487" s="37" t="str">
        <f t="shared" si="4"/>
        <v/>
      </c>
      <c r="R1487" s="37" t="str">
        <f t="shared" si="5"/>
        <v/>
      </c>
      <c r="S1487" s="32" t="str">
        <f t="shared" si="6"/>
        <v/>
      </c>
      <c r="T1487" s="37" t="str">
        <f t="shared" si="7"/>
        <v/>
      </c>
      <c r="U1487" s="37" t="str">
        <f t="array" ref="U1487">IF($F1487="","",IFERROR(INDEX(Config!$F:$F,MATCH($F1487,Config!$D:$D,0)),0))</f>
        <v/>
      </c>
    </row>
    <row r="1488" ht="15.0" customHeight="1">
      <c r="A1488" s="34"/>
      <c r="B1488" s="35"/>
      <c r="C1488" s="15"/>
      <c r="D1488" s="15"/>
      <c r="E1488" s="15"/>
      <c r="F1488" s="15"/>
      <c r="G1488" s="36" t="str">
        <f t="array" ref="G1488">IF($F1488="","",IFERROR(INDEX(Config!$E:$E,MATCH($F1488,Config!$D:$D,0)),0))</f>
        <v/>
      </c>
      <c r="H1488" s="16"/>
      <c r="I1488" s="36" t="str">
        <f t="shared" si="1"/>
        <v/>
      </c>
      <c r="J1488" s="16"/>
      <c r="K1488" s="15"/>
      <c r="L1488" s="15"/>
      <c r="M1488" s="36" t="str">
        <f t="array" ref="M1488">IF($A1488="","",IF($L1488="Atendido",IFERROR($I1488*INDEX(Config!$B:$B,MATCH($C1488,Config!$A:$A,0)),0),0))</f>
        <v/>
      </c>
      <c r="N1488" s="36" t="str">
        <f t="shared" si="2"/>
        <v/>
      </c>
      <c r="O1488" s="36" t="str">
        <f t="shared" si="3"/>
        <v/>
      </c>
      <c r="P1488" s="15"/>
      <c r="Q1488" s="37" t="str">
        <f t="shared" si="4"/>
        <v/>
      </c>
      <c r="R1488" s="37" t="str">
        <f t="shared" si="5"/>
        <v/>
      </c>
      <c r="S1488" s="32" t="str">
        <f t="shared" si="6"/>
        <v/>
      </c>
      <c r="T1488" s="37" t="str">
        <f t="shared" si="7"/>
        <v/>
      </c>
      <c r="U1488" s="37" t="str">
        <f t="array" ref="U1488">IF($F1488="","",IFERROR(INDEX(Config!$F:$F,MATCH($F1488,Config!$D:$D,0)),0))</f>
        <v/>
      </c>
    </row>
    <row r="1489" ht="15.0" customHeight="1">
      <c r="A1489" s="34"/>
      <c r="B1489" s="35"/>
      <c r="C1489" s="15"/>
      <c r="D1489" s="15"/>
      <c r="E1489" s="15"/>
      <c r="F1489" s="15"/>
      <c r="G1489" s="36" t="str">
        <f t="array" ref="G1489">IF($F1489="","",IFERROR(INDEX(Config!$E:$E,MATCH($F1489,Config!$D:$D,0)),0))</f>
        <v/>
      </c>
      <c r="H1489" s="16"/>
      <c r="I1489" s="36" t="str">
        <f t="shared" si="1"/>
        <v/>
      </c>
      <c r="J1489" s="16"/>
      <c r="K1489" s="15"/>
      <c r="L1489" s="15"/>
      <c r="M1489" s="36" t="str">
        <f t="array" ref="M1489">IF($A1489="","",IF($L1489="Atendido",IFERROR($I1489*INDEX(Config!$B:$B,MATCH($C1489,Config!$A:$A,0)),0),0))</f>
        <v/>
      </c>
      <c r="N1489" s="36" t="str">
        <f t="shared" si="2"/>
        <v/>
      </c>
      <c r="O1489" s="36" t="str">
        <f t="shared" si="3"/>
        <v/>
      </c>
      <c r="P1489" s="15"/>
      <c r="Q1489" s="37" t="str">
        <f t="shared" si="4"/>
        <v/>
      </c>
      <c r="R1489" s="37" t="str">
        <f t="shared" si="5"/>
        <v/>
      </c>
      <c r="S1489" s="32" t="str">
        <f t="shared" si="6"/>
        <v/>
      </c>
      <c r="T1489" s="37" t="str">
        <f t="shared" si="7"/>
        <v/>
      </c>
      <c r="U1489" s="37" t="str">
        <f t="array" ref="U1489">IF($F1489="","",IFERROR(INDEX(Config!$F:$F,MATCH($F1489,Config!$D:$D,0)),0))</f>
        <v/>
      </c>
    </row>
    <row r="1490" ht="15.0" customHeight="1">
      <c r="A1490" s="34"/>
      <c r="B1490" s="35"/>
      <c r="C1490" s="15"/>
      <c r="D1490" s="15"/>
      <c r="E1490" s="15"/>
      <c r="F1490" s="15"/>
      <c r="G1490" s="36" t="str">
        <f t="array" ref="G1490">IF($F1490="","",IFERROR(INDEX(Config!$E:$E,MATCH($F1490,Config!$D:$D,0)),0))</f>
        <v/>
      </c>
      <c r="H1490" s="16"/>
      <c r="I1490" s="36" t="str">
        <f t="shared" si="1"/>
        <v/>
      </c>
      <c r="J1490" s="16"/>
      <c r="K1490" s="15"/>
      <c r="L1490" s="15"/>
      <c r="M1490" s="36" t="str">
        <f t="array" ref="M1490">IF($A1490="","",IF($L1490="Atendido",IFERROR($I1490*INDEX(Config!$B:$B,MATCH($C1490,Config!$A:$A,0)),0),0))</f>
        <v/>
      </c>
      <c r="N1490" s="36" t="str">
        <f t="shared" si="2"/>
        <v/>
      </c>
      <c r="O1490" s="36" t="str">
        <f t="shared" si="3"/>
        <v/>
      </c>
      <c r="P1490" s="15"/>
      <c r="Q1490" s="37" t="str">
        <f t="shared" si="4"/>
        <v/>
      </c>
      <c r="R1490" s="37" t="str">
        <f t="shared" si="5"/>
        <v/>
      </c>
      <c r="S1490" s="32" t="str">
        <f t="shared" si="6"/>
        <v/>
      </c>
      <c r="T1490" s="37" t="str">
        <f t="shared" si="7"/>
        <v/>
      </c>
      <c r="U1490" s="37" t="str">
        <f t="array" ref="U1490">IF($F1490="","",IFERROR(INDEX(Config!$F:$F,MATCH($F1490,Config!$D:$D,0)),0))</f>
        <v/>
      </c>
    </row>
    <row r="1491" ht="15.0" customHeight="1">
      <c r="A1491" s="34"/>
      <c r="B1491" s="35"/>
      <c r="C1491" s="15"/>
      <c r="D1491" s="15"/>
      <c r="E1491" s="15"/>
      <c r="F1491" s="15"/>
      <c r="G1491" s="36" t="str">
        <f t="array" ref="G1491">IF($F1491="","",IFERROR(INDEX(Config!$E:$E,MATCH($F1491,Config!$D:$D,0)),0))</f>
        <v/>
      </c>
      <c r="H1491" s="16"/>
      <c r="I1491" s="36" t="str">
        <f t="shared" si="1"/>
        <v/>
      </c>
      <c r="J1491" s="16"/>
      <c r="K1491" s="15"/>
      <c r="L1491" s="15"/>
      <c r="M1491" s="36" t="str">
        <f t="array" ref="M1491">IF($A1491="","",IF($L1491="Atendido",IFERROR($I1491*INDEX(Config!$B:$B,MATCH($C1491,Config!$A:$A,0)),0),0))</f>
        <v/>
      </c>
      <c r="N1491" s="36" t="str">
        <f t="shared" si="2"/>
        <v/>
      </c>
      <c r="O1491" s="36" t="str">
        <f t="shared" si="3"/>
        <v/>
      </c>
      <c r="P1491" s="15"/>
      <c r="Q1491" s="37" t="str">
        <f t="shared" si="4"/>
        <v/>
      </c>
      <c r="R1491" s="37" t="str">
        <f t="shared" si="5"/>
        <v/>
      </c>
      <c r="S1491" s="32" t="str">
        <f t="shared" si="6"/>
        <v/>
      </c>
      <c r="T1491" s="37" t="str">
        <f t="shared" si="7"/>
        <v/>
      </c>
      <c r="U1491" s="37" t="str">
        <f t="array" ref="U1491">IF($F1491="","",IFERROR(INDEX(Config!$F:$F,MATCH($F1491,Config!$D:$D,0)),0))</f>
        <v/>
      </c>
    </row>
    <row r="1492" ht="15.0" customHeight="1">
      <c r="A1492" s="34"/>
      <c r="B1492" s="35"/>
      <c r="C1492" s="15"/>
      <c r="D1492" s="15"/>
      <c r="E1492" s="15"/>
      <c r="F1492" s="15"/>
      <c r="G1492" s="36" t="str">
        <f t="array" ref="G1492">IF($F1492="","",IFERROR(INDEX(Config!$E:$E,MATCH($F1492,Config!$D:$D,0)),0))</f>
        <v/>
      </c>
      <c r="H1492" s="16"/>
      <c r="I1492" s="36" t="str">
        <f t="shared" si="1"/>
        <v/>
      </c>
      <c r="J1492" s="16"/>
      <c r="K1492" s="15"/>
      <c r="L1492" s="15"/>
      <c r="M1492" s="36" t="str">
        <f t="array" ref="M1492">IF($A1492="","",IF($L1492="Atendido",IFERROR($I1492*INDEX(Config!$B:$B,MATCH($C1492,Config!$A:$A,0)),0),0))</f>
        <v/>
      </c>
      <c r="N1492" s="36" t="str">
        <f t="shared" si="2"/>
        <v/>
      </c>
      <c r="O1492" s="36" t="str">
        <f t="shared" si="3"/>
        <v/>
      </c>
      <c r="P1492" s="15"/>
      <c r="Q1492" s="37" t="str">
        <f t="shared" si="4"/>
        <v/>
      </c>
      <c r="R1492" s="37" t="str">
        <f t="shared" si="5"/>
        <v/>
      </c>
      <c r="S1492" s="32" t="str">
        <f t="shared" si="6"/>
        <v/>
      </c>
      <c r="T1492" s="37" t="str">
        <f t="shared" si="7"/>
        <v/>
      </c>
      <c r="U1492" s="37" t="str">
        <f t="array" ref="U1492">IF($F1492="","",IFERROR(INDEX(Config!$F:$F,MATCH($F1492,Config!$D:$D,0)),0))</f>
        <v/>
      </c>
    </row>
    <row r="1493" ht="15.0" customHeight="1">
      <c r="A1493" s="34"/>
      <c r="B1493" s="35"/>
      <c r="C1493" s="15"/>
      <c r="D1493" s="15"/>
      <c r="E1493" s="15"/>
      <c r="F1493" s="15"/>
      <c r="G1493" s="36" t="str">
        <f t="array" ref="G1493">IF($F1493="","",IFERROR(INDEX(Config!$E:$E,MATCH($F1493,Config!$D:$D,0)),0))</f>
        <v/>
      </c>
      <c r="H1493" s="16"/>
      <c r="I1493" s="36" t="str">
        <f t="shared" si="1"/>
        <v/>
      </c>
      <c r="J1493" s="16"/>
      <c r="K1493" s="15"/>
      <c r="L1493" s="15"/>
      <c r="M1493" s="36" t="str">
        <f t="array" ref="M1493">IF($A1493="","",IF($L1493="Atendido",IFERROR($I1493*INDEX(Config!$B:$B,MATCH($C1493,Config!$A:$A,0)),0),0))</f>
        <v/>
      </c>
      <c r="N1493" s="36" t="str">
        <f t="shared" si="2"/>
        <v/>
      </c>
      <c r="O1493" s="36" t="str">
        <f t="shared" si="3"/>
        <v/>
      </c>
      <c r="P1493" s="15"/>
      <c r="Q1493" s="37" t="str">
        <f t="shared" si="4"/>
        <v/>
      </c>
      <c r="R1493" s="37" t="str">
        <f t="shared" si="5"/>
        <v/>
      </c>
      <c r="S1493" s="32" t="str">
        <f t="shared" si="6"/>
        <v/>
      </c>
      <c r="T1493" s="37" t="str">
        <f t="shared" si="7"/>
        <v/>
      </c>
      <c r="U1493" s="37" t="str">
        <f t="array" ref="U1493">IF($F1493="","",IFERROR(INDEX(Config!$F:$F,MATCH($F1493,Config!$D:$D,0)),0))</f>
        <v/>
      </c>
    </row>
    <row r="1494" ht="15.0" customHeight="1">
      <c r="A1494" s="34"/>
      <c r="B1494" s="35"/>
      <c r="C1494" s="15"/>
      <c r="D1494" s="15"/>
      <c r="E1494" s="15"/>
      <c r="F1494" s="15"/>
      <c r="G1494" s="36" t="str">
        <f t="array" ref="G1494">IF($F1494="","",IFERROR(INDEX(Config!$E:$E,MATCH($F1494,Config!$D:$D,0)),0))</f>
        <v/>
      </c>
      <c r="H1494" s="16"/>
      <c r="I1494" s="36" t="str">
        <f t="shared" si="1"/>
        <v/>
      </c>
      <c r="J1494" s="16"/>
      <c r="K1494" s="15"/>
      <c r="L1494" s="15"/>
      <c r="M1494" s="36" t="str">
        <f t="array" ref="M1494">IF($A1494="","",IF($L1494="Atendido",IFERROR($I1494*INDEX(Config!$B:$B,MATCH($C1494,Config!$A:$A,0)),0),0))</f>
        <v/>
      </c>
      <c r="N1494" s="36" t="str">
        <f t="shared" si="2"/>
        <v/>
      </c>
      <c r="O1494" s="36" t="str">
        <f t="shared" si="3"/>
        <v/>
      </c>
      <c r="P1494" s="15"/>
      <c r="Q1494" s="37" t="str">
        <f t="shared" si="4"/>
        <v/>
      </c>
      <c r="R1494" s="37" t="str">
        <f t="shared" si="5"/>
        <v/>
      </c>
      <c r="S1494" s="32" t="str">
        <f t="shared" si="6"/>
        <v/>
      </c>
      <c r="T1494" s="37" t="str">
        <f t="shared" si="7"/>
        <v/>
      </c>
      <c r="U1494" s="37" t="str">
        <f t="array" ref="U1494">IF($F1494="","",IFERROR(INDEX(Config!$F:$F,MATCH($F1494,Config!$D:$D,0)),0))</f>
        <v/>
      </c>
    </row>
    <row r="1495" ht="15.0" customHeight="1">
      <c r="A1495" s="34"/>
      <c r="B1495" s="35"/>
      <c r="C1495" s="15"/>
      <c r="D1495" s="15"/>
      <c r="E1495" s="15"/>
      <c r="F1495" s="15"/>
      <c r="G1495" s="36" t="str">
        <f t="array" ref="G1495">IF($F1495="","",IFERROR(INDEX(Config!$E:$E,MATCH($F1495,Config!$D:$D,0)),0))</f>
        <v/>
      </c>
      <c r="H1495" s="16"/>
      <c r="I1495" s="36" t="str">
        <f t="shared" si="1"/>
        <v/>
      </c>
      <c r="J1495" s="16"/>
      <c r="K1495" s="15"/>
      <c r="L1495" s="15"/>
      <c r="M1495" s="36" t="str">
        <f t="array" ref="M1495">IF($A1495="","",IF($L1495="Atendido",IFERROR($I1495*INDEX(Config!$B:$B,MATCH($C1495,Config!$A:$A,0)),0),0))</f>
        <v/>
      </c>
      <c r="N1495" s="36" t="str">
        <f t="shared" si="2"/>
        <v/>
      </c>
      <c r="O1495" s="36" t="str">
        <f t="shared" si="3"/>
        <v/>
      </c>
      <c r="P1495" s="15"/>
      <c r="Q1495" s="37" t="str">
        <f t="shared" si="4"/>
        <v/>
      </c>
      <c r="R1495" s="37" t="str">
        <f t="shared" si="5"/>
        <v/>
      </c>
      <c r="S1495" s="32" t="str">
        <f t="shared" si="6"/>
        <v/>
      </c>
      <c r="T1495" s="37" t="str">
        <f t="shared" si="7"/>
        <v/>
      </c>
      <c r="U1495" s="37" t="str">
        <f t="array" ref="U1495">IF($F1495="","",IFERROR(INDEX(Config!$F:$F,MATCH($F1495,Config!$D:$D,0)),0))</f>
        <v/>
      </c>
    </row>
    <row r="1496" ht="15.0" customHeight="1">
      <c r="A1496" s="34"/>
      <c r="B1496" s="35"/>
      <c r="C1496" s="15"/>
      <c r="D1496" s="15"/>
      <c r="E1496" s="15"/>
      <c r="F1496" s="15"/>
      <c r="G1496" s="36" t="str">
        <f t="array" ref="G1496">IF($F1496="","",IFERROR(INDEX(Config!$E:$E,MATCH($F1496,Config!$D:$D,0)),0))</f>
        <v/>
      </c>
      <c r="H1496" s="16"/>
      <c r="I1496" s="36" t="str">
        <f t="shared" si="1"/>
        <v/>
      </c>
      <c r="J1496" s="16"/>
      <c r="K1496" s="15"/>
      <c r="L1496" s="15"/>
      <c r="M1496" s="36" t="str">
        <f t="array" ref="M1496">IF($A1496="","",IF($L1496="Atendido",IFERROR($I1496*INDEX(Config!$B:$B,MATCH($C1496,Config!$A:$A,0)),0),0))</f>
        <v/>
      </c>
      <c r="N1496" s="36" t="str">
        <f t="shared" si="2"/>
        <v/>
      </c>
      <c r="O1496" s="36" t="str">
        <f t="shared" si="3"/>
        <v/>
      </c>
      <c r="P1496" s="15"/>
      <c r="Q1496" s="37" t="str">
        <f t="shared" si="4"/>
        <v/>
      </c>
      <c r="R1496" s="37" t="str">
        <f t="shared" si="5"/>
        <v/>
      </c>
      <c r="S1496" s="32" t="str">
        <f t="shared" si="6"/>
        <v/>
      </c>
      <c r="T1496" s="37" t="str">
        <f t="shared" si="7"/>
        <v/>
      </c>
      <c r="U1496" s="37" t="str">
        <f t="array" ref="U1496">IF($F1496="","",IFERROR(INDEX(Config!$F:$F,MATCH($F1496,Config!$D:$D,0)),0))</f>
        <v/>
      </c>
    </row>
    <row r="1497" ht="15.0" customHeight="1">
      <c r="A1497" s="34"/>
      <c r="B1497" s="35"/>
      <c r="C1497" s="15"/>
      <c r="D1497" s="15"/>
      <c r="E1497" s="15"/>
      <c r="F1497" s="15"/>
      <c r="G1497" s="36" t="str">
        <f t="array" ref="G1497">IF($F1497="","",IFERROR(INDEX(Config!$E:$E,MATCH($F1497,Config!$D:$D,0)),0))</f>
        <v/>
      </c>
      <c r="H1497" s="16"/>
      <c r="I1497" s="36" t="str">
        <f t="shared" si="1"/>
        <v/>
      </c>
      <c r="J1497" s="16"/>
      <c r="K1497" s="15"/>
      <c r="L1497" s="15"/>
      <c r="M1497" s="36" t="str">
        <f t="array" ref="M1497">IF($A1497="","",IF($L1497="Atendido",IFERROR($I1497*INDEX(Config!$B:$B,MATCH($C1497,Config!$A:$A,0)),0),0))</f>
        <v/>
      </c>
      <c r="N1497" s="36" t="str">
        <f t="shared" si="2"/>
        <v/>
      </c>
      <c r="O1497" s="36" t="str">
        <f t="shared" si="3"/>
        <v/>
      </c>
      <c r="P1497" s="15"/>
      <c r="Q1497" s="37" t="str">
        <f t="shared" si="4"/>
        <v/>
      </c>
      <c r="R1497" s="37" t="str">
        <f t="shared" si="5"/>
        <v/>
      </c>
      <c r="S1497" s="32" t="str">
        <f t="shared" si="6"/>
        <v/>
      </c>
      <c r="T1497" s="37" t="str">
        <f t="shared" si="7"/>
        <v/>
      </c>
      <c r="U1497" s="37" t="str">
        <f t="array" ref="U1497">IF($F1497="","",IFERROR(INDEX(Config!$F:$F,MATCH($F1497,Config!$D:$D,0)),0))</f>
        <v/>
      </c>
    </row>
    <row r="1498" ht="15.0" customHeight="1">
      <c r="A1498" s="34"/>
      <c r="B1498" s="35"/>
      <c r="C1498" s="15"/>
      <c r="D1498" s="15"/>
      <c r="E1498" s="15"/>
      <c r="F1498" s="15"/>
      <c r="G1498" s="36" t="str">
        <f t="array" ref="G1498">IF($F1498="","",IFERROR(INDEX(Config!$E:$E,MATCH($F1498,Config!$D:$D,0)),0))</f>
        <v/>
      </c>
      <c r="H1498" s="16"/>
      <c r="I1498" s="36" t="str">
        <f t="shared" si="1"/>
        <v/>
      </c>
      <c r="J1498" s="16"/>
      <c r="K1498" s="15"/>
      <c r="L1498" s="15"/>
      <c r="M1498" s="36" t="str">
        <f t="array" ref="M1498">IF($A1498="","",IF($L1498="Atendido",IFERROR($I1498*INDEX(Config!$B:$B,MATCH($C1498,Config!$A:$A,0)),0),0))</f>
        <v/>
      </c>
      <c r="N1498" s="36" t="str">
        <f t="shared" si="2"/>
        <v/>
      </c>
      <c r="O1498" s="36" t="str">
        <f t="shared" si="3"/>
        <v/>
      </c>
      <c r="P1498" s="15"/>
      <c r="Q1498" s="37" t="str">
        <f t="shared" si="4"/>
        <v/>
      </c>
      <c r="R1498" s="37" t="str">
        <f t="shared" si="5"/>
        <v/>
      </c>
      <c r="S1498" s="32" t="str">
        <f t="shared" si="6"/>
        <v/>
      </c>
      <c r="T1498" s="37" t="str">
        <f t="shared" si="7"/>
        <v/>
      </c>
      <c r="U1498" s="37" t="str">
        <f t="array" ref="U1498">IF($F1498="","",IFERROR(INDEX(Config!$F:$F,MATCH($F1498,Config!$D:$D,0)),0))</f>
        <v/>
      </c>
    </row>
    <row r="1499" ht="15.0" customHeight="1">
      <c r="A1499" s="34"/>
      <c r="B1499" s="35"/>
      <c r="C1499" s="15"/>
      <c r="D1499" s="15"/>
      <c r="E1499" s="15"/>
      <c r="F1499" s="15"/>
      <c r="G1499" s="36" t="str">
        <f t="array" ref="G1499">IF($F1499="","",IFERROR(INDEX(Config!$E:$E,MATCH($F1499,Config!$D:$D,0)),0))</f>
        <v/>
      </c>
      <c r="H1499" s="16"/>
      <c r="I1499" s="36" t="str">
        <f t="shared" si="1"/>
        <v/>
      </c>
      <c r="J1499" s="16"/>
      <c r="K1499" s="15"/>
      <c r="L1499" s="15"/>
      <c r="M1499" s="36" t="str">
        <f t="array" ref="M1499">IF($A1499="","",IF($L1499="Atendido",IFERROR($I1499*INDEX(Config!$B:$B,MATCH($C1499,Config!$A:$A,0)),0),0))</f>
        <v/>
      </c>
      <c r="N1499" s="36" t="str">
        <f t="shared" si="2"/>
        <v/>
      </c>
      <c r="O1499" s="36" t="str">
        <f t="shared" si="3"/>
        <v/>
      </c>
      <c r="P1499" s="15"/>
      <c r="Q1499" s="37" t="str">
        <f t="shared" si="4"/>
        <v/>
      </c>
      <c r="R1499" s="37" t="str">
        <f t="shared" si="5"/>
        <v/>
      </c>
      <c r="S1499" s="32" t="str">
        <f t="shared" si="6"/>
        <v/>
      </c>
      <c r="T1499" s="37" t="str">
        <f t="shared" si="7"/>
        <v/>
      </c>
      <c r="U1499" s="37" t="str">
        <f t="array" ref="U1499">IF($F1499="","",IFERROR(INDEX(Config!$F:$F,MATCH($F1499,Config!$D:$D,0)),0))</f>
        <v/>
      </c>
    </row>
    <row r="1500" ht="15.0" customHeight="1">
      <c r="A1500" s="34"/>
      <c r="B1500" s="35"/>
      <c r="C1500" s="15"/>
      <c r="D1500" s="15"/>
      <c r="E1500" s="15"/>
      <c r="F1500" s="15"/>
      <c r="G1500" s="36" t="str">
        <f t="array" ref="G1500">IF($F1500="","",IFERROR(INDEX(Config!$E:$E,MATCH($F1500,Config!$D:$D,0)),0))</f>
        <v/>
      </c>
      <c r="H1500" s="16"/>
      <c r="I1500" s="36" t="str">
        <f t="shared" si="1"/>
        <v/>
      </c>
      <c r="J1500" s="16"/>
      <c r="K1500" s="15"/>
      <c r="L1500" s="15"/>
      <c r="M1500" s="36" t="str">
        <f t="array" ref="M1500">IF($A1500="","",IF($L1500="Atendido",IFERROR($I1500*INDEX(Config!$B:$B,MATCH($C1500,Config!$A:$A,0)),0),0))</f>
        <v/>
      </c>
      <c r="N1500" s="36" t="str">
        <f t="shared" si="2"/>
        <v/>
      </c>
      <c r="O1500" s="36" t="str">
        <f t="shared" si="3"/>
        <v/>
      </c>
      <c r="P1500" s="15"/>
      <c r="Q1500" s="37" t="str">
        <f t="shared" si="4"/>
        <v/>
      </c>
      <c r="R1500" s="37" t="str">
        <f t="shared" si="5"/>
        <v/>
      </c>
      <c r="S1500" s="32" t="str">
        <f t="shared" si="6"/>
        <v/>
      </c>
      <c r="T1500" s="37" t="str">
        <f t="shared" si="7"/>
        <v/>
      </c>
      <c r="U1500" s="37" t="str">
        <f t="array" ref="U1500">IF($F1500="","",IFERROR(INDEX(Config!$F:$F,MATCH($F1500,Config!$D:$D,0)),0))</f>
        <v/>
      </c>
    </row>
    <row r="1501" ht="15.0" customHeight="1">
      <c r="A1501" s="34"/>
      <c r="B1501" s="35"/>
      <c r="C1501" s="15"/>
      <c r="D1501" s="15"/>
      <c r="E1501" s="15"/>
      <c r="F1501" s="15"/>
      <c r="G1501" s="36" t="str">
        <f t="array" ref="G1501">IF($F1501="","",IFERROR(INDEX(Config!$E:$E,MATCH($F1501,Config!$D:$D,0)),0))</f>
        <v/>
      </c>
      <c r="H1501" s="16"/>
      <c r="I1501" s="36" t="str">
        <f t="shared" si="1"/>
        <v/>
      </c>
      <c r="J1501" s="16"/>
      <c r="K1501" s="15"/>
      <c r="L1501" s="15"/>
      <c r="M1501" s="36" t="str">
        <f t="array" ref="M1501">IF($A1501="","",IF($L1501="Atendido",IFERROR($I1501*INDEX(Config!$B:$B,MATCH($C1501,Config!$A:$A,0)),0),0))</f>
        <v/>
      </c>
      <c r="N1501" s="36" t="str">
        <f t="shared" si="2"/>
        <v/>
      </c>
      <c r="O1501" s="36" t="str">
        <f t="shared" si="3"/>
        <v/>
      </c>
      <c r="P1501" s="15"/>
      <c r="Q1501" s="37" t="str">
        <f t="shared" si="4"/>
        <v/>
      </c>
      <c r="R1501" s="37" t="str">
        <f t="shared" si="5"/>
        <v/>
      </c>
      <c r="S1501" s="32" t="str">
        <f t="shared" si="6"/>
        <v/>
      </c>
      <c r="T1501" s="37" t="str">
        <f t="shared" si="7"/>
        <v/>
      </c>
      <c r="U1501" s="37" t="str">
        <f t="array" ref="U1501">IF($F1501="","",IFERROR(INDEX(Config!$F:$F,MATCH($F1501,Config!$D:$D,0)),0))</f>
        <v/>
      </c>
    </row>
    <row r="1502" ht="15.0" customHeight="1">
      <c r="A1502" s="34"/>
      <c r="B1502" s="35"/>
      <c r="C1502" s="15"/>
      <c r="D1502" s="15"/>
      <c r="E1502" s="15"/>
      <c r="F1502" s="15"/>
      <c r="G1502" s="36" t="str">
        <f t="array" ref="G1502">IF($F1502="","",IFERROR(INDEX(Config!$E:$E,MATCH($F1502,Config!$D:$D,0)),0))</f>
        <v/>
      </c>
      <c r="H1502" s="16"/>
      <c r="I1502" s="36" t="str">
        <f t="shared" si="1"/>
        <v/>
      </c>
      <c r="J1502" s="16"/>
      <c r="K1502" s="15"/>
      <c r="L1502" s="15"/>
      <c r="M1502" s="36" t="str">
        <f t="array" ref="M1502">IF($A1502="","",IF($L1502="Atendido",IFERROR($I1502*INDEX(Config!$B:$B,MATCH($C1502,Config!$A:$A,0)),0),0))</f>
        <v/>
      </c>
      <c r="N1502" s="36" t="str">
        <f t="shared" si="2"/>
        <v/>
      </c>
      <c r="O1502" s="36" t="str">
        <f t="shared" si="3"/>
        <v/>
      </c>
      <c r="P1502" s="15"/>
      <c r="Q1502" s="37" t="str">
        <f t="shared" si="4"/>
        <v/>
      </c>
      <c r="R1502" s="37" t="str">
        <f t="shared" si="5"/>
        <v/>
      </c>
      <c r="S1502" s="32" t="str">
        <f t="shared" si="6"/>
        <v/>
      </c>
      <c r="T1502" s="37" t="str">
        <f t="shared" si="7"/>
        <v/>
      </c>
      <c r="U1502" s="37" t="str">
        <f t="array" ref="U1502">IF($F1502="","",IFERROR(INDEX(Config!$F:$F,MATCH($F1502,Config!$D:$D,0)),0))</f>
        <v/>
      </c>
    </row>
    <row r="1503" ht="15.0" customHeight="1">
      <c r="A1503" s="34"/>
      <c r="B1503" s="35"/>
      <c r="C1503" s="15"/>
      <c r="D1503" s="15"/>
      <c r="E1503" s="15"/>
      <c r="F1503" s="15"/>
      <c r="G1503" s="36" t="str">
        <f t="array" ref="G1503">IF($F1503="","",IFERROR(INDEX(Config!$E:$E,MATCH($F1503,Config!$D:$D,0)),0))</f>
        <v/>
      </c>
      <c r="H1503" s="16"/>
      <c r="I1503" s="36" t="str">
        <f t="shared" si="1"/>
        <v/>
      </c>
      <c r="J1503" s="16"/>
      <c r="K1503" s="15"/>
      <c r="L1503" s="15"/>
      <c r="M1503" s="36" t="str">
        <f t="array" ref="M1503">IF($A1503="","",IF($L1503="Atendido",IFERROR($I1503*INDEX(Config!$B:$B,MATCH($C1503,Config!$A:$A,0)),0),0))</f>
        <v/>
      </c>
      <c r="N1503" s="36" t="str">
        <f t="shared" si="2"/>
        <v/>
      </c>
      <c r="O1503" s="36" t="str">
        <f t="shared" si="3"/>
        <v/>
      </c>
      <c r="P1503" s="15"/>
      <c r="Q1503" s="37" t="str">
        <f t="shared" si="4"/>
        <v/>
      </c>
      <c r="R1503" s="37" t="str">
        <f t="shared" si="5"/>
        <v/>
      </c>
      <c r="S1503" s="32" t="str">
        <f t="shared" si="6"/>
        <v/>
      </c>
      <c r="T1503" s="37" t="str">
        <f t="shared" si="7"/>
        <v/>
      </c>
      <c r="U1503" s="37" t="str">
        <f t="array" ref="U1503">IF($F1503="","",IFERROR(INDEX(Config!$F:$F,MATCH($F1503,Config!$D:$D,0)),0))</f>
        <v/>
      </c>
    </row>
    <row r="1504" ht="15.0" customHeight="1">
      <c r="A1504" s="34"/>
      <c r="B1504" s="35"/>
      <c r="C1504" s="15"/>
      <c r="D1504" s="15"/>
      <c r="E1504" s="15"/>
      <c r="F1504" s="15"/>
      <c r="G1504" s="36" t="str">
        <f t="array" ref="G1504">IF($F1504="","",IFERROR(INDEX(Config!$E:$E,MATCH($F1504,Config!$D:$D,0)),0))</f>
        <v/>
      </c>
      <c r="H1504" s="16"/>
      <c r="I1504" s="36" t="str">
        <f t="shared" si="1"/>
        <v/>
      </c>
      <c r="J1504" s="16"/>
      <c r="K1504" s="15"/>
      <c r="L1504" s="15"/>
      <c r="M1504" s="36" t="str">
        <f t="array" ref="M1504">IF($A1504="","",IF($L1504="Atendido",IFERROR($I1504*INDEX(Config!$B:$B,MATCH($C1504,Config!$A:$A,0)),0),0))</f>
        <v/>
      </c>
      <c r="N1504" s="36" t="str">
        <f t="shared" si="2"/>
        <v/>
      </c>
      <c r="O1504" s="36" t="str">
        <f t="shared" si="3"/>
        <v/>
      </c>
      <c r="P1504" s="15"/>
      <c r="Q1504" s="37" t="str">
        <f t="shared" si="4"/>
        <v/>
      </c>
      <c r="R1504" s="37" t="str">
        <f t="shared" si="5"/>
        <v/>
      </c>
      <c r="S1504" s="32" t="str">
        <f t="shared" si="6"/>
        <v/>
      </c>
      <c r="T1504" s="37" t="str">
        <f t="shared" si="7"/>
        <v/>
      </c>
      <c r="U1504" s="37" t="str">
        <f t="array" ref="U1504">IF($F1504="","",IFERROR(INDEX(Config!$F:$F,MATCH($F1504,Config!$D:$D,0)),0))</f>
        <v/>
      </c>
    </row>
    <row r="1505" ht="15.0" customHeight="1">
      <c r="A1505" s="34"/>
      <c r="B1505" s="35"/>
      <c r="C1505" s="15"/>
      <c r="D1505" s="15"/>
      <c r="E1505" s="15"/>
      <c r="F1505" s="15"/>
      <c r="G1505" s="36" t="str">
        <f t="array" ref="G1505">IF($F1505="","",IFERROR(INDEX(Config!$E:$E,MATCH($F1505,Config!$D:$D,0)),0))</f>
        <v/>
      </c>
      <c r="H1505" s="16"/>
      <c r="I1505" s="36" t="str">
        <f t="shared" si="1"/>
        <v/>
      </c>
      <c r="J1505" s="16"/>
      <c r="K1505" s="15"/>
      <c r="L1505" s="15"/>
      <c r="M1505" s="36" t="str">
        <f t="array" ref="M1505">IF($A1505="","",IF($L1505="Atendido",IFERROR($I1505*INDEX(Config!$B:$B,MATCH($C1505,Config!$A:$A,0)),0),0))</f>
        <v/>
      </c>
      <c r="N1505" s="36" t="str">
        <f t="shared" si="2"/>
        <v/>
      </c>
      <c r="O1505" s="36" t="str">
        <f t="shared" si="3"/>
        <v/>
      </c>
      <c r="P1505" s="15"/>
      <c r="Q1505" s="37" t="str">
        <f t="shared" si="4"/>
        <v/>
      </c>
      <c r="R1505" s="37" t="str">
        <f t="shared" si="5"/>
        <v/>
      </c>
      <c r="S1505" s="32" t="str">
        <f t="shared" si="6"/>
        <v/>
      </c>
      <c r="T1505" s="37" t="str">
        <f t="shared" si="7"/>
        <v/>
      </c>
      <c r="U1505" s="37" t="str">
        <f t="array" ref="U1505">IF($F1505="","",IFERROR(INDEX(Config!$F:$F,MATCH($F1505,Config!$D:$D,0)),0))</f>
        <v/>
      </c>
    </row>
    <row r="1506" ht="15.0" customHeight="1">
      <c r="A1506" s="34"/>
      <c r="B1506" s="35"/>
      <c r="C1506" s="15"/>
      <c r="D1506" s="15"/>
      <c r="E1506" s="15"/>
      <c r="F1506" s="15"/>
      <c r="G1506" s="36" t="str">
        <f t="array" ref="G1506">IF($F1506="","",IFERROR(INDEX(Config!$E:$E,MATCH($F1506,Config!$D:$D,0)),0))</f>
        <v/>
      </c>
      <c r="H1506" s="16"/>
      <c r="I1506" s="36" t="str">
        <f t="shared" si="1"/>
        <v/>
      </c>
      <c r="J1506" s="16"/>
      <c r="K1506" s="15"/>
      <c r="L1506" s="15"/>
      <c r="M1506" s="36" t="str">
        <f t="array" ref="M1506">IF($A1506="","",IF($L1506="Atendido",IFERROR($I1506*INDEX(Config!$B:$B,MATCH($C1506,Config!$A:$A,0)),0),0))</f>
        <v/>
      </c>
      <c r="N1506" s="36" t="str">
        <f t="shared" si="2"/>
        <v/>
      </c>
      <c r="O1506" s="36" t="str">
        <f t="shared" si="3"/>
        <v/>
      </c>
      <c r="P1506" s="15"/>
      <c r="Q1506" s="37" t="str">
        <f t="shared" si="4"/>
        <v/>
      </c>
      <c r="R1506" s="37" t="str">
        <f t="shared" si="5"/>
        <v/>
      </c>
      <c r="S1506" s="32" t="str">
        <f t="shared" si="6"/>
        <v/>
      </c>
      <c r="T1506" s="37" t="str">
        <f t="shared" si="7"/>
        <v/>
      </c>
      <c r="U1506" s="37" t="str">
        <f t="array" ref="U1506">IF($F1506="","",IFERROR(INDEX(Config!$F:$F,MATCH($F1506,Config!$D:$D,0)),0))</f>
        <v/>
      </c>
    </row>
    <row r="1507" ht="15.0" customHeight="1">
      <c r="A1507" s="34"/>
      <c r="B1507" s="35"/>
      <c r="C1507" s="15"/>
      <c r="D1507" s="15"/>
      <c r="E1507" s="15"/>
      <c r="F1507" s="15"/>
      <c r="G1507" s="36" t="str">
        <f t="array" ref="G1507">IF($F1507="","",IFERROR(INDEX(Config!$E:$E,MATCH($F1507,Config!$D:$D,0)),0))</f>
        <v/>
      </c>
      <c r="H1507" s="16"/>
      <c r="I1507" s="36" t="str">
        <f t="shared" si="1"/>
        <v/>
      </c>
      <c r="J1507" s="16"/>
      <c r="K1507" s="15"/>
      <c r="L1507" s="15"/>
      <c r="M1507" s="36" t="str">
        <f t="array" ref="M1507">IF($A1507="","",IF($L1507="Atendido",IFERROR($I1507*INDEX(Config!$B:$B,MATCH($C1507,Config!$A:$A,0)),0),0))</f>
        <v/>
      </c>
      <c r="N1507" s="36" t="str">
        <f t="shared" si="2"/>
        <v/>
      </c>
      <c r="O1507" s="36" t="str">
        <f t="shared" si="3"/>
        <v/>
      </c>
      <c r="P1507" s="15"/>
      <c r="Q1507" s="37" t="str">
        <f t="shared" si="4"/>
        <v/>
      </c>
      <c r="R1507" s="37" t="str">
        <f t="shared" si="5"/>
        <v/>
      </c>
      <c r="S1507" s="32" t="str">
        <f t="shared" si="6"/>
        <v/>
      </c>
      <c r="T1507" s="37" t="str">
        <f t="shared" si="7"/>
        <v/>
      </c>
      <c r="U1507" s="37" t="str">
        <f t="array" ref="U1507">IF($F1507="","",IFERROR(INDEX(Config!$F:$F,MATCH($F1507,Config!$D:$D,0)),0))</f>
        <v/>
      </c>
    </row>
    <row r="1508" ht="15.0" customHeight="1">
      <c r="A1508" s="34"/>
      <c r="B1508" s="35"/>
      <c r="C1508" s="15"/>
      <c r="D1508" s="15"/>
      <c r="E1508" s="15"/>
      <c r="F1508" s="15"/>
      <c r="G1508" s="36" t="str">
        <f t="array" ref="G1508">IF($F1508="","",IFERROR(INDEX(Config!$E:$E,MATCH($F1508,Config!$D:$D,0)),0))</f>
        <v/>
      </c>
      <c r="H1508" s="16"/>
      <c r="I1508" s="36" t="str">
        <f t="shared" si="1"/>
        <v/>
      </c>
      <c r="J1508" s="16"/>
      <c r="K1508" s="15"/>
      <c r="L1508" s="15"/>
      <c r="M1508" s="36" t="str">
        <f t="array" ref="M1508">IF($A1508="","",IF($L1508="Atendido",IFERROR($I1508*INDEX(Config!$B:$B,MATCH($C1508,Config!$A:$A,0)),0),0))</f>
        <v/>
      </c>
      <c r="N1508" s="36" t="str">
        <f t="shared" si="2"/>
        <v/>
      </c>
      <c r="O1508" s="36" t="str">
        <f t="shared" si="3"/>
        <v/>
      </c>
      <c r="P1508" s="15"/>
      <c r="Q1508" s="37" t="str">
        <f t="shared" si="4"/>
        <v/>
      </c>
      <c r="R1508" s="37" t="str">
        <f t="shared" si="5"/>
        <v/>
      </c>
      <c r="S1508" s="32" t="str">
        <f t="shared" si="6"/>
        <v/>
      </c>
      <c r="T1508" s="37" t="str">
        <f t="shared" si="7"/>
        <v/>
      </c>
      <c r="U1508" s="37" t="str">
        <f t="array" ref="U1508">IF($F1508="","",IFERROR(INDEX(Config!$F:$F,MATCH($F1508,Config!$D:$D,0)),0))</f>
        <v/>
      </c>
    </row>
    <row r="1509" ht="15.0" customHeight="1">
      <c r="A1509" s="34"/>
      <c r="B1509" s="35"/>
      <c r="C1509" s="15"/>
      <c r="D1509" s="15"/>
      <c r="E1509" s="15"/>
      <c r="F1509" s="15"/>
      <c r="G1509" s="36" t="str">
        <f t="array" ref="G1509">IF($F1509="","",IFERROR(INDEX(Config!$E:$E,MATCH($F1509,Config!$D:$D,0)),0))</f>
        <v/>
      </c>
      <c r="H1509" s="16"/>
      <c r="I1509" s="36" t="str">
        <f t="shared" si="1"/>
        <v/>
      </c>
      <c r="J1509" s="16"/>
      <c r="K1509" s="15"/>
      <c r="L1509" s="15"/>
      <c r="M1509" s="36" t="str">
        <f t="array" ref="M1509">IF($A1509="","",IF($L1509="Atendido",IFERROR($I1509*INDEX(Config!$B:$B,MATCH($C1509,Config!$A:$A,0)),0),0))</f>
        <v/>
      </c>
      <c r="N1509" s="36" t="str">
        <f t="shared" si="2"/>
        <v/>
      </c>
      <c r="O1509" s="36" t="str">
        <f t="shared" si="3"/>
        <v/>
      </c>
      <c r="P1509" s="15"/>
      <c r="Q1509" s="37" t="str">
        <f t="shared" si="4"/>
        <v/>
      </c>
      <c r="R1509" s="37" t="str">
        <f t="shared" si="5"/>
        <v/>
      </c>
      <c r="S1509" s="32" t="str">
        <f t="shared" si="6"/>
        <v/>
      </c>
      <c r="T1509" s="37" t="str">
        <f t="shared" si="7"/>
        <v/>
      </c>
      <c r="U1509" s="37" t="str">
        <f t="array" ref="U1509">IF($F1509="","",IFERROR(INDEX(Config!$F:$F,MATCH($F1509,Config!$D:$D,0)),0))</f>
        <v/>
      </c>
    </row>
    <row r="1510" ht="15.0" customHeight="1">
      <c r="A1510" s="34"/>
      <c r="B1510" s="35"/>
      <c r="C1510" s="15"/>
      <c r="D1510" s="15"/>
      <c r="E1510" s="15"/>
      <c r="F1510" s="15"/>
      <c r="G1510" s="36" t="str">
        <f t="array" ref="G1510">IF($F1510="","",IFERROR(INDEX(Config!$E:$E,MATCH($F1510,Config!$D:$D,0)),0))</f>
        <v/>
      </c>
      <c r="H1510" s="16"/>
      <c r="I1510" s="36" t="str">
        <f t="shared" si="1"/>
        <v/>
      </c>
      <c r="J1510" s="16"/>
      <c r="K1510" s="15"/>
      <c r="L1510" s="15"/>
      <c r="M1510" s="36" t="str">
        <f t="array" ref="M1510">IF($A1510="","",IF($L1510="Atendido",IFERROR($I1510*INDEX(Config!$B:$B,MATCH($C1510,Config!$A:$A,0)),0),0))</f>
        <v/>
      </c>
      <c r="N1510" s="36" t="str">
        <f t="shared" si="2"/>
        <v/>
      </c>
      <c r="O1510" s="36" t="str">
        <f t="shared" si="3"/>
        <v/>
      </c>
      <c r="P1510" s="15"/>
      <c r="Q1510" s="37" t="str">
        <f t="shared" si="4"/>
        <v/>
      </c>
      <c r="R1510" s="37" t="str">
        <f t="shared" si="5"/>
        <v/>
      </c>
      <c r="S1510" s="32" t="str">
        <f t="shared" si="6"/>
        <v/>
      </c>
      <c r="T1510" s="37" t="str">
        <f t="shared" si="7"/>
        <v/>
      </c>
      <c r="U1510" s="37" t="str">
        <f t="array" ref="U1510">IF($F1510="","",IFERROR(INDEX(Config!$F:$F,MATCH($F1510,Config!$D:$D,0)),0))</f>
        <v/>
      </c>
    </row>
    <row r="1511" ht="15.0" customHeight="1">
      <c r="A1511" s="34"/>
      <c r="B1511" s="35"/>
      <c r="C1511" s="15"/>
      <c r="D1511" s="15"/>
      <c r="E1511" s="15"/>
      <c r="F1511" s="15"/>
      <c r="G1511" s="36" t="str">
        <f t="array" ref="G1511">IF($F1511="","",IFERROR(INDEX(Config!$E:$E,MATCH($F1511,Config!$D:$D,0)),0))</f>
        <v/>
      </c>
      <c r="H1511" s="16"/>
      <c r="I1511" s="36" t="str">
        <f t="shared" si="1"/>
        <v/>
      </c>
      <c r="J1511" s="16"/>
      <c r="K1511" s="15"/>
      <c r="L1511" s="15"/>
      <c r="M1511" s="36" t="str">
        <f t="array" ref="M1511">IF($A1511="","",IF($L1511="Atendido",IFERROR($I1511*INDEX(Config!$B:$B,MATCH($C1511,Config!$A:$A,0)),0),0))</f>
        <v/>
      </c>
      <c r="N1511" s="36" t="str">
        <f t="shared" si="2"/>
        <v/>
      </c>
      <c r="O1511" s="36" t="str">
        <f t="shared" si="3"/>
        <v/>
      </c>
      <c r="P1511" s="15"/>
      <c r="Q1511" s="37" t="str">
        <f t="shared" si="4"/>
        <v/>
      </c>
      <c r="R1511" s="37" t="str">
        <f t="shared" si="5"/>
        <v/>
      </c>
      <c r="S1511" s="32" t="str">
        <f t="shared" si="6"/>
        <v/>
      </c>
      <c r="T1511" s="37" t="str">
        <f t="shared" si="7"/>
        <v/>
      </c>
      <c r="U1511" s="37" t="str">
        <f t="array" ref="U1511">IF($F1511="","",IFERROR(INDEX(Config!$F:$F,MATCH($F1511,Config!$D:$D,0)),0))</f>
        <v/>
      </c>
    </row>
    <row r="1512" ht="15.0" customHeight="1">
      <c r="A1512" s="34"/>
      <c r="B1512" s="35"/>
      <c r="C1512" s="15"/>
      <c r="D1512" s="15"/>
      <c r="E1512" s="15"/>
      <c r="F1512" s="15"/>
      <c r="G1512" s="36" t="str">
        <f t="array" ref="G1512">IF($F1512="","",IFERROR(INDEX(Config!$E:$E,MATCH($F1512,Config!$D:$D,0)),0))</f>
        <v/>
      </c>
      <c r="H1512" s="16"/>
      <c r="I1512" s="36" t="str">
        <f t="shared" si="1"/>
        <v/>
      </c>
      <c r="J1512" s="16"/>
      <c r="K1512" s="15"/>
      <c r="L1512" s="15"/>
      <c r="M1512" s="36" t="str">
        <f t="array" ref="M1512">IF($A1512="","",IF($L1512="Atendido",IFERROR($I1512*INDEX(Config!$B:$B,MATCH($C1512,Config!$A:$A,0)),0),0))</f>
        <v/>
      </c>
      <c r="N1512" s="36" t="str">
        <f t="shared" si="2"/>
        <v/>
      </c>
      <c r="O1512" s="36" t="str">
        <f t="shared" si="3"/>
        <v/>
      </c>
      <c r="P1512" s="15"/>
      <c r="Q1512" s="37" t="str">
        <f t="shared" si="4"/>
        <v/>
      </c>
      <c r="R1512" s="37" t="str">
        <f t="shared" si="5"/>
        <v/>
      </c>
      <c r="S1512" s="32" t="str">
        <f t="shared" si="6"/>
        <v/>
      </c>
      <c r="T1512" s="37" t="str">
        <f t="shared" si="7"/>
        <v/>
      </c>
      <c r="U1512" s="37" t="str">
        <f t="array" ref="U1512">IF($F1512="","",IFERROR(INDEX(Config!$F:$F,MATCH($F1512,Config!$D:$D,0)),0))</f>
        <v/>
      </c>
    </row>
    <row r="1513" ht="15.0" customHeight="1">
      <c r="A1513" s="34"/>
      <c r="B1513" s="35"/>
      <c r="C1513" s="15"/>
      <c r="D1513" s="15"/>
      <c r="E1513" s="15"/>
      <c r="F1513" s="15"/>
      <c r="G1513" s="36" t="str">
        <f t="array" ref="G1513">IF($F1513="","",IFERROR(INDEX(Config!$E:$E,MATCH($F1513,Config!$D:$D,0)),0))</f>
        <v/>
      </c>
      <c r="H1513" s="16"/>
      <c r="I1513" s="36" t="str">
        <f t="shared" si="1"/>
        <v/>
      </c>
      <c r="J1513" s="16"/>
      <c r="K1513" s="15"/>
      <c r="L1513" s="15"/>
      <c r="M1513" s="36" t="str">
        <f t="array" ref="M1513">IF($A1513="","",IF($L1513="Atendido",IFERROR($I1513*INDEX(Config!$B:$B,MATCH($C1513,Config!$A:$A,0)),0),0))</f>
        <v/>
      </c>
      <c r="N1513" s="36" t="str">
        <f t="shared" si="2"/>
        <v/>
      </c>
      <c r="O1513" s="36" t="str">
        <f t="shared" si="3"/>
        <v/>
      </c>
      <c r="P1513" s="15"/>
      <c r="Q1513" s="37" t="str">
        <f t="shared" si="4"/>
        <v/>
      </c>
      <c r="R1513" s="37" t="str">
        <f t="shared" si="5"/>
        <v/>
      </c>
      <c r="S1513" s="32" t="str">
        <f t="shared" si="6"/>
        <v/>
      </c>
      <c r="T1513" s="37" t="str">
        <f t="shared" si="7"/>
        <v/>
      </c>
      <c r="U1513" s="37" t="str">
        <f t="array" ref="U1513">IF($F1513="","",IFERROR(INDEX(Config!$F:$F,MATCH($F1513,Config!$D:$D,0)),0))</f>
        <v/>
      </c>
    </row>
    <row r="1514" ht="15.0" customHeight="1">
      <c r="A1514" s="34"/>
      <c r="B1514" s="35"/>
      <c r="C1514" s="15"/>
      <c r="D1514" s="15"/>
      <c r="E1514" s="15"/>
      <c r="F1514" s="15"/>
      <c r="G1514" s="36" t="str">
        <f t="array" ref="G1514">IF($F1514="","",IFERROR(INDEX(Config!$E:$E,MATCH($F1514,Config!$D:$D,0)),0))</f>
        <v/>
      </c>
      <c r="H1514" s="16"/>
      <c r="I1514" s="36" t="str">
        <f t="shared" si="1"/>
        <v/>
      </c>
      <c r="J1514" s="16"/>
      <c r="K1514" s="15"/>
      <c r="L1514" s="15"/>
      <c r="M1514" s="36" t="str">
        <f t="array" ref="M1514">IF($A1514="","",IF($L1514="Atendido",IFERROR($I1514*INDEX(Config!$B:$B,MATCH($C1514,Config!$A:$A,0)),0),0))</f>
        <v/>
      </c>
      <c r="N1514" s="36" t="str">
        <f t="shared" si="2"/>
        <v/>
      </c>
      <c r="O1514" s="36" t="str">
        <f t="shared" si="3"/>
        <v/>
      </c>
      <c r="P1514" s="15"/>
      <c r="Q1514" s="37" t="str">
        <f t="shared" si="4"/>
        <v/>
      </c>
      <c r="R1514" s="37" t="str">
        <f t="shared" si="5"/>
        <v/>
      </c>
      <c r="S1514" s="32" t="str">
        <f t="shared" si="6"/>
        <v/>
      </c>
      <c r="T1514" s="37" t="str">
        <f t="shared" si="7"/>
        <v/>
      </c>
      <c r="U1514" s="37" t="str">
        <f t="array" ref="U1514">IF($F1514="","",IFERROR(INDEX(Config!$F:$F,MATCH($F1514,Config!$D:$D,0)),0))</f>
        <v/>
      </c>
    </row>
    <row r="1515" ht="15.0" customHeight="1">
      <c r="A1515" s="34"/>
      <c r="B1515" s="35"/>
      <c r="C1515" s="15"/>
      <c r="D1515" s="15"/>
      <c r="E1515" s="15"/>
      <c r="F1515" s="15"/>
      <c r="G1515" s="36" t="str">
        <f t="array" ref="G1515">IF($F1515="","",IFERROR(INDEX(Config!$E:$E,MATCH($F1515,Config!$D:$D,0)),0))</f>
        <v/>
      </c>
      <c r="H1515" s="16"/>
      <c r="I1515" s="36" t="str">
        <f t="shared" si="1"/>
        <v/>
      </c>
      <c r="J1515" s="16"/>
      <c r="K1515" s="15"/>
      <c r="L1515" s="15"/>
      <c r="M1515" s="36" t="str">
        <f t="array" ref="M1515">IF($A1515="","",IF($L1515="Atendido",IFERROR($I1515*INDEX(Config!$B:$B,MATCH($C1515,Config!$A:$A,0)),0),0))</f>
        <v/>
      </c>
      <c r="N1515" s="36" t="str">
        <f t="shared" si="2"/>
        <v/>
      </c>
      <c r="O1515" s="36" t="str">
        <f t="shared" si="3"/>
        <v/>
      </c>
      <c r="P1515" s="15"/>
      <c r="Q1515" s="37" t="str">
        <f t="shared" si="4"/>
        <v/>
      </c>
      <c r="R1515" s="37" t="str">
        <f t="shared" si="5"/>
        <v/>
      </c>
      <c r="S1515" s="32" t="str">
        <f t="shared" si="6"/>
        <v/>
      </c>
      <c r="T1515" s="37" t="str">
        <f t="shared" si="7"/>
        <v/>
      </c>
      <c r="U1515" s="37" t="str">
        <f t="array" ref="U1515">IF($F1515="","",IFERROR(INDEX(Config!$F:$F,MATCH($F1515,Config!$D:$D,0)),0))</f>
        <v/>
      </c>
    </row>
    <row r="1516" ht="15.0" customHeight="1">
      <c r="A1516" s="34"/>
      <c r="B1516" s="35"/>
      <c r="C1516" s="15"/>
      <c r="D1516" s="15"/>
      <c r="E1516" s="15"/>
      <c r="F1516" s="15"/>
      <c r="G1516" s="36" t="str">
        <f t="array" ref="G1516">IF($F1516="","",IFERROR(INDEX(Config!$E:$E,MATCH($F1516,Config!$D:$D,0)),0))</f>
        <v/>
      </c>
      <c r="H1516" s="16"/>
      <c r="I1516" s="36" t="str">
        <f t="shared" si="1"/>
        <v/>
      </c>
      <c r="J1516" s="16"/>
      <c r="K1516" s="15"/>
      <c r="L1516" s="15"/>
      <c r="M1516" s="36" t="str">
        <f t="array" ref="M1516">IF($A1516="","",IF($L1516="Atendido",IFERROR($I1516*INDEX(Config!$B:$B,MATCH($C1516,Config!$A:$A,0)),0),0))</f>
        <v/>
      </c>
      <c r="N1516" s="36" t="str">
        <f t="shared" si="2"/>
        <v/>
      </c>
      <c r="O1516" s="36" t="str">
        <f t="shared" si="3"/>
        <v/>
      </c>
      <c r="P1516" s="15"/>
      <c r="Q1516" s="37" t="str">
        <f t="shared" si="4"/>
        <v/>
      </c>
      <c r="R1516" s="37" t="str">
        <f t="shared" si="5"/>
        <v/>
      </c>
      <c r="S1516" s="32" t="str">
        <f t="shared" si="6"/>
        <v/>
      </c>
      <c r="T1516" s="37" t="str">
        <f t="shared" si="7"/>
        <v/>
      </c>
      <c r="U1516" s="37" t="str">
        <f t="array" ref="U1516">IF($F1516="","",IFERROR(INDEX(Config!$F:$F,MATCH($F1516,Config!$D:$D,0)),0))</f>
        <v/>
      </c>
    </row>
    <row r="1517" ht="15.0" customHeight="1">
      <c r="A1517" s="34"/>
      <c r="B1517" s="35"/>
      <c r="C1517" s="15"/>
      <c r="D1517" s="15"/>
      <c r="E1517" s="15"/>
      <c r="F1517" s="15"/>
      <c r="G1517" s="36" t="str">
        <f t="array" ref="G1517">IF($F1517="","",IFERROR(INDEX(Config!$E:$E,MATCH($F1517,Config!$D:$D,0)),0))</f>
        <v/>
      </c>
      <c r="H1517" s="16"/>
      <c r="I1517" s="36" t="str">
        <f t="shared" si="1"/>
        <v/>
      </c>
      <c r="J1517" s="16"/>
      <c r="K1517" s="15"/>
      <c r="L1517" s="15"/>
      <c r="M1517" s="36" t="str">
        <f t="array" ref="M1517">IF($A1517="","",IF($L1517="Atendido",IFERROR($I1517*INDEX(Config!$B:$B,MATCH($C1517,Config!$A:$A,0)),0),0))</f>
        <v/>
      </c>
      <c r="N1517" s="36" t="str">
        <f t="shared" si="2"/>
        <v/>
      </c>
      <c r="O1517" s="36" t="str">
        <f t="shared" si="3"/>
        <v/>
      </c>
      <c r="P1517" s="15"/>
      <c r="Q1517" s="37" t="str">
        <f t="shared" si="4"/>
        <v/>
      </c>
      <c r="R1517" s="37" t="str">
        <f t="shared" si="5"/>
        <v/>
      </c>
      <c r="S1517" s="32" t="str">
        <f t="shared" si="6"/>
        <v/>
      </c>
      <c r="T1517" s="37" t="str">
        <f t="shared" si="7"/>
        <v/>
      </c>
      <c r="U1517" s="37" t="str">
        <f t="array" ref="U1517">IF($F1517="","",IFERROR(INDEX(Config!$F:$F,MATCH($F1517,Config!$D:$D,0)),0))</f>
        <v/>
      </c>
    </row>
    <row r="1518" ht="15.0" customHeight="1">
      <c r="A1518" s="34"/>
      <c r="B1518" s="35"/>
      <c r="C1518" s="15"/>
      <c r="D1518" s="15"/>
      <c r="E1518" s="15"/>
      <c r="F1518" s="15"/>
      <c r="G1518" s="36" t="str">
        <f t="array" ref="G1518">IF($F1518="","",IFERROR(INDEX(Config!$E:$E,MATCH($F1518,Config!$D:$D,0)),0))</f>
        <v/>
      </c>
      <c r="H1518" s="16"/>
      <c r="I1518" s="36" t="str">
        <f t="shared" si="1"/>
        <v/>
      </c>
      <c r="J1518" s="16"/>
      <c r="K1518" s="15"/>
      <c r="L1518" s="15"/>
      <c r="M1518" s="36" t="str">
        <f t="array" ref="M1518">IF($A1518="","",IF($L1518="Atendido",IFERROR($I1518*INDEX(Config!$B:$B,MATCH($C1518,Config!$A:$A,0)),0),0))</f>
        <v/>
      </c>
      <c r="N1518" s="36" t="str">
        <f t="shared" si="2"/>
        <v/>
      </c>
      <c r="O1518" s="36" t="str">
        <f t="shared" si="3"/>
        <v/>
      </c>
      <c r="P1518" s="15"/>
      <c r="Q1518" s="37" t="str">
        <f t="shared" si="4"/>
        <v/>
      </c>
      <c r="R1518" s="37" t="str">
        <f t="shared" si="5"/>
        <v/>
      </c>
      <c r="S1518" s="32" t="str">
        <f t="shared" si="6"/>
        <v/>
      </c>
      <c r="T1518" s="37" t="str">
        <f t="shared" si="7"/>
        <v/>
      </c>
      <c r="U1518" s="37" t="str">
        <f t="array" ref="U1518">IF($F1518="","",IFERROR(INDEX(Config!$F:$F,MATCH($F1518,Config!$D:$D,0)),0))</f>
        <v/>
      </c>
    </row>
    <row r="1519" ht="15.0" customHeight="1">
      <c r="A1519" s="34"/>
      <c r="B1519" s="35"/>
      <c r="C1519" s="15"/>
      <c r="D1519" s="15"/>
      <c r="E1519" s="15"/>
      <c r="F1519" s="15"/>
      <c r="G1519" s="36" t="str">
        <f t="array" ref="G1519">IF($F1519="","",IFERROR(INDEX(Config!$E:$E,MATCH($F1519,Config!$D:$D,0)),0))</f>
        <v/>
      </c>
      <c r="H1519" s="16"/>
      <c r="I1519" s="36" t="str">
        <f t="shared" si="1"/>
        <v/>
      </c>
      <c r="J1519" s="16"/>
      <c r="K1519" s="15"/>
      <c r="L1519" s="15"/>
      <c r="M1519" s="36" t="str">
        <f t="array" ref="M1519">IF($A1519="","",IF($L1519="Atendido",IFERROR($I1519*INDEX(Config!$B:$B,MATCH($C1519,Config!$A:$A,0)),0),0))</f>
        <v/>
      </c>
      <c r="N1519" s="36" t="str">
        <f t="shared" si="2"/>
        <v/>
      </c>
      <c r="O1519" s="36" t="str">
        <f t="shared" si="3"/>
        <v/>
      </c>
      <c r="P1519" s="15"/>
      <c r="Q1519" s="37" t="str">
        <f t="shared" si="4"/>
        <v/>
      </c>
      <c r="R1519" s="37" t="str">
        <f t="shared" si="5"/>
        <v/>
      </c>
      <c r="S1519" s="32" t="str">
        <f t="shared" si="6"/>
        <v/>
      </c>
      <c r="T1519" s="37" t="str">
        <f t="shared" si="7"/>
        <v/>
      </c>
      <c r="U1519" s="37" t="str">
        <f t="array" ref="U1519">IF($F1519="","",IFERROR(INDEX(Config!$F:$F,MATCH($F1519,Config!$D:$D,0)),0))</f>
        <v/>
      </c>
    </row>
    <row r="1520" ht="15.0" customHeight="1">
      <c r="A1520" s="34"/>
      <c r="B1520" s="35"/>
      <c r="C1520" s="15"/>
      <c r="D1520" s="15"/>
      <c r="E1520" s="15"/>
      <c r="F1520" s="15"/>
      <c r="G1520" s="36" t="str">
        <f t="array" ref="G1520">IF($F1520="","",IFERROR(INDEX(Config!$E:$E,MATCH($F1520,Config!$D:$D,0)),0))</f>
        <v/>
      </c>
      <c r="H1520" s="16"/>
      <c r="I1520" s="36" t="str">
        <f t="shared" si="1"/>
        <v/>
      </c>
      <c r="J1520" s="16"/>
      <c r="K1520" s="15"/>
      <c r="L1520" s="15"/>
      <c r="M1520" s="36" t="str">
        <f t="array" ref="M1520">IF($A1520="","",IF($L1520="Atendido",IFERROR($I1520*INDEX(Config!$B:$B,MATCH($C1520,Config!$A:$A,0)),0),0))</f>
        <v/>
      </c>
      <c r="N1520" s="36" t="str">
        <f t="shared" si="2"/>
        <v/>
      </c>
      <c r="O1520" s="36" t="str">
        <f t="shared" si="3"/>
        <v/>
      </c>
      <c r="P1520" s="15"/>
      <c r="Q1520" s="37" t="str">
        <f t="shared" si="4"/>
        <v/>
      </c>
      <c r="R1520" s="37" t="str">
        <f t="shared" si="5"/>
        <v/>
      </c>
      <c r="S1520" s="32" t="str">
        <f t="shared" si="6"/>
        <v/>
      </c>
      <c r="T1520" s="37" t="str">
        <f t="shared" si="7"/>
        <v/>
      </c>
      <c r="U1520" s="37" t="str">
        <f t="array" ref="U1520">IF($F1520="","",IFERROR(INDEX(Config!$F:$F,MATCH($F1520,Config!$D:$D,0)),0))</f>
        <v/>
      </c>
    </row>
    <row r="1521" ht="15.0" customHeight="1">
      <c r="A1521" s="34"/>
      <c r="B1521" s="35"/>
      <c r="C1521" s="15"/>
      <c r="D1521" s="15"/>
      <c r="E1521" s="15"/>
      <c r="F1521" s="15"/>
      <c r="G1521" s="36" t="str">
        <f t="array" ref="G1521">IF($F1521="","",IFERROR(INDEX(Config!$E:$E,MATCH($F1521,Config!$D:$D,0)),0))</f>
        <v/>
      </c>
      <c r="H1521" s="16"/>
      <c r="I1521" s="36" t="str">
        <f t="shared" si="1"/>
        <v/>
      </c>
      <c r="J1521" s="16"/>
      <c r="K1521" s="15"/>
      <c r="L1521" s="15"/>
      <c r="M1521" s="36" t="str">
        <f t="array" ref="M1521">IF($A1521="","",IF($L1521="Atendido",IFERROR($I1521*INDEX(Config!$B:$B,MATCH($C1521,Config!$A:$A,0)),0),0))</f>
        <v/>
      </c>
      <c r="N1521" s="36" t="str">
        <f t="shared" si="2"/>
        <v/>
      </c>
      <c r="O1521" s="36" t="str">
        <f t="shared" si="3"/>
        <v/>
      </c>
      <c r="P1521" s="15"/>
      <c r="Q1521" s="37" t="str">
        <f t="shared" si="4"/>
        <v/>
      </c>
      <c r="R1521" s="37" t="str">
        <f t="shared" si="5"/>
        <v/>
      </c>
      <c r="S1521" s="32" t="str">
        <f t="shared" si="6"/>
        <v/>
      </c>
      <c r="T1521" s="37" t="str">
        <f t="shared" si="7"/>
        <v/>
      </c>
      <c r="U1521" s="37" t="str">
        <f t="array" ref="U1521">IF($F1521="","",IFERROR(INDEX(Config!$F:$F,MATCH($F1521,Config!$D:$D,0)),0))</f>
        <v/>
      </c>
    </row>
    <row r="1522" ht="15.0" customHeight="1">
      <c r="A1522" s="34"/>
      <c r="B1522" s="35"/>
      <c r="C1522" s="15"/>
      <c r="D1522" s="15"/>
      <c r="E1522" s="15"/>
      <c r="F1522" s="15"/>
      <c r="G1522" s="36" t="str">
        <f t="array" ref="G1522">IF($F1522="","",IFERROR(INDEX(Config!$E:$E,MATCH($F1522,Config!$D:$D,0)),0))</f>
        <v/>
      </c>
      <c r="H1522" s="16"/>
      <c r="I1522" s="36" t="str">
        <f t="shared" si="1"/>
        <v/>
      </c>
      <c r="J1522" s="16"/>
      <c r="K1522" s="15"/>
      <c r="L1522" s="15"/>
      <c r="M1522" s="36" t="str">
        <f t="array" ref="M1522">IF($A1522="","",IF($L1522="Atendido",IFERROR($I1522*INDEX(Config!$B:$B,MATCH($C1522,Config!$A:$A,0)),0),0))</f>
        <v/>
      </c>
      <c r="N1522" s="36" t="str">
        <f t="shared" si="2"/>
        <v/>
      </c>
      <c r="O1522" s="36" t="str">
        <f t="shared" si="3"/>
        <v/>
      </c>
      <c r="P1522" s="15"/>
      <c r="Q1522" s="37" t="str">
        <f t="shared" si="4"/>
        <v/>
      </c>
      <c r="R1522" s="37" t="str">
        <f t="shared" si="5"/>
        <v/>
      </c>
      <c r="S1522" s="32" t="str">
        <f t="shared" si="6"/>
        <v/>
      </c>
      <c r="T1522" s="37" t="str">
        <f t="shared" si="7"/>
        <v/>
      </c>
      <c r="U1522" s="37" t="str">
        <f t="array" ref="U1522">IF($F1522="","",IFERROR(INDEX(Config!$F:$F,MATCH($F1522,Config!$D:$D,0)),0))</f>
        <v/>
      </c>
    </row>
    <row r="1523" ht="15.0" customHeight="1">
      <c r="A1523" s="34"/>
      <c r="B1523" s="35"/>
      <c r="C1523" s="15"/>
      <c r="D1523" s="15"/>
      <c r="E1523" s="15"/>
      <c r="F1523" s="15"/>
      <c r="G1523" s="36" t="str">
        <f t="array" ref="G1523">IF($F1523="","",IFERROR(INDEX(Config!$E:$E,MATCH($F1523,Config!$D:$D,0)),0))</f>
        <v/>
      </c>
      <c r="H1523" s="16"/>
      <c r="I1523" s="36" t="str">
        <f t="shared" si="1"/>
        <v/>
      </c>
      <c r="J1523" s="16"/>
      <c r="K1523" s="15"/>
      <c r="L1523" s="15"/>
      <c r="M1523" s="36" t="str">
        <f t="array" ref="M1523">IF($A1523="","",IF($L1523="Atendido",IFERROR($I1523*INDEX(Config!$B:$B,MATCH($C1523,Config!$A:$A,0)),0),0))</f>
        <v/>
      </c>
      <c r="N1523" s="36" t="str">
        <f t="shared" si="2"/>
        <v/>
      </c>
      <c r="O1523" s="36" t="str">
        <f t="shared" si="3"/>
        <v/>
      </c>
      <c r="P1523" s="15"/>
      <c r="Q1523" s="37" t="str">
        <f t="shared" si="4"/>
        <v/>
      </c>
      <c r="R1523" s="37" t="str">
        <f t="shared" si="5"/>
        <v/>
      </c>
      <c r="S1523" s="32" t="str">
        <f t="shared" si="6"/>
        <v/>
      </c>
      <c r="T1523" s="37" t="str">
        <f t="shared" si="7"/>
        <v/>
      </c>
      <c r="U1523" s="37" t="str">
        <f t="array" ref="U1523">IF($F1523="","",IFERROR(INDEX(Config!$F:$F,MATCH($F1523,Config!$D:$D,0)),0))</f>
        <v/>
      </c>
    </row>
    <row r="1524" ht="15.0" customHeight="1">
      <c r="A1524" s="34"/>
      <c r="B1524" s="35"/>
      <c r="C1524" s="15"/>
      <c r="D1524" s="15"/>
      <c r="E1524" s="15"/>
      <c r="F1524" s="15"/>
      <c r="G1524" s="36" t="str">
        <f t="array" ref="G1524">IF($F1524="","",IFERROR(INDEX(Config!$E:$E,MATCH($F1524,Config!$D:$D,0)),0))</f>
        <v/>
      </c>
      <c r="H1524" s="16"/>
      <c r="I1524" s="36" t="str">
        <f t="shared" si="1"/>
        <v/>
      </c>
      <c r="J1524" s="16"/>
      <c r="K1524" s="15"/>
      <c r="L1524" s="15"/>
      <c r="M1524" s="36" t="str">
        <f t="array" ref="M1524">IF($A1524="","",IF($L1524="Atendido",IFERROR($I1524*INDEX(Config!$B:$B,MATCH($C1524,Config!$A:$A,0)),0),0))</f>
        <v/>
      </c>
      <c r="N1524" s="36" t="str">
        <f t="shared" si="2"/>
        <v/>
      </c>
      <c r="O1524" s="36" t="str">
        <f t="shared" si="3"/>
        <v/>
      </c>
      <c r="P1524" s="15"/>
      <c r="Q1524" s="37" t="str">
        <f t="shared" si="4"/>
        <v/>
      </c>
      <c r="R1524" s="37" t="str">
        <f t="shared" si="5"/>
        <v/>
      </c>
      <c r="S1524" s="32" t="str">
        <f t="shared" si="6"/>
        <v/>
      </c>
      <c r="T1524" s="37" t="str">
        <f t="shared" si="7"/>
        <v/>
      </c>
      <c r="U1524" s="37" t="str">
        <f t="array" ref="U1524">IF($F1524="","",IFERROR(INDEX(Config!$F:$F,MATCH($F1524,Config!$D:$D,0)),0))</f>
        <v/>
      </c>
    </row>
    <row r="1525" ht="15.0" customHeight="1">
      <c r="A1525" s="34"/>
      <c r="B1525" s="35"/>
      <c r="C1525" s="15"/>
      <c r="D1525" s="15"/>
      <c r="E1525" s="15"/>
      <c r="F1525" s="15"/>
      <c r="G1525" s="36" t="str">
        <f t="array" ref="G1525">IF($F1525="","",IFERROR(INDEX(Config!$E:$E,MATCH($F1525,Config!$D:$D,0)),0))</f>
        <v/>
      </c>
      <c r="H1525" s="16"/>
      <c r="I1525" s="36" t="str">
        <f t="shared" si="1"/>
        <v/>
      </c>
      <c r="J1525" s="16"/>
      <c r="K1525" s="15"/>
      <c r="L1525" s="15"/>
      <c r="M1525" s="36" t="str">
        <f t="array" ref="M1525">IF($A1525="","",IF($L1525="Atendido",IFERROR($I1525*INDEX(Config!$B:$B,MATCH($C1525,Config!$A:$A,0)),0),0))</f>
        <v/>
      </c>
      <c r="N1525" s="36" t="str">
        <f t="shared" si="2"/>
        <v/>
      </c>
      <c r="O1525" s="36" t="str">
        <f t="shared" si="3"/>
        <v/>
      </c>
      <c r="P1525" s="15"/>
      <c r="Q1525" s="37" t="str">
        <f t="shared" si="4"/>
        <v/>
      </c>
      <c r="R1525" s="37" t="str">
        <f t="shared" si="5"/>
        <v/>
      </c>
      <c r="S1525" s="32" t="str">
        <f t="shared" si="6"/>
        <v/>
      </c>
      <c r="T1525" s="37" t="str">
        <f t="shared" si="7"/>
        <v/>
      </c>
      <c r="U1525" s="37" t="str">
        <f t="array" ref="U1525">IF($F1525="","",IFERROR(INDEX(Config!$F:$F,MATCH($F1525,Config!$D:$D,0)),0))</f>
        <v/>
      </c>
    </row>
    <row r="1526" ht="15.0" customHeight="1">
      <c r="A1526" s="34"/>
      <c r="B1526" s="35"/>
      <c r="C1526" s="15"/>
      <c r="D1526" s="15"/>
      <c r="E1526" s="15"/>
      <c r="F1526" s="15"/>
      <c r="G1526" s="36" t="str">
        <f t="array" ref="G1526">IF($F1526="","",IFERROR(INDEX(Config!$E:$E,MATCH($F1526,Config!$D:$D,0)),0))</f>
        <v/>
      </c>
      <c r="H1526" s="16"/>
      <c r="I1526" s="36" t="str">
        <f t="shared" si="1"/>
        <v/>
      </c>
      <c r="J1526" s="16"/>
      <c r="K1526" s="15"/>
      <c r="L1526" s="15"/>
      <c r="M1526" s="36" t="str">
        <f t="array" ref="M1526">IF($A1526="","",IF($L1526="Atendido",IFERROR($I1526*INDEX(Config!$B:$B,MATCH($C1526,Config!$A:$A,0)),0),0))</f>
        <v/>
      </c>
      <c r="N1526" s="36" t="str">
        <f t="shared" si="2"/>
        <v/>
      </c>
      <c r="O1526" s="36" t="str">
        <f t="shared" si="3"/>
        <v/>
      </c>
      <c r="P1526" s="15"/>
      <c r="Q1526" s="37" t="str">
        <f t="shared" si="4"/>
        <v/>
      </c>
      <c r="R1526" s="37" t="str">
        <f t="shared" si="5"/>
        <v/>
      </c>
      <c r="S1526" s="32" t="str">
        <f t="shared" si="6"/>
        <v/>
      </c>
      <c r="T1526" s="37" t="str">
        <f t="shared" si="7"/>
        <v/>
      </c>
      <c r="U1526" s="37" t="str">
        <f t="array" ref="U1526">IF($F1526="","",IFERROR(INDEX(Config!$F:$F,MATCH($F1526,Config!$D:$D,0)),0))</f>
        <v/>
      </c>
    </row>
    <row r="1527" ht="15.0" customHeight="1">
      <c r="A1527" s="34"/>
      <c r="B1527" s="35"/>
      <c r="C1527" s="15"/>
      <c r="D1527" s="15"/>
      <c r="E1527" s="15"/>
      <c r="F1527" s="15"/>
      <c r="G1527" s="36" t="str">
        <f t="array" ref="G1527">IF($F1527="","",IFERROR(INDEX(Config!$E:$E,MATCH($F1527,Config!$D:$D,0)),0))</f>
        <v/>
      </c>
      <c r="H1527" s="16"/>
      <c r="I1527" s="36" t="str">
        <f t="shared" si="1"/>
        <v/>
      </c>
      <c r="J1527" s="16"/>
      <c r="K1527" s="15"/>
      <c r="L1527" s="15"/>
      <c r="M1527" s="36" t="str">
        <f t="array" ref="M1527">IF($A1527="","",IF($L1527="Atendido",IFERROR($I1527*INDEX(Config!$B:$B,MATCH($C1527,Config!$A:$A,0)),0),0))</f>
        <v/>
      </c>
      <c r="N1527" s="36" t="str">
        <f t="shared" si="2"/>
        <v/>
      </c>
      <c r="O1527" s="36" t="str">
        <f t="shared" si="3"/>
        <v/>
      </c>
      <c r="P1527" s="15"/>
      <c r="Q1527" s="37" t="str">
        <f t="shared" si="4"/>
        <v/>
      </c>
      <c r="R1527" s="37" t="str">
        <f t="shared" si="5"/>
        <v/>
      </c>
      <c r="S1527" s="32" t="str">
        <f t="shared" si="6"/>
        <v/>
      </c>
      <c r="T1527" s="37" t="str">
        <f t="shared" si="7"/>
        <v/>
      </c>
      <c r="U1527" s="37" t="str">
        <f t="array" ref="U1527">IF($F1527="","",IFERROR(INDEX(Config!$F:$F,MATCH($F1527,Config!$D:$D,0)),0))</f>
        <v/>
      </c>
    </row>
    <row r="1528" ht="15.0" customHeight="1">
      <c r="A1528" s="34"/>
      <c r="B1528" s="35"/>
      <c r="C1528" s="15"/>
      <c r="D1528" s="15"/>
      <c r="E1528" s="15"/>
      <c r="F1528" s="15"/>
      <c r="G1528" s="36" t="str">
        <f t="array" ref="G1528">IF($F1528="","",IFERROR(INDEX(Config!$E:$E,MATCH($F1528,Config!$D:$D,0)),0))</f>
        <v/>
      </c>
      <c r="H1528" s="16"/>
      <c r="I1528" s="36" t="str">
        <f t="shared" si="1"/>
        <v/>
      </c>
      <c r="J1528" s="16"/>
      <c r="K1528" s="15"/>
      <c r="L1528" s="15"/>
      <c r="M1528" s="36" t="str">
        <f t="array" ref="M1528">IF($A1528="","",IF($L1528="Atendido",IFERROR($I1528*INDEX(Config!$B:$B,MATCH($C1528,Config!$A:$A,0)),0),0))</f>
        <v/>
      </c>
      <c r="N1528" s="36" t="str">
        <f t="shared" si="2"/>
        <v/>
      </c>
      <c r="O1528" s="36" t="str">
        <f t="shared" si="3"/>
        <v/>
      </c>
      <c r="P1528" s="15"/>
      <c r="Q1528" s="37" t="str">
        <f t="shared" si="4"/>
        <v/>
      </c>
      <c r="R1528" s="37" t="str">
        <f t="shared" si="5"/>
        <v/>
      </c>
      <c r="S1528" s="32" t="str">
        <f t="shared" si="6"/>
        <v/>
      </c>
      <c r="T1528" s="37" t="str">
        <f t="shared" si="7"/>
        <v/>
      </c>
      <c r="U1528" s="37" t="str">
        <f t="array" ref="U1528">IF($F1528="","",IFERROR(INDEX(Config!$F:$F,MATCH($F1528,Config!$D:$D,0)),0))</f>
        <v/>
      </c>
    </row>
    <row r="1529" ht="15.0" customHeight="1">
      <c r="A1529" s="34"/>
      <c r="B1529" s="35"/>
      <c r="C1529" s="15"/>
      <c r="D1529" s="15"/>
      <c r="E1529" s="15"/>
      <c r="F1529" s="15"/>
      <c r="G1529" s="36" t="str">
        <f t="array" ref="G1529">IF($F1529="","",IFERROR(INDEX(Config!$E:$E,MATCH($F1529,Config!$D:$D,0)),0))</f>
        <v/>
      </c>
      <c r="H1529" s="16"/>
      <c r="I1529" s="36" t="str">
        <f t="shared" si="1"/>
        <v/>
      </c>
      <c r="J1529" s="16"/>
      <c r="K1529" s="15"/>
      <c r="L1529" s="15"/>
      <c r="M1529" s="36" t="str">
        <f t="array" ref="M1529">IF($A1529="","",IF($L1529="Atendido",IFERROR($I1529*INDEX(Config!$B:$B,MATCH($C1529,Config!$A:$A,0)),0),0))</f>
        <v/>
      </c>
      <c r="N1529" s="36" t="str">
        <f t="shared" si="2"/>
        <v/>
      </c>
      <c r="O1529" s="36" t="str">
        <f t="shared" si="3"/>
        <v/>
      </c>
      <c r="P1529" s="15"/>
      <c r="Q1529" s="37" t="str">
        <f t="shared" si="4"/>
        <v/>
      </c>
      <c r="R1529" s="37" t="str">
        <f t="shared" si="5"/>
        <v/>
      </c>
      <c r="S1529" s="32" t="str">
        <f t="shared" si="6"/>
        <v/>
      </c>
      <c r="T1529" s="37" t="str">
        <f t="shared" si="7"/>
        <v/>
      </c>
      <c r="U1529" s="37" t="str">
        <f t="array" ref="U1529">IF($F1529="","",IFERROR(INDEX(Config!$F:$F,MATCH($F1529,Config!$D:$D,0)),0))</f>
        <v/>
      </c>
    </row>
    <row r="1530" ht="15.0" customHeight="1">
      <c r="A1530" s="34"/>
      <c r="B1530" s="35"/>
      <c r="C1530" s="15"/>
      <c r="D1530" s="15"/>
      <c r="E1530" s="15"/>
      <c r="F1530" s="15"/>
      <c r="G1530" s="36" t="str">
        <f t="array" ref="G1530">IF($F1530="","",IFERROR(INDEX(Config!$E:$E,MATCH($F1530,Config!$D:$D,0)),0))</f>
        <v/>
      </c>
      <c r="H1530" s="16"/>
      <c r="I1530" s="36" t="str">
        <f t="shared" si="1"/>
        <v/>
      </c>
      <c r="J1530" s="16"/>
      <c r="K1530" s="15"/>
      <c r="L1530" s="15"/>
      <c r="M1530" s="36" t="str">
        <f t="array" ref="M1530">IF($A1530="","",IF($L1530="Atendido",IFERROR($I1530*INDEX(Config!$B:$B,MATCH($C1530,Config!$A:$A,0)),0),0))</f>
        <v/>
      </c>
      <c r="N1530" s="36" t="str">
        <f t="shared" si="2"/>
        <v/>
      </c>
      <c r="O1530" s="36" t="str">
        <f t="shared" si="3"/>
        <v/>
      </c>
      <c r="P1530" s="15"/>
      <c r="Q1530" s="37" t="str">
        <f t="shared" si="4"/>
        <v/>
      </c>
      <c r="R1530" s="37" t="str">
        <f t="shared" si="5"/>
        <v/>
      </c>
      <c r="S1530" s="32" t="str">
        <f t="shared" si="6"/>
        <v/>
      </c>
      <c r="T1530" s="37" t="str">
        <f t="shared" si="7"/>
        <v/>
      </c>
      <c r="U1530" s="37" t="str">
        <f t="array" ref="U1530">IF($F1530="","",IFERROR(INDEX(Config!$F:$F,MATCH($F1530,Config!$D:$D,0)),0))</f>
        <v/>
      </c>
    </row>
    <row r="1531" ht="15.0" customHeight="1">
      <c r="A1531" s="34"/>
      <c r="B1531" s="35"/>
      <c r="C1531" s="15"/>
      <c r="D1531" s="15"/>
      <c r="E1531" s="15"/>
      <c r="F1531" s="15"/>
      <c r="G1531" s="36" t="str">
        <f t="array" ref="G1531">IF($F1531="","",IFERROR(INDEX(Config!$E:$E,MATCH($F1531,Config!$D:$D,0)),0))</f>
        <v/>
      </c>
      <c r="H1531" s="16"/>
      <c r="I1531" s="36" t="str">
        <f t="shared" si="1"/>
        <v/>
      </c>
      <c r="J1531" s="16"/>
      <c r="K1531" s="15"/>
      <c r="L1531" s="15"/>
      <c r="M1531" s="36" t="str">
        <f t="array" ref="M1531">IF($A1531="","",IF($L1531="Atendido",IFERROR($I1531*INDEX(Config!$B:$B,MATCH($C1531,Config!$A:$A,0)),0),0))</f>
        <v/>
      </c>
      <c r="N1531" s="36" t="str">
        <f t="shared" si="2"/>
        <v/>
      </c>
      <c r="O1531" s="36" t="str">
        <f t="shared" si="3"/>
        <v/>
      </c>
      <c r="P1531" s="15"/>
      <c r="Q1531" s="37" t="str">
        <f t="shared" si="4"/>
        <v/>
      </c>
      <c r="R1531" s="37" t="str">
        <f t="shared" si="5"/>
        <v/>
      </c>
      <c r="S1531" s="32" t="str">
        <f t="shared" si="6"/>
        <v/>
      </c>
      <c r="T1531" s="37" t="str">
        <f t="shared" si="7"/>
        <v/>
      </c>
      <c r="U1531" s="37" t="str">
        <f t="array" ref="U1531">IF($F1531="","",IFERROR(INDEX(Config!$F:$F,MATCH($F1531,Config!$D:$D,0)),0))</f>
        <v/>
      </c>
    </row>
    <row r="1532" ht="15.0" customHeight="1">
      <c r="A1532" s="34"/>
      <c r="B1532" s="35"/>
      <c r="C1532" s="15"/>
      <c r="D1532" s="15"/>
      <c r="E1532" s="15"/>
      <c r="F1532" s="15"/>
      <c r="G1532" s="36" t="str">
        <f t="array" ref="G1532">IF($F1532="","",IFERROR(INDEX(Config!$E:$E,MATCH($F1532,Config!$D:$D,0)),0))</f>
        <v/>
      </c>
      <c r="H1532" s="16"/>
      <c r="I1532" s="36" t="str">
        <f t="shared" si="1"/>
        <v/>
      </c>
      <c r="J1532" s="16"/>
      <c r="K1532" s="15"/>
      <c r="L1532" s="15"/>
      <c r="M1532" s="36" t="str">
        <f t="array" ref="M1532">IF($A1532="","",IF($L1532="Atendido",IFERROR($I1532*INDEX(Config!$B:$B,MATCH($C1532,Config!$A:$A,0)),0),0))</f>
        <v/>
      </c>
      <c r="N1532" s="36" t="str">
        <f t="shared" si="2"/>
        <v/>
      </c>
      <c r="O1532" s="36" t="str">
        <f t="shared" si="3"/>
        <v/>
      </c>
      <c r="P1532" s="15"/>
      <c r="Q1532" s="37" t="str">
        <f t="shared" si="4"/>
        <v/>
      </c>
      <c r="R1532" s="37" t="str">
        <f t="shared" si="5"/>
        <v/>
      </c>
      <c r="S1532" s="32" t="str">
        <f t="shared" si="6"/>
        <v/>
      </c>
      <c r="T1532" s="37" t="str">
        <f t="shared" si="7"/>
        <v/>
      </c>
      <c r="U1532" s="37" t="str">
        <f t="array" ref="U1532">IF($F1532="","",IFERROR(INDEX(Config!$F:$F,MATCH($F1532,Config!$D:$D,0)),0))</f>
        <v/>
      </c>
    </row>
    <row r="1533" ht="15.0" customHeight="1">
      <c r="A1533" s="34"/>
      <c r="B1533" s="35"/>
      <c r="C1533" s="15"/>
      <c r="D1533" s="15"/>
      <c r="E1533" s="15"/>
      <c r="F1533" s="15"/>
      <c r="G1533" s="36" t="str">
        <f t="array" ref="G1533">IF($F1533="","",IFERROR(INDEX(Config!$E:$E,MATCH($F1533,Config!$D:$D,0)),0))</f>
        <v/>
      </c>
      <c r="H1533" s="16"/>
      <c r="I1533" s="36" t="str">
        <f t="shared" si="1"/>
        <v/>
      </c>
      <c r="J1533" s="16"/>
      <c r="K1533" s="15"/>
      <c r="L1533" s="15"/>
      <c r="M1533" s="36" t="str">
        <f t="array" ref="M1533">IF($A1533="","",IF($L1533="Atendido",IFERROR($I1533*INDEX(Config!$B:$B,MATCH($C1533,Config!$A:$A,0)),0),0))</f>
        <v/>
      </c>
      <c r="N1533" s="36" t="str">
        <f t="shared" si="2"/>
        <v/>
      </c>
      <c r="O1533" s="36" t="str">
        <f t="shared" si="3"/>
        <v/>
      </c>
      <c r="P1533" s="15"/>
      <c r="Q1533" s="37" t="str">
        <f t="shared" si="4"/>
        <v/>
      </c>
      <c r="R1533" s="37" t="str">
        <f t="shared" si="5"/>
        <v/>
      </c>
      <c r="S1533" s="32" t="str">
        <f t="shared" si="6"/>
        <v/>
      </c>
      <c r="T1533" s="37" t="str">
        <f t="shared" si="7"/>
        <v/>
      </c>
      <c r="U1533" s="37" t="str">
        <f t="array" ref="U1533">IF($F1533="","",IFERROR(INDEX(Config!$F:$F,MATCH($F1533,Config!$D:$D,0)),0))</f>
        <v/>
      </c>
    </row>
    <row r="1534" ht="15.0" customHeight="1">
      <c r="A1534" s="34"/>
      <c r="B1534" s="35"/>
      <c r="C1534" s="15"/>
      <c r="D1534" s="15"/>
      <c r="E1534" s="15"/>
      <c r="F1534" s="15"/>
      <c r="G1534" s="36" t="str">
        <f t="array" ref="G1534">IF($F1534="","",IFERROR(INDEX(Config!$E:$E,MATCH($F1534,Config!$D:$D,0)),0))</f>
        <v/>
      </c>
      <c r="H1534" s="16"/>
      <c r="I1534" s="36" t="str">
        <f t="shared" si="1"/>
        <v/>
      </c>
      <c r="J1534" s="16"/>
      <c r="K1534" s="15"/>
      <c r="L1534" s="15"/>
      <c r="M1534" s="36" t="str">
        <f t="array" ref="M1534">IF($A1534="","",IF($L1534="Atendido",IFERROR($I1534*INDEX(Config!$B:$B,MATCH($C1534,Config!$A:$A,0)),0),0))</f>
        <v/>
      </c>
      <c r="N1534" s="36" t="str">
        <f t="shared" si="2"/>
        <v/>
      </c>
      <c r="O1534" s="36" t="str">
        <f t="shared" si="3"/>
        <v/>
      </c>
      <c r="P1534" s="15"/>
      <c r="Q1534" s="37" t="str">
        <f t="shared" si="4"/>
        <v/>
      </c>
      <c r="R1534" s="37" t="str">
        <f t="shared" si="5"/>
        <v/>
      </c>
      <c r="S1534" s="32" t="str">
        <f t="shared" si="6"/>
        <v/>
      </c>
      <c r="T1534" s="37" t="str">
        <f t="shared" si="7"/>
        <v/>
      </c>
      <c r="U1534" s="37" t="str">
        <f t="array" ref="U1534">IF($F1534="","",IFERROR(INDEX(Config!$F:$F,MATCH($F1534,Config!$D:$D,0)),0))</f>
        <v/>
      </c>
    </row>
    <row r="1535" ht="15.0" customHeight="1">
      <c r="A1535" s="34"/>
      <c r="B1535" s="35"/>
      <c r="C1535" s="15"/>
      <c r="D1535" s="15"/>
      <c r="E1535" s="15"/>
      <c r="F1535" s="15"/>
      <c r="G1535" s="36" t="str">
        <f t="array" ref="G1535">IF($F1535="","",IFERROR(INDEX(Config!$E:$E,MATCH($F1535,Config!$D:$D,0)),0))</f>
        <v/>
      </c>
      <c r="H1535" s="16"/>
      <c r="I1535" s="36" t="str">
        <f t="shared" si="1"/>
        <v/>
      </c>
      <c r="J1535" s="16"/>
      <c r="K1535" s="15"/>
      <c r="L1535" s="15"/>
      <c r="M1535" s="36" t="str">
        <f t="array" ref="M1535">IF($A1535="","",IF($L1535="Atendido",IFERROR($I1535*INDEX(Config!$B:$B,MATCH($C1535,Config!$A:$A,0)),0),0))</f>
        <v/>
      </c>
      <c r="N1535" s="36" t="str">
        <f t="shared" si="2"/>
        <v/>
      </c>
      <c r="O1535" s="36" t="str">
        <f t="shared" si="3"/>
        <v/>
      </c>
      <c r="P1535" s="15"/>
      <c r="Q1535" s="37" t="str">
        <f t="shared" si="4"/>
        <v/>
      </c>
      <c r="R1535" s="37" t="str">
        <f t="shared" si="5"/>
        <v/>
      </c>
      <c r="S1535" s="32" t="str">
        <f t="shared" si="6"/>
        <v/>
      </c>
      <c r="T1535" s="37" t="str">
        <f t="shared" si="7"/>
        <v/>
      </c>
      <c r="U1535" s="37" t="str">
        <f t="array" ref="U1535">IF($F1535="","",IFERROR(INDEX(Config!$F:$F,MATCH($F1535,Config!$D:$D,0)),0))</f>
        <v/>
      </c>
    </row>
    <row r="1536" ht="15.0" customHeight="1">
      <c r="A1536" s="34"/>
      <c r="B1536" s="35"/>
      <c r="C1536" s="15"/>
      <c r="D1536" s="15"/>
      <c r="E1536" s="15"/>
      <c r="F1536" s="15"/>
      <c r="G1536" s="36" t="str">
        <f t="array" ref="G1536">IF($F1536="","",IFERROR(INDEX(Config!$E:$E,MATCH($F1536,Config!$D:$D,0)),0))</f>
        <v/>
      </c>
      <c r="H1536" s="16"/>
      <c r="I1536" s="36" t="str">
        <f t="shared" si="1"/>
        <v/>
      </c>
      <c r="J1536" s="16"/>
      <c r="K1536" s="15"/>
      <c r="L1536" s="15"/>
      <c r="M1536" s="36" t="str">
        <f t="array" ref="M1536">IF($A1536="","",IF($L1536="Atendido",IFERROR($I1536*INDEX(Config!$B:$B,MATCH($C1536,Config!$A:$A,0)),0),0))</f>
        <v/>
      </c>
      <c r="N1536" s="36" t="str">
        <f t="shared" si="2"/>
        <v/>
      </c>
      <c r="O1536" s="36" t="str">
        <f t="shared" si="3"/>
        <v/>
      </c>
      <c r="P1536" s="15"/>
      <c r="Q1536" s="37" t="str">
        <f t="shared" si="4"/>
        <v/>
      </c>
      <c r="R1536" s="37" t="str">
        <f t="shared" si="5"/>
        <v/>
      </c>
      <c r="S1536" s="32" t="str">
        <f t="shared" si="6"/>
        <v/>
      </c>
      <c r="T1536" s="37" t="str">
        <f t="shared" si="7"/>
        <v/>
      </c>
      <c r="U1536" s="37" t="str">
        <f t="array" ref="U1536">IF($F1536="","",IFERROR(INDEX(Config!$F:$F,MATCH($F1536,Config!$D:$D,0)),0))</f>
        <v/>
      </c>
    </row>
    <row r="1537" ht="15.0" customHeight="1">
      <c r="A1537" s="34"/>
      <c r="B1537" s="35"/>
      <c r="C1537" s="15"/>
      <c r="D1537" s="15"/>
      <c r="E1537" s="15"/>
      <c r="F1537" s="15"/>
      <c r="G1537" s="36" t="str">
        <f t="array" ref="G1537">IF($F1537="","",IFERROR(INDEX(Config!$E:$E,MATCH($F1537,Config!$D:$D,0)),0))</f>
        <v/>
      </c>
      <c r="H1537" s="16"/>
      <c r="I1537" s="36" t="str">
        <f t="shared" si="1"/>
        <v/>
      </c>
      <c r="J1537" s="16"/>
      <c r="K1537" s="15"/>
      <c r="L1537" s="15"/>
      <c r="M1537" s="36" t="str">
        <f t="array" ref="M1537">IF($A1537="","",IF($L1537="Atendido",IFERROR($I1537*INDEX(Config!$B:$B,MATCH($C1537,Config!$A:$A,0)),0),0))</f>
        <v/>
      </c>
      <c r="N1537" s="36" t="str">
        <f t="shared" si="2"/>
        <v/>
      </c>
      <c r="O1537" s="36" t="str">
        <f t="shared" si="3"/>
        <v/>
      </c>
      <c r="P1537" s="15"/>
      <c r="Q1537" s="37" t="str">
        <f t="shared" si="4"/>
        <v/>
      </c>
      <c r="R1537" s="37" t="str">
        <f t="shared" si="5"/>
        <v/>
      </c>
      <c r="S1537" s="32" t="str">
        <f t="shared" si="6"/>
        <v/>
      </c>
      <c r="T1537" s="37" t="str">
        <f t="shared" si="7"/>
        <v/>
      </c>
      <c r="U1537" s="37" t="str">
        <f t="array" ref="U1537">IF($F1537="","",IFERROR(INDEX(Config!$F:$F,MATCH($F1537,Config!$D:$D,0)),0))</f>
        <v/>
      </c>
    </row>
    <row r="1538" ht="15.0" customHeight="1">
      <c r="A1538" s="34"/>
      <c r="B1538" s="35"/>
      <c r="C1538" s="15"/>
      <c r="D1538" s="15"/>
      <c r="E1538" s="15"/>
      <c r="F1538" s="15"/>
      <c r="G1538" s="36" t="str">
        <f t="array" ref="G1538">IF($F1538="","",IFERROR(INDEX(Config!$E:$E,MATCH($F1538,Config!$D:$D,0)),0))</f>
        <v/>
      </c>
      <c r="H1538" s="16"/>
      <c r="I1538" s="36" t="str">
        <f t="shared" si="1"/>
        <v/>
      </c>
      <c r="J1538" s="16"/>
      <c r="K1538" s="15"/>
      <c r="L1538" s="15"/>
      <c r="M1538" s="36" t="str">
        <f t="array" ref="M1538">IF($A1538="","",IF($L1538="Atendido",IFERROR($I1538*INDEX(Config!$B:$B,MATCH($C1538,Config!$A:$A,0)),0),0))</f>
        <v/>
      </c>
      <c r="N1538" s="36" t="str">
        <f t="shared" si="2"/>
        <v/>
      </c>
      <c r="O1538" s="36" t="str">
        <f t="shared" si="3"/>
        <v/>
      </c>
      <c r="P1538" s="15"/>
      <c r="Q1538" s="37" t="str">
        <f t="shared" si="4"/>
        <v/>
      </c>
      <c r="R1538" s="37" t="str">
        <f t="shared" si="5"/>
        <v/>
      </c>
      <c r="S1538" s="32" t="str">
        <f t="shared" si="6"/>
        <v/>
      </c>
      <c r="T1538" s="37" t="str">
        <f t="shared" si="7"/>
        <v/>
      </c>
      <c r="U1538" s="37" t="str">
        <f t="array" ref="U1538">IF($F1538="","",IFERROR(INDEX(Config!$F:$F,MATCH($F1538,Config!$D:$D,0)),0))</f>
        <v/>
      </c>
    </row>
    <row r="1539" ht="15.0" customHeight="1">
      <c r="A1539" s="34"/>
      <c r="B1539" s="35"/>
      <c r="C1539" s="15"/>
      <c r="D1539" s="15"/>
      <c r="E1539" s="15"/>
      <c r="F1539" s="15"/>
      <c r="G1539" s="36" t="str">
        <f t="array" ref="G1539">IF($F1539="","",IFERROR(INDEX(Config!$E:$E,MATCH($F1539,Config!$D:$D,0)),0))</f>
        <v/>
      </c>
      <c r="H1539" s="16"/>
      <c r="I1539" s="36" t="str">
        <f t="shared" si="1"/>
        <v/>
      </c>
      <c r="J1539" s="16"/>
      <c r="K1539" s="15"/>
      <c r="L1539" s="15"/>
      <c r="M1539" s="36" t="str">
        <f t="array" ref="M1539">IF($A1539="","",IF($L1539="Atendido",IFERROR($I1539*INDEX(Config!$B:$B,MATCH($C1539,Config!$A:$A,0)),0),0))</f>
        <v/>
      </c>
      <c r="N1539" s="36" t="str">
        <f t="shared" si="2"/>
        <v/>
      </c>
      <c r="O1539" s="36" t="str">
        <f t="shared" si="3"/>
        <v/>
      </c>
      <c r="P1539" s="15"/>
      <c r="Q1539" s="37" t="str">
        <f t="shared" si="4"/>
        <v/>
      </c>
      <c r="R1539" s="37" t="str">
        <f t="shared" si="5"/>
        <v/>
      </c>
      <c r="S1539" s="32" t="str">
        <f t="shared" si="6"/>
        <v/>
      </c>
      <c r="T1539" s="37" t="str">
        <f t="shared" si="7"/>
        <v/>
      </c>
      <c r="U1539" s="37" t="str">
        <f t="array" ref="U1539">IF($F1539="","",IFERROR(INDEX(Config!$F:$F,MATCH($F1539,Config!$D:$D,0)),0))</f>
        <v/>
      </c>
    </row>
    <row r="1540" ht="15.0" customHeight="1">
      <c r="A1540" s="34"/>
      <c r="B1540" s="35"/>
      <c r="C1540" s="15"/>
      <c r="D1540" s="15"/>
      <c r="E1540" s="15"/>
      <c r="F1540" s="15"/>
      <c r="G1540" s="36" t="str">
        <f t="array" ref="G1540">IF($F1540="","",IFERROR(INDEX(Config!$E:$E,MATCH($F1540,Config!$D:$D,0)),0))</f>
        <v/>
      </c>
      <c r="H1540" s="16"/>
      <c r="I1540" s="36" t="str">
        <f t="shared" si="1"/>
        <v/>
      </c>
      <c r="J1540" s="16"/>
      <c r="K1540" s="15"/>
      <c r="L1540" s="15"/>
      <c r="M1540" s="36" t="str">
        <f t="array" ref="M1540">IF($A1540="","",IF($L1540="Atendido",IFERROR($I1540*INDEX(Config!$B:$B,MATCH($C1540,Config!$A:$A,0)),0),0))</f>
        <v/>
      </c>
      <c r="N1540" s="36" t="str">
        <f t="shared" si="2"/>
        <v/>
      </c>
      <c r="O1540" s="36" t="str">
        <f t="shared" si="3"/>
        <v/>
      </c>
      <c r="P1540" s="15"/>
      <c r="Q1540" s="37" t="str">
        <f t="shared" si="4"/>
        <v/>
      </c>
      <c r="R1540" s="37" t="str">
        <f t="shared" si="5"/>
        <v/>
      </c>
      <c r="S1540" s="32" t="str">
        <f t="shared" si="6"/>
        <v/>
      </c>
      <c r="T1540" s="37" t="str">
        <f t="shared" si="7"/>
        <v/>
      </c>
      <c r="U1540" s="37" t="str">
        <f t="array" ref="U1540">IF($F1540="","",IFERROR(INDEX(Config!$F:$F,MATCH($F1540,Config!$D:$D,0)),0))</f>
        <v/>
      </c>
    </row>
    <row r="1541" ht="15.0" customHeight="1">
      <c r="A1541" s="34"/>
      <c r="B1541" s="35"/>
      <c r="C1541" s="15"/>
      <c r="D1541" s="15"/>
      <c r="E1541" s="15"/>
      <c r="F1541" s="15"/>
      <c r="G1541" s="36" t="str">
        <f t="array" ref="G1541">IF($F1541="","",IFERROR(INDEX(Config!$E:$E,MATCH($F1541,Config!$D:$D,0)),0))</f>
        <v/>
      </c>
      <c r="H1541" s="16"/>
      <c r="I1541" s="36" t="str">
        <f t="shared" si="1"/>
        <v/>
      </c>
      <c r="J1541" s="16"/>
      <c r="K1541" s="15"/>
      <c r="L1541" s="15"/>
      <c r="M1541" s="36" t="str">
        <f t="array" ref="M1541">IF($A1541="","",IF($L1541="Atendido",IFERROR($I1541*INDEX(Config!$B:$B,MATCH($C1541,Config!$A:$A,0)),0),0))</f>
        <v/>
      </c>
      <c r="N1541" s="36" t="str">
        <f t="shared" si="2"/>
        <v/>
      </c>
      <c r="O1541" s="36" t="str">
        <f t="shared" si="3"/>
        <v/>
      </c>
      <c r="P1541" s="15"/>
      <c r="Q1541" s="37" t="str">
        <f t="shared" si="4"/>
        <v/>
      </c>
      <c r="R1541" s="37" t="str">
        <f t="shared" si="5"/>
        <v/>
      </c>
      <c r="S1541" s="32" t="str">
        <f t="shared" si="6"/>
        <v/>
      </c>
      <c r="T1541" s="37" t="str">
        <f t="shared" si="7"/>
        <v/>
      </c>
      <c r="U1541" s="37" t="str">
        <f t="array" ref="U1541">IF($F1541="","",IFERROR(INDEX(Config!$F:$F,MATCH($F1541,Config!$D:$D,0)),0))</f>
        <v/>
      </c>
    </row>
    <row r="1542" ht="15.0" customHeight="1">
      <c r="A1542" s="34"/>
      <c r="B1542" s="35"/>
      <c r="C1542" s="15"/>
      <c r="D1542" s="15"/>
      <c r="E1542" s="15"/>
      <c r="F1542" s="15"/>
      <c r="G1542" s="36" t="str">
        <f t="array" ref="G1542">IF($F1542="","",IFERROR(INDEX(Config!$E:$E,MATCH($F1542,Config!$D:$D,0)),0))</f>
        <v/>
      </c>
      <c r="H1542" s="16"/>
      <c r="I1542" s="36" t="str">
        <f t="shared" si="1"/>
        <v/>
      </c>
      <c r="J1542" s="16"/>
      <c r="K1542" s="15"/>
      <c r="L1542" s="15"/>
      <c r="M1542" s="36" t="str">
        <f t="array" ref="M1542">IF($A1542="","",IF($L1542="Atendido",IFERROR($I1542*INDEX(Config!$B:$B,MATCH($C1542,Config!$A:$A,0)),0),0))</f>
        <v/>
      </c>
      <c r="N1542" s="36" t="str">
        <f t="shared" si="2"/>
        <v/>
      </c>
      <c r="O1542" s="36" t="str">
        <f t="shared" si="3"/>
        <v/>
      </c>
      <c r="P1542" s="15"/>
      <c r="Q1542" s="37" t="str">
        <f t="shared" si="4"/>
        <v/>
      </c>
      <c r="R1542" s="37" t="str">
        <f t="shared" si="5"/>
        <v/>
      </c>
      <c r="S1542" s="32" t="str">
        <f t="shared" si="6"/>
        <v/>
      </c>
      <c r="T1542" s="37" t="str">
        <f t="shared" si="7"/>
        <v/>
      </c>
      <c r="U1542" s="37" t="str">
        <f t="array" ref="U1542">IF($F1542="","",IFERROR(INDEX(Config!$F:$F,MATCH($F1542,Config!$D:$D,0)),0))</f>
        <v/>
      </c>
    </row>
    <row r="1543" ht="15.0" customHeight="1">
      <c r="A1543" s="34"/>
      <c r="B1543" s="35"/>
      <c r="C1543" s="15"/>
      <c r="D1543" s="15"/>
      <c r="E1543" s="15"/>
      <c r="F1543" s="15"/>
      <c r="G1543" s="36" t="str">
        <f t="array" ref="G1543">IF($F1543="","",IFERROR(INDEX(Config!$E:$E,MATCH($F1543,Config!$D:$D,0)),0))</f>
        <v/>
      </c>
      <c r="H1543" s="16"/>
      <c r="I1543" s="36" t="str">
        <f t="shared" si="1"/>
        <v/>
      </c>
      <c r="J1543" s="16"/>
      <c r="K1543" s="15"/>
      <c r="L1543" s="15"/>
      <c r="M1543" s="36" t="str">
        <f t="array" ref="M1543">IF($A1543="","",IF($L1543="Atendido",IFERROR($I1543*INDEX(Config!$B:$B,MATCH($C1543,Config!$A:$A,0)),0),0))</f>
        <v/>
      </c>
      <c r="N1543" s="36" t="str">
        <f t="shared" si="2"/>
        <v/>
      </c>
      <c r="O1543" s="36" t="str">
        <f t="shared" si="3"/>
        <v/>
      </c>
      <c r="P1543" s="15"/>
      <c r="Q1543" s="37" t="str">
        <f t="shared" si="4"/>
        <v/>
      </c>
      <c r="R1543" s="37" t="str">
        <f t="shared" si="5"/>
        <v/>
      </c>
      <c r="S1543" s="32" t="str">
        <f t="shared" si="6"/>
        <v/>
      </c>
      <c r="T1543" s="37" t="str">
        <f t="shared" si="7"/>
        <v/>
      </c>
      <c r="U1543" s="37" t="str">
        <f t="array" ref="U1543">IF($F1543="","",IFERROR(INDEX(Config!$F:$F,MATCH($F1543,Config!$D:$D,0)),0))</f>
        <v/>
      </c>
    </row>
    <row r="1544" ht="15.0" customHeight="1">
      <c r="A1544" s="34"/>
      <c r="B1544" s="35"/>
      <c r="C1544" s="15"/>
      <c r="D1544" s="15"/>
      <c r="E1544" s="15"/>
      <c r="F1544" s="15"/>
      <c r="G1544" s="36" t="str">
        <f t="array" ref="G1544">IF($F1544="","",IFERROR(INDEX(Config!$E:$E,MATCH($F1544,Config!$D:$D,0)),0))</f>
        <v/>
      </c>
      <c r="H1544" s="16"/>
      <c r="I1544" s="36" t="str">
        <f t="shared" si="1"/>
        <v/>
      </c>
      <c r="J1544" s="16"/>
      <c r="K1544" s="15"/>
      <c r="L1544" s="15"/>
      <c r="M1544" s="36" t="str">
        <f t="array" ref="M1544">IF($A1544="","",IF($L1544="Atendido",IFERROR($I1544*INDEX(Config!$B:$B,MATCH($C1544,Config!$A:$A,0)),0),0))</f>
        <v/>
      </c>
      <c r="N1544" s="36" t="str">
        <f t="shared" si="2"/>
        <v/>
      </c>
      <c r="O1544" s="36" t="str">
        <f t="shared" si="3"/>
        <v/>
      </c>
      <c r="P1544" s="15"/>
      <c r="Q1544" s="37" t="str">
        <f t="shared" si="4"/>
        <v/>
      </c>
      <c r="R1544" s="37" t="str">
        <f t="shared" si="5"/>
        <v/>
      </c>
      <c r="S1544" s="32" t="str">
        <f t="shared" si="6"/>
        <v/>
      </c>
      <c r="T1544" s="37" t="str">
        <f t="shared" si="7"/>
        <v/>
      </c>
      <c r="U1544" s="37" t="str">
        <f t="array" ref="U1544">IF($F1544="","",IFERROR(INDEX(Config!$F:$F,MATCH($F1544,Config!$D:$D,0)),0))</f>
        <v/>
      </c>
    </row>
    <row r="1545" ht="15.0" customHeight="1">
      <c r="A1545" s="34"/>
      <c r="B1545" s="35"/>
      <c r="C1545" s="15"/>
      <c r="D1545" s="15"/>
      <c r="E1545" s="15"/>
      <c r="F1545" s="15"/>
      <c r="G1545" s="36" t="str">
        <f t="array" ref="G1545">IF($F1545="","",IFERROR(INDEX(Config!$E:$E,MATCH($F1545,Config!$D:$D,0)),0))</f>
        <v/>
      </c>
      <c r="H1545" s="16"/>
      <c r="I1545" s="36" t="str">
        <f t="shared" si="1"/>
        <v/>
      </c>
      <c r="J1545" s="16"/>
      <c r="K1545" s="15"/>
      <c r="L1545" s="15"/>
      <c r="M1545" s="36" t="str">
        <f t="array" ref="M1545">IF($A1545="","",IF($L1545="Atendido",IFERROR($I1545*INDEX(Config!$B:$B,MATCH($C1545,Config!$A:$A,0)),0),0))</f>
        <v/>
      </c>
      <c r="N1545" s="36" t="str">
        <f t="shared" si="2"/>
        <v/>
      </c>
      <c r="O1545" s="36" t="str">
        <f t="shared" si="3"/>
        <v/>
      </c>
      <c r="P1545" s="15"/>
      <c r="Q1545" s="37" t="str">
        <f t="shared" si="4"/>
        <v/>
      </c>
      <c r="R1545" s="37" t="str">
        <f t="shared" si="5"/>
        <v/>
      </c>
      <c r="S1545" s="32" t="str">
        <f t="shared" si="6"/>
        <v/>
      </c>
      <c r="T1545" s="37" t="str">
        <f t="shared" si="7"/>
        <v/>
      </c>
      <c r="U1545" s="37" t="str">
        <f t="array" ref="U1545">IF($F1545="","",IFERROR(INDEX(Config!$F:$F,MATCH($F1545,Config!$D:$D,0)),0))</f>
        <v/>
      </c>
    </row>
    <row r="1546" ht="15.0" customHeight="1">
      <c r="A1546" s="34"/>
      <c r="B1546" s="35"/>
      <c r="C1546" s="15"/>
      <c r="D1546" s="15"/>
      <c r="E1546" s="15"/>
      <c r="F1546" s="15"/>
      <c r="G1546" s="36" t="str">
        <f t="array" ref="G1546">IF($F1546="","",IFERROR(INDEX(Config!$E:$E,MATCH($F1546,Config!$D:$D,0)),0))</f>
        <v/>
      </c>
      <c r="H1546" s="16"/>
      <c r="I1546" s="36" t="str">
        <f t="shared" si="1"/>
        <v/>
      </c>
      <c r="J1546" s="16"/>
      <c r="K1546" s="15"/>
      <c r="L1546" s="15"/>
      <c r="M1546" s="36" t="str">
        <f t="array" ref="M1546">IF($A1546="","",IF($L1546="Atendido",IFERROR($I1546*INDEX(Config!$B:$B,MATCH($C1546,Config!$A:$A,0)),0),0))</f>
        <v/>
      </c>
      <c r="N1546" s="36" t="str">
        <f t="shared" si="2"/>
        <v/>
      </c>
      <c r="O1546" s="36" t="str">
        <f t="shared" si="3"/>
        <v/>
      </c>
      <c r="P1546" s="15"/>
      <c r="Q1546" s="37" t="str">
        <f t="shared" si="4"/>
        <v/>
      </c>
      <c r="R1546" s="37" t="str">
        <f t="shared" si="5"/>
        <v/>
      </c>
      <c r="S1546" s="32" t="str">
        <f t="shared" si="6"/>
        <v/>
      </c>
      <c r="T1546" s="37" t="str">
        <f t="shared" si="7"/>
        <v/>
      </c>
      <c r="U1546" s="37" t="str">
        <f t="array" ref="U1546">IF($F1546="","",IFERROR(INDEX(Config!$F:$F,MATCH($F1546,Config!$D:$D,0)),0))</f>
        <v/>
      </c>
    </row>
    <row r="1547" ht="15.0" customHeight="1">
      <c r="A1547" s="34"/>
      <c r="B1547" s="35"/>
      <c r="C1547" s="15"/>
      <c r="D1547" s="15"/>
      <c r="E1547" s="15"/>
      <c r="F1547" s="15"/>
      <c r="G1547" s="36" t="str">
        <f t="array" ref="G1547">IF($F1547="","",IFERROR(INDEX(Config!$E:$E,MATCH($F1547,Config!$D:$D,0)),0))</f>
        <v/>
      </c>
      <c r="H1547" s="16"/>
      <c r="I1547" s="36" t="str">
        <f t="shared" si="1"/>
        <v/>
      </c>
      <c r="J1547" s="16"/>
      <c r="K1547" s="15"/>
      <c r="L1547" s="15"/>
      <c r="M1547" s="36" t="str">
        <f t="array" ref="M1547">IF($A1547="","",IF($L1547="Atendido",IFERROR($I1547*INDEX(Config!$B:$B,MATCH($C1547,Config!$A:$A,0)),0),0))</f>
        <v/>
      </c>
      <c r="N1547" s="36" t="str">
        <f t="shared" si="2"/>
        <v/>
      </c>
      <c r="O1547" s="36" t="str">
        <f t="shared" si="3"/>
        <v/>
      </c>
      <c r="P1547" s="15"/>
      <c r="Q1547" s="37" t="str">
        <f t="shared" si="4"/>
        <v/>
      </c>
      <c r="R1547" s="37" t="str">
        <f t="shared" si="5"/>
        <v/>
      </c>
      <c r="S1547" s="32" t="str">
        <f t="shared" si="6"/>
        <v/>
      </c>
      <c r="T1547" s="37" t="str">
        <f t="shared" si="7"/>
        <v/>
      </c>
      <c r="U1547" s="37" t="str">
        <f t="array" ref="U1547">IF($F1547="","",IFERROR(INDEX(Config!$F:$F,MATCH($F1547,Config!$D:$D,0)),0))</f>
        <v/>
      </c>
    </row>
    <row r="1548" ht="15.0" customHeight="1">
      <c r="A1548" s="34"/>
      <c r="B1548" s="35"/>
      <c r="C1548" s="15"/>
      <c r="D1548" s="15"/>
      <c r="E1548" s="15"/>
      <c r="F1548" s="15"/>
      <c r="G1548" s="36" t="str">
        <f t="array" ref="G1548">IF($F1548="","",IFERROR(INDEX(Config!$E:$E,MATCH($F1548,Config!$D:$D,0)),0))</f>
        <v/>
      </c>
      <c r="H1548" s="16"/>
      <c r="I1548" s="36" t="str">
        <f t="shared" si="1"/>
        <v/>
      </c>
      <c r="J1548" s="16"/>
      <c r="K1548" s="15"/>
      <c r="L1548" s="15"/>
      <c r="M1548" s="36" t="str">
        <f t="array" ref="M1548">IF($A1548="","",IF($L1548="Atendido",IFERROR($I1548*INDEX(Config!$B:$B,MATCH($C1548,Config!$A:$A,0)),0),0))</f>
        <v/>
      </c>
      <c r="N1548" s="36" t="str">
        <f t="shared" si="2"/>
        <v/>
      </c>
      <c r="O1548" s="36" t="str">
        <f t="shared" si="3"/>
        <v/>
      </c>
      <c r="P1548" s="15"/>
      <c r="Q1548" s="37" t="str">
        <f t="shared" si="4"/>
        <v/>
      </c>
      <c r="R1548" s="37" t="str">
        <f t="shared" si="5"/>
        <v/>
      </c>
      <c r="S1548" s="32" t="str">
        <f t="shared" si="6"/>
        <v/>
      </c>
      <c r="T1548" s="37" t="str">
        <f t="shared" si="7"/>
        <v/>
      </c>
      <c r="U1548" s="37" t="str">
        <f t="array" ref="U1548">IF($F1548="","",IFERROR(INDEX(Config!$F:$F,MATCH($F1548,Config!$D:$D,0)),0))</f>
        <v/>
      </c>
    </row>
    <row r="1549" ht="15.0" customHeight="1">
      <c r="A1549" s="34"/>
      <c r="B1549" s="35"/>
      <c r="C1549" s="15"/>
      <c r="D1549" s="15"/>
      <c r="E1549" s="15"/>
      <c r="F1549" s="15"/>
      <c r="G1549" s="36" t="str">
        <f t="array" ref="G1549">IF($F1549="","",IFERROR(INDEX(Config!$E:$E,MATCH($F1549,Config!$D:$D,0)),0))</f>
        <v/>
      </c>
      <c r="H1549" s="16"/>
      <c r="I1549" s="36" t="str">
        <f t="shared" si="1"/>
        <v/>
      </c>
      <c r="J1549" s="16"/>
      <c r="K1549" s="15"/>
      <c r="L1549" s="15"/>
      <c r="M1549" s="36" t="str">
        <f t="array" ref="M1549">IF($A1549="","",IF($L1549="Atendido",IFERROR($I1549*INDEX(Config!$B:$B,MATCH($C1549,Config!$A:$A,0)),0),0))</f>
        <v/>
      </c>
      <c r="N1549" s="36" t="str">
        <f t="shared" si="2"/>
        <v/>
      </c>
      <c r="O1549" s="36" t="str">
        <f t="shared" si="3"/>
        <v/>
      </c>
      <c r="P1549" s="15"/>
      <c r="Q1549" s="37" t="str">
        <f t="shared" si="4"/>
        <v/>
      </c>
      <c r="R1549" s="37" t="str">
        <f t="shared" si="5"/>
        <v/>
      </c>
      <c r="S1549" s="32" t="str">
        <f t="shared" si="6"/>
        <v/>
      </c>
      <c r="T1549" s="37" t="str">
        <f t="shared" si="7"/>
        <v/>
      </c>
      <c r="U1549" s="37" t="str">
        <f t="array" ref="U1549">IF($F1549="","",IFERROR(INDEX(Config!$F:$F,MATCH($F1549,Config!$D:$D,0)),0))</f>
        <v/>
      </c>
    </row>
    <row r="1550" ht="15.0" customHeight="1">
      <c r="A1550" s="34"/>
      <c r="B1550" s="35"/>
      <c r="C1550" s="15"/>
      <c r="D1550" s="15"/>
      <c r="E1550" s="15"/>
      <c r="F1550" s="15"/>
      <c r="G1550" s="36" t="str">
        <f t="array" ref="G1550">IF($F1550="","",IFERROR(INDEX(Config!$E:$E,MATCH($F1550,Config!$D:$D,0)),0))</f>
        <v/>
      </c>
      <c r="H1550" s="16"/>
      <c r="I1550" s="36" t="str">
        <f t="shared" si="1"/>
        <v/>
      </c>
      <c r="J1550" s="16"/>
      <c r="K1550" s="15"/>
      <c r="L1550" s="15"/>
      <c r="M1550" s="36" t="str">
        <f t="array" ref="M1550">IF($A1550="","",IF($L1550="Atendido",IFERROR($I1550*INDEX(Config!$B:$B,MATCH($C1550,Config!$A:$A,0)),0),0))</f>
        <v/>
      </c>
      <c r="N1550" s="36" t="str">
        <f t="shared" si="2"/>
        <v/>
      </c>
      <c r="O1550" s="36" t="str">
        <f t="shared" si="3"/>
        <v/>
      </c>
      <c r="P1550" s="15"/>
      <c r="Q1550" s="37" t="str">
        <f t="shared" si="4"/>
        <v/>
      </c>
      <c r="R1550" s="37" t="str">
        <f t="shared" si="5"/>
        <v/>
      </c>
      <c r="S1550" s="32" t="str">
        <f t="shared" si="6"/>
        <v/>
      </c>
      <c r="T1550" s="37" t="str">
        <f t="shared" si="7"/>
        <v/>
      </c>
      <c r="U1550" s="37" t="str">
        <f t="array" ref="U1550">IF($F1550="","",IFERROR(INDEX(Config!$F:$F,MATCH($F1550,Config!$D:$D,0)),0))</f>
        <v/>
      </c>
    </row>
    <row r="1551" ht="15.0" customHeight="1">
      <c r="A1551" s="34"/>
      <c r="B1551" s="35"/>
      <c r="C1551" s="15"/>
      <c r="D1551" s="15"/>
      <c r="E1551" s="15"/>
      <c r="F1551" s="15"/>
      <c r="G1551" s="36" t="str">
        <f t="array" ref="G1551">IF($F1551="","",IFERROR(INDEX(Config!$E:$E,MATCH($F1551,Config!$D:$D,0)),0))</f>
        <v/>
      </c>
      <c r="H1551" s="16"/>
      <c r="I1551" s="36" t="str">
        <f t="shared" si="1"/>
        <v/>
      </c>
      <c r="J1551" s="16"/>
      <c r="K1551" s="15"/>
      <c r="L1551" s="15"/>
      <c r="M1551" s="36" t="str">
        <f t="array" ref="M1551">IF($A1551="","",IF($L1551="Atendido",IFERROR($I1551*INDEX(Config!$B:$B,MATCH($C1551,Config!$A:$A,0)),0),0))</f>
        <v/>
      </c>
      <c r="N1551" s="36" t="str">
        <f t="shared" si="2"/>
        <v/>
      </c>
      <c r="O1551" s="36" t="str">
        <f t="shared" si="3"/>
        <v/>
      </c>
      <c r="P1551" s="15"/>
      <c r="Q1551" s="37" t="str">
        <f t="shared" si="4"/>
        <v/>
      </c>
      <c r="R1551" s="37" t="str">
        <f t="shared" si="5"/>
        <v/>
      </c>
      <c r="S1551" s="32" t="str">
        <f t="shared" si="6"/>
        <v/>
      </c>
      <c r="T1551" s="37" t="str">
        <f t="shared" si="7"/>
        <v/>
      </c>
      <c r="U1551" s="37" t="str">
        <f t="array" ref="U1551">IF($F1551="","",IFERROR(INDEX(Config!$F:$F,MATCH($F1551,Config!$D:$D,0)),0))</f>
        <v/>
      </c>
    </row>
    <row r="1552" ht="15.0" customHeight="1">
      <c r="A1552" s="34"/>
      <c r="B1552" s="35"/>
      <c r="C1552" s="15"/>
      <c r="D1552" s="15"/>
      <c r="E1552" s="15"/>
      <c r="F1552" s="15"/>
      <c r="G1552" s="36" t="str">
        <f t="array" ref="G1552">IF($F1552="","",IFERROR(INDEX(Config!$E:$E,MATCH($F1552,Config!$D:$D,0)),0))</f>
        <v/>
      </c>
      <c r="H1552" s="16"/>
      <c r="I1552" s="36" t="str">
        <f t="shared" si="1"/>
        <v/>
      </c>
      <c r="J1552" s="16"/>
      <c r="K1552" s="15"/>
      <c r="L1552" s="15"/>
      <c r="M1552" s="36" t="str">
        <f t="array" ref="M1552">IF($A1552="","",IF($L1552="Atendido",IFERROR($I1552*INDEX(Config!$B:$B,MATCH($C1552,Config!$A:$A,0)),0),0))</f>
        <v/>
      </c>
      <c r="N1552" s="36" t="str">
        <f t="shared" si="2"/>
        <v/>
      </c>
      <c r="O1552" s="36" t="str">
        <f t="shared" si="3"/>
        <v/>
      </c>
      <c r="P1552" s="15"/>
      <c r="Q1552" s="37" t="str">
        <f t="shared" si="4"/>
        <v/>
      </c>
      <c r="R1552" s="37" t="str">
        <f t="shared" si="5"/>
        <v/>
      </c>
      <c r="S1552" s="32" t="str">
        <f t="shared" si="6"/>
        <v/>
      </c>
      <c r="T1552" s="37" t="str">
        <f t="shared" si="7"/>
        <v/>
      </c>
      <c r="U1552" s="37" t="str">
        <f t="array" ref="U1552">IF($F1552="","",IFERROR(INDEX(Config!$F:$F,MATCH($F1552,Config!$D:$D,0)),0))</f>
        <v/>
      </c>
    </row>
    <row r="1553" ht="15.0" customHeight="1">
      <c r="A1553" s="34"/>
      <c r="B1553" s="35"/>
      <c r="C1553" s="15"/>
      <c r="D1553" s="15"/>
      <c r="E1553" s="15"/>
      <c r="F1553" s="15"/>
      <c r="G1553" s="36" t="str">
        <f t="array" ref="G1553">IF($F1553="","",IFERROR(INDEX(Config!$E:$E,MATCH($F1553,Config!$D:$D,0)),0))</f>
        <v/>
      </c>
      <c r="H1553" s="16"/>
      <c r="I1553" s="36" t="str">
        <f t="shared" si="1"/>
        <v/>
      </c>
      <c r="J1553" s="16"/>
      <c r="K1553" s="15"/>
      <c r="L1553" s="15"/>
      <c r="M1553" s="36" t="str">
        <f t="array" ref="M1553">IF($A1553="","",IF($L1553="Atendido",IFERROR($I1553*INDEX(Config!$B:$B,MATCH($C1553,Config!$A:$A,0)),0),0))</f>
        <v/>
      </c>
      <c r="N1553" s="36" t="str">
        <f t="shared" si="2"/>
        <v/>
      </c>
      <c r="O1553" s="36" t="str">
        <f t="shared" si="3"/>
        <v/>
      </c>
      <c r="P1553" s="15"/>
      <c r="Q1553" s="37" t="str">
        <f t="shared" si="4"/>
        <v/>
      </c>
      <c r="R1553" s="37" t="str">
        <f t="shared" si="5"/>
        <v/>
      </c>
      <c r="S1553" s="32" t="str">
        <f t="shared" si="6"/>
        <v/>
      </c>
      <c r="T1553" s="37" t="str">
        <f t="shared" si="7"/>
        <v/>
      </c>
      <c r="U1553" s="37" t="str">
        <f t="array" ref="U1553">IF($F1553="","",IFERROR(INDEX(Config!$F:$F,MATCH($F1553,Config!$D:$D,0)),0))</f>
        <v/>
      </c>
    </row>
    <row r="1554" ht="15.0" customHeight="1">
      <c r="A1554" s="34"/>
      <c r="B1554" s="35"/>
      <c r="C1554" s="15"/>
      <c r="D1554" s="15"/>
      <c r="E1554" s="15"/>
      <c r="F1554" s="15"/>
      <c r="G1554" s="36" t="str">
        <f t="array" ref="G1554">IF($F1554="","",IFERROR(INDEX(Config!$E:$E,MATCH($F1554,Config!$D:$D,0)),0))</f>
        <v/>
      </c>
      <c r="H1554" s="16"/>
      <c r="I1554" s="36" t="str">
        <f t="shared" si="1"/>
        <v/>
      </c>
      <c r="J1554" s="16"/>
      <c r="K1554" s="15"/>
      <c r="L1554" s="15"/>
      <c r="M1554" s="36" t="str">
        <f t="array" ref="M1554">IF($A1554="","",IF($L1554="Atendido",IFERROR($I1554*INDEX(Config!$B:$B,MATCH($C1554,Config!$A:$A,0)),0),0))</f>
        <v/>
      </c>
      <c r="N1554" s="36" t="str">
        <f t="shared" si="2"/>
        <v/>
      </c>
      <c r="O1554" s="36" t="str">
        <f t="shared" si="3"/>
        <v/>
      </c>
      <c r="P1554" s="15"/>
      <c r="Q1554" s="37" t="str">
        <f t="shared" si="4"/>
        <v/>
      </c>
      <c r="R1554" s="37" t="str">
        <f t="shared" si="5"/>
        <v/>
      </c>
      <c r="S1554" s="32" t="str">
        <f t="shared" si="6"/>
        <v/>
      </c>
      <c r="T1554" s="37" t="str">
        <f t="shared" si="7"/>
        <v/>
      </c>
      <c r="U1554" s="37" t="str">
        <f t="array" ref="U1554">IF($F1554="","",IFERROR(INDEX(Config!$F:$F,MATCH($F1554,Config!$D:$D,0)),0))</f>
        <v/>
      </c>
    </row>
    <row r="1555" ht="15.0" customHeight="1">
      <c r="A1555" s="34"/>
      <c r="B1555" s="35"/>
      <c r="C1555" s="15"/>
      <c r="D1555" s="15"/>
      <c r="E1555" s="15"/>
      <c r="F1555" s="15"/>
      <c r="G1555" s="36" t="str">
        <f t="array" ref="G1555">IF($F1555="","",IFERROR(INDEX(Config!$E:$E,MATCH($F1555,Config!$D:$D,0)),0))</f>
        <v/>
      </c>
      <c r="H1555" s="16"/>
      <c r="I1555" s="36" t="str">
        <f t="shared" si="1"/>
        <v/>
      </c>
      <c r="J1555" s="16"/>
      <c r="K1555" s="15"/>
      <c r="L1555" s="15"/>
      <c r="M1555" s="36" t="str">
        <f t="array" ref="M1555">IF($A1555="","",IF($L1555="Atendido",IFERROR($I1555*INDEX(Config!$B:$B,MATCH($C1555,Config!$A:$A,0)),0),0))</f>
        <v/>
      </c>
      <c r="N1555" s="36" t="str">
        <f t="shared" si="2"/>
        <v/>
      </c>
      <c r="O1555" s="36" t="str">
        <f t="shared" si="3"/>
        <v/>
      </c>
      <c r="P1555" s="15"/>
      <c r="Q1555" s="37" t="str">
        <f t="shared" si="4"/>
        <v/>
      </c>
      <c r="R1555" s="37" t="str">
        <f t="shared" si="5"/>
        <v/>
      </c>
      <c r="S1555" s="32" t="str">
        <f t="shared" si="6"/>
        <v/>
      </c>
      <c r="T1555" s="37" t="str">
        <f t="shared" si="7"/>
        <v/>
      </c>
      <c r="U1555" s="37" t="str">
        <f t="array" ref="U1555">IF($F1555="","",IFERROR(INDEX(Config!$F:$F,MATCH($F1555,Config!$D:$D,0)),0))</f>
        <v/>
      </c>
    </row>
    <row r="1556" ht="15.0" customHeight="1">
      <c r="A1556" s="34"/>
      <c r="B1556" s="35"/>
      <c r="C1556" s="15"/>
      <c r="D1556" s="15"/>
      <c r="E1556" s="15"/>
      <c r="F1556" s="15"/>
      <c r="G1556" s="36" t="str">
        <f t="array" ref="G1556">IF($F1556="","",IFERROR(INDEX(Config!$E:$E,MATCH($F1556,Config!$D:$D,0)),0))</f>
        <v/>
      </c>
      <c r="H1556" s="16"/>
      <c r="I1556" s="36" t="str">
        <f t="shared" si="1"/>
        <v/>
      </c>
      <c r="J1556" s="16"/>
      <c r="K1556" s="15"/>
      <c r="L1556" s="15"/>
      <c r="M1556" s="36" t="str">
        <f t="array" ref="M1556">IF($A1556="","",IF($L1556="Atendido",IFERROR($I1556*INDEX(Config!$B:$B,MATCH($C1556,Config!$A:$A,0)),0),0))</f>
        <v/>
      </c>
      <c r="N1556" s="36" t="str">
        <f t="shared" si="2"/>
        <v/>
      </c>
      <c r="O1556" s="36" t="str">
        <f t="shared" si="3"/>
        <v/>
      </c>
      <c r="P1556" s="15"/>
      <c r="Q1556" s="37" t="str">
        <f t="shared" si="4"/>
        <v/>
      </c>
      <c r="R1556" s="37" t="str">
        <f t="shared" si="5"/>
        <v/>
      </c>
      <c r="S1556" s="32" t="str">
        <f t="shared" si="6"/>
        <v/>
      </c>
      <c r="T1556" s="37" t="str">
        <f t="shared" si="7"/>
        <v/>
      </c>
      <c r="U1556" s="37" t="str">
        <f t="array" ref="U1556">IF($F1556="","",IFERROR(INDEX(Config!$F:$F,MATCH($F1556,Config!$D:$D,0)),0))</f>
        <v/>
      </c>
    </row>
    <row r="1557" ht="15.0" customHeight="1">
      <c r="A1557" s="34"/>
      <c r="B1557" s="35"/>
      <c r="C1557" s="15"/>
      <c r="D1557" s="15"/>
      <c r="E1557" s="15"/>
      <c r="F1557" s="15"/>
      <c r="G1557" s="36" t="str">
        <f t="array" ref="G1557">IF($F1557="","",IFERROR(INDEX(Config!$E:$E,MATCH($F1557,Config!$D:$D,0)),0))</f>
        <v/>
      </c>
      <c r="H1557" s="16"/>
      <c r="I1557" s="36" t="str">
        <f t="shared" si="1"/>
        <v/>
      </c>
      <c r="J1557" s="16"/>
      <c r="K1557" s="15"/>
      <c r="L1557" s="15"/>
      <c r="M1557" s="36" t="str">
        <f t="array" ref="M1557">IF($A1557="","",IF($L1557="Atendido",IFERROR($I1557*INDEX(Config!$B:$B,MATCH($C1557,Config!$A:$A,0)),0),0))</f>
        <v/>
      </c>
      <c r="N1557" s="36" t="str">
        <f t="shared" si="2"/>
        <v/>
      </c>
      <c r="O1557" s="36" t="str">
        <f t="shared" si="3"/>
        <v/>
      </c>
      <c r="P1557" s="15"/>
      <c r="Q1557" s="37" t="str">
        <f t="shared" si="4"/>
        <v/>
      </c>
      <c r="R1557" s="37" t="str">
        <f t="shared" si="5"/>
        <v/>
      </c>
      <c r="S1557" s="32" t="str">
        <f t="shared" si="6"/>
        <v/>
      </c>
      <c r="T1557" s="37" t="str">
        <f t="shared" si="7"/>
        <v/>
      </c>
      <c r="U1557" s="37" t="str">
        <f t="array" ref="U1557">IF($F1557="","",IFERROR(INDEX(Config!$F:$F,MATCH($F1557,Config!$D:$D,0)),0))</f>
        <v/>
      </c>
    </row>
    <row r="1558" ht="15.0" customHeight="1">
      <c r="A1558" s="34"/>
      <c r="B1558" s="35"/>
      <c r="C1558" s="15"/>
      <c r="D1558" s="15"/>
      <c r="E1558" s="15"/>
      <c r="F1558" s="15"/>
      <c r="G1558" s="36" t="str">
        <f t="array" ref="G1558">IF($F1558="","",IFERROR(INDEX(Config!$E:$E,MATCH($F1558,Config!$D:$D,0)),0))</f>
        <v/>
      </c>
      <c r="H1558" s="16"/>
      <c r="I1558" s="36" t="str">
        <f t="shared" si="1"/>
        <v/>
      </c>
      <c r="J1558" s="16"/>
      <c r="K1558" s="15"/>
      <c r="L1558" s="15"/>
      <c r="M1558" s="36" t="str">
        <f t="array" ref="M1558">IF($A1558="","",IF($L1558="Atendido",IFERROR($I1558*INDEX(Config!$B:$B,MATCH($C1558,Config!$A:$A,0)),0),0))</f>
        <v/>
      </c>
      <c r="N1558" s="36" t="str">
        <f t="shared" si="2"/>
        <v/>
      </c>
      <c r="O1558" s="36" t="str">
        <f t="shared" si="3"/>
        <v/>
      </c>
      <c r="P1558" s="15"/>
      <c r="Q1558" s="37" t="str">
        <f t="shared" si="4"/>
        <v/>
      </c>
      <c r="R1558" s="37" t="str">
        <f t="shared" si="5"/>
        <v/>
      </c>
      <c r="S1558" s="32" t="str">
        <f t="shared" si="6"/>
        <v/>
      </c>
      <c r="T1558" s="37" t="str">
        <f t="shared" si="7"/>
        <v/>
      </c>
      <c r="U1558" s="37" t="str">
        <f t="array" ref="U1558">IF($F1558="","",IFERROR(INDEX(Config!$F:$F,MATCH($F1558,Config!$D:$D,0)),0))</f>
        <v/>
      </c>
    </row>
    <row r="1559" ht="15.0" customHeight="1">
      <c r="A1559" s="34"/>
      <c r="B1559" s="35"/>
      <c r="C1559" s="15"/>
      <c r="D1559" s="15"/>
      <c r="E1559" s="15"/>
      <c r="F1559" s="15"/>
      <c r="G1559" s="36" t="str">
        <f t="array" ref="G1559">IF($F1559="","",IFERROR(INDEX(Config!$E:$E,MATCH($F1559,Config!$D:$D,0)),0))</f>
        <v/>
      </c>
      <c r="H1559" s="16"/>
      <c r="I1559" s="36" t="str">
        <f t="shared" si="1"/>
        <v/>
      </c>
      <c r="J1559" s="16"/>
      <c r="K1559" s="15"/>
      <c r="L1559" s="15"/>
      <c r="M1559" s="36" t="str">
        <f t="array" ref="M1559">IF($A1559="","",IF($L1559="Atendido",IFERROR($I1559*INDEX(Config!$B:$B,MATCH($C1559,Config!$A:$A,0)),0),0))</f>
        <v/>
      </c>
      <c r="N1559" s="36" t="str">
        <f t="shared" si="2"/>
        <v/>
      </c>
      <c r="O1559" s="36" t="str">
        <f t="shared" si="3"/>
        <v/>
      </c>
      <c r="P1559" s="15"/>
      <c r="Q1559" s="37" t="str">
        <f t="shared" si="4"/>
        <v/>
      </c>
      <c r="R1559" s="37" t="str">
        <f t="shared" si="5"/>
        <v/>
      </c>
      <c r="S1559" s="32" t="str">
        <f t="shared" si="6"/>
        <v/>
      </c>
      <c r="T1559" s="37" t="str">
        <f t="shared" si="7"/>
        <v/>
      </c>
      <c r="U1559" s="37" t="str">
        <f t="array" ref="U1559">IF($F1559="","",IFERROR(INDEX(Config!$F:$F,MATCH($F1559,Config!$D:$D,0)),0))</f>
        <v/>
      </c>
    </row>
    <row r="1560" ht="15.0" customHeight="1">
      <c r="A1560" s="34"/>
      <c r="B1560" s="35"/>
      <c r="C1560" s="15"/>
      <c r="D1560" s="15"/>
      <c r="E1560" s="15"/>
      <c r="F1560" s="15"/>
      <c r="G1560" s="36" t="str">
        <f t="array" ref="G1560">IF($F1560="","",IFERROR(INDEX(Config!$E:$E,MATCH($F1560,Config!$D:$D,0)),0))</f>
        <v/>
      </c>
      <c r="H1560" s="16"/>
      <c r="I1560" s="36" t="str">
        <f t="shared" si="1"/>
        <v/>
      </c>
      <c r="J1560" s="16"/>
      <c r="K1560" s="15"/>
      <c r="L1560" s="15"/>
      <c r="M1560" s="36" t="str">
        <f t="array" ref="M1560">IF($A1560="","",IF($L1560="Atendido",IFERROR($I1560*INDEX(Config!$B:$B,MATCH($C1560,Config!$A:$A,0)),0),0))</f>
        <v/>
      </c>
      <c r="N1560" s="36" t="str">
        <f t="shared" si="2"/>
        <v/>
      </c>
      <c r="O1560" s="36" t="str">
        <f t="shared" si="3"/>
        <v/>
      </c>
      <c r="P1560" s="15"/>
      <c r="Q1560" s="37" t="str">
        <f t="shared" si="4"/>
        <v/>
      </c>
      <c r="R1560" s="37" t="str">
        <f t="shared" si="5"/>
        <v/>
      </c>
      <c r="S1560" s="32" t="str">
        <f t="shared" si="6"/>
        <v/>
      </c>
      <c r="T1560" s="37" t="str">
        <f t="shared" si="7"/>
        <v/>
      </c>
      <c r="U1560" s="37" t="str">
        <f t="array" ref="U1560">IF($F1560="","",IFERROR(INDEX(Config!$F:$F,MATCH($F1560,Config!$D:$D,0)),0))</f>
        <v/>
      </c>
    </row>
    <row r="1561" ht="15.0" customHeight="1">
      <c r="A1561" s="34"/>
      <c r="B1561" s="35"/>
      <c r="C1561" s="15"/>
      <c r="D1561" s="15"/>
      <c r="E1561" s="15"/>
      <c r="F1561" s="15"/>
      <c r="G1561" s="36" t="str">
        <f t="array" ref="G1561">IF($F1561="","",IFERROR(INDEX(Config!$E:$E,MATCH($F1561,Config!$D:$D,0)),0))</f>
        <v/>
      </c>
      <c r="H1561" s="16"/>
      <c r="I1561" s="36" t="str">
        <f t="shared" si="1"/>
        <v/>
      </c>
      <c r="J1561" s="16"/>
      <c r="K1561" s="15"/>
      <c r="L1561" s="15"/>
      <c r="M1561" s="36" t="str">
        <f t="array" ref="M1561">IF($A1561="","",IF($L1561="Atendido",IFERROR($I1561*INDEX(Config!$B:$B,MATCH($C1561,Config!$A:$A,0)),0),0))</f>
        <v/>
      </c>
      <c r="N1561" s="36" t="str">
        <f t="shared" si="2"/>
        <v/>
      </c>
      <c r="O1561" s="36" t="str">
        <f t="shared" si="3"/>
        <v/>
      </c>
      <c r="P1561" s="15"/>
      <c r="Q1561" s="37" t="str">
        <f t="shared" si="4"/>
        <v/>
      </c>
      <c r="R1561" s="37" t="str">
        <f t="shared" si="5"/>
        <v/>
      </c>
      <c r="S1561" s="32" t="str">
        <f t="shared" si="6"/>
        <v/>
      </c>
      <c r="T1561" s="37" t="str">
        <f t="shared" si="7"/>
        <v/>
      </c>
      <c r="U1561" s="37" t="str">
        <f t="array" ref="U1561">IF($F1561="","",IFERROR(INDEX(Config!$F:$F,MATCH($F1561,Config!$D:$D,0)),0))</f>
        <v/>
      </c>
    </row>
    <row r="1562" ht="15.0" customHeight="1">
      <c r="A1562" s="34"/>
      <c r="B1562" s="35"/>
      <c r="C1562" s="15"/>
      <c r="D1562" s="15"/>
      <c r="E1562" s="15"/>
      <c r="F1562" s="15"/>
      <c r="G1562" s="36" t="str">
        <f t="array" ref="G1562">IF($F1562="","",IFERROR(INDEX(Config!$E:$E,MATCH($F1562,Config!$D:$D,0)),0))</f>
        <v/>
      </c>
      <c r="H1562" s="16"/>
      <c r="I1562" s="36" t="str">
        <f t="shared" si="1"/>
        <v/>
      </c>
      <c r="J1562" s="16"/>
      <c r="K1562" s="15"/>
      <c r="L1562" s="15"/>
      <c r="M1562" s="36" t="str">
        <f t="array" ref="M1562">IF($A1562="","",IF($L1562="Atendido",IFERROR($I1562*INDEX(Config!$B:$B,MATCH($C1562,Config!$A:$A,0)),0),0))</f>
        <v/>
      </c>
      <c r="N1562" s="36" t="str">
        <f t="shared" si="2"/>
        <v/>
      </c>
      <c r="O1562" s="36" t="str">
        <f t="shared" si="3"/>
        <v/>
      </c>
      <c r="P1562" s="15"/>
      <c r="Q1562" s="37" t="str">
        <f t="shared" si="4"/>
        <v/>
      </c>
      <c r="R1562" s="37" t="str">
        <f t="shared" si="5"/>
        <v/>
      </c>
      <c r="S1562" s="32" t="str">
        <f t="shared" si="6"/>
        <v/>
      </c>
      <c r="T1562" s="37" t="str">
        <f t="shared" si="7"/>
        <v/>
      </c>
      <c r="U1562" s="37" t="str">
        <f t="array" ref="U1562">IF($F1562="","",IFERROR(INDEX(Config!$F:$F,MATCH($F1562,Config!$D:$D,0)),0))</f>
        <v/>
      </c>
    </row>
    <row r="1563" ht="15.0" customHeight="1">
      <c r="A1563" s="34"/>
      <c r="B1563" s="35"/>
      <c r="C1563" s="15"/>
      <c r="D1563" s="15"/>
      <c r="E1563" s="15"/>
      <c r="F1563" s="15"/>
      <c r="G1563" s="36" t="str">
        <f t="array" ref="G1563">IF($F1563="","",IFERROR(INDEX(Config!$E:$E,MATCH($F1563,Config!$D:$D,0)),0))</f>
        <v/>
      </c>
      <c r="H1563" s="16"/>
      <c r="I1563" s="36" t="str">
        <f t="shared" si="1"/>
        <v/>
      </c>
      <c r="J1563" s="16"/>
      <c r="K1563" s="15"/>
      <c r="L1563" s="15"/>
      <c r="M1563" s="36" t="str">
        <f t="array" ref="M1563">IF($A1563="","",IF($L1563="Atendido",IFERROR($I1563*INDEX(Config!$B:$B,MATCH($C1563,Config!$A:$A,0)),0),0))</f>
        <v/>
      </c>
      <c r="N1563" s="36" t="str">
        <f t="shared" si="2"/>
        <v/>
      </c>
      <c r="O1563" s="36" t="str">
        <f t="shared" si="3"/>
        <v/>
      </c>
      <c r="P1563" s="15"/>
      <c r="Q1563" s="37" t="str">
        <f t="shared" si="4"/>
        <v/>
      </c>
      <c r="R1563" s="37" t="str">
        <f t="shared" si="5"/>
        <v/>
      </c>
      <c r="S1563" s="32" t="str">
        <f t="shared" si="6"/>
        <v/>
      </c>
      <c r="T1563" s="37" t="str">
        <f t="shared" si="7"/>
        <v/>
      </c>
      <c r="U1563" s="37" t="str">
        <f t="array" ref="U1563">IF($F1563="","",IFERROR(INDEX(Config!$F:$F,MATCH($F1563,Config!$D:$D,0)),0))</f>
        <v/>
      </c>
    </row>
    <row r="1564" ht="15.0" customHeight="1">
      <c r="A1564" s="34"/>
      <c r="B1564" s="35"/>
      <c r="C1564" s="15"/>
      <c r="D1564" s="15"/>
      <c r="E1564" s="15"/>
      <c r="F1564" s="15"/>
      <c r="G1564" s="36" t="str">
        <f t="array" ref="G1564">IF($F1564="","",IFERROR(INDEX(Config!$E:$E,MATCH($F1564,Config!$D:$D,0)),0))</f>
        <v/>
      </c>
      <c r="H1564" s="16"/>
      <c r="I1564" s="36" t="str">
        <f t="shared" si="1"/>
        <v/>
      </c>
      <c r="J1564" s="16"/>
      <c r="K1564" s="15"/>
      <c r="L1564" s="15"/>
      <c r="M1564" s="36" t="str">
        <f t="array" ref="M1564">IF($A1564="","",IF($L1564="Atendido",IFERROR($I1564*INDEX(Config!$B:$B,MATCH($C1564,Config!$A:$A,0)),0),0))</f>
        <v/>
      </c>
      <c r="N1564" s="36" t="str">
        <f t="shared" si="2"/>
        <v/>
      </c>
      <c r="O1564" s="36" t="str">
        <f t="shared" si="3"/>
        <v/>
      </c>
      <c r="P1564" s="15"/>
      <c r="Q1564" s="37" t="str">
        <f t="shared" si="4"/>
        <v/>
      </c>
      <c r="R1564" s="37" t="str">
        <f t="shared" si="5"/>
        <v/>
      </c>
      <c r="S1564" s="32" t="str">
        <f t="shared" si="6"/>
        <v/>
      </c>
      <c r="T1564" s="37" t="str">
        <f t="shared" si="7"/>
        <v/>
      </c>
      <c r="U1564" s="37" t="str">
        <f t="array" ref="U1564">IF($F1564="","",IFERROR(INDEX(Config!$F:$F,MATCH($F1564,Config!$D:$D,0)),0))</f>
        <v/>
      </c>
    </row>
    <row r="1565" ht="15.0" customHeight="1">
      <c r="A1565" s="34"/>
      <c r="B1565" s="35"/>
      <c r="C1565" s="15"/>
      <c r="D1565" s="15"/>
      <c r="E1565" s="15"/>
      <c r="F1565" s="15"/>
      <c r="G1565" s="36" t="str">
        <f t="array" ref="G1565">IF($F1565="","",IFERROR(INDEX(Config!$E:$E,MATCH($F1565,Config!$D:$D,0)),0))</f>
        <v/>
      </c>
      <c r="H1565" s="16"/>
      <c r="I1565" s="36" t="str">
        <f t="shared" si="1"/>
        <v/>
      </c>
      <c r="J1565" s="16"/>
      <c r="K1565" s="15"/>
      <c r="L1565" s="15"/>
      <c r="M1565" s="36" t="str">
        <f t="array" ref="M1565">IF($A1565="","",IF($L1565="Atendido",IFERROR($I1565*INDEX(Config!$B:$B,MATCH($C1565,Config!$A:$A,0)),0),0))</f>
        <v/>
      </c>
      <c r="N1565" s="36" t="str">
        <f t="shared" si="2"/>
        <v/>
      </c>
      <c r="O1565" s="36" t="str">
        <f t="shared" si="3"/>
        <v/>
      </c>
      <c r="P1565" s="15"/>
      <c r="Q1565" s="37" t="str">
        <f t="shared" si="4"/>
        <v/>
      </c>
      <c r="R1565" s="37" t="str">
        <f t="shared" si="5"/>
        <v/>
      </c>
      <c r="S1565" s="32" t="str">
        <f t="shared" si="6"/>
        <v/>
      </c>
      <c r="T1565" s="37" t="str">
        <f t="shared" si="7"/>
        <v/>
      </c>
      <c r="U1565" s="37" t="str">
        <f t="array" ref="U1565">IF($F1565="","",IFERROR(INDEX(Config!$F:$F,MATCH($F1565,Config!$D:$D,0)),0))</f>
        <v/>
      </c>
    </row>
    <row r="1566" ht="15.0" customHeight="1">
      <c r="A1566" s="34"/>
      <c r="B1566" s="35"/>
      <c r="C1566" s="15"/>
      <c r="D1566" s="15"/>
      <c r="E1566" s="15"/>
      <c r="F1566" s="15"/>
      <c r="G1566" s="36" t="str">
        <f t="array" ref="G1566">IF($F1566="","",IFERROR(INDEX(Config!$E:$E,MATCH($F1566,Config!$D:$D,0)),0))</f>
        <v/>
      </c>
      <c r="H1566" s="16"/>
      <c r="I1566" s="36" t="str">
        <f t="shared" si="1"/>
        <v/>
      </c>
      <c r="J1566" s="16"/>
      <c r="K1566" s="15"/>
      <c r="L1566" s="15"/>
      <c r="M1566" s="36" t="str">
        <f t="array" ref="M1566">IF($A1566="","",IF($L1566="Atendido",IFERROR($I1566*INDEX(Config!$B:$B,MATCH($C1566,Config!$A:$A,0)),0),0))</f>
        <v/>
      </c>
      <c r="N1566" s="36" t="str">
        <f t="shared" si="2"/>
        <v/>
      </c>
      <c r="O1566" s="36" t="str">
        <f t="shared" si="3"/>
        <v/>
      </c>
      <c r="P1566" s="15"/>
      <c r="Q1566" s="37" t="str">
        <f t="shared" si="4"/>
        <v/>
      </c>
      <c r="R1566" s="37" t="str">
        <f t="shared" si="5"/>
        <v/>
      </c>
      <c r="S1566" s="32" t="str">
        <f t="shared" si="6"/>
        <v/>
      </c>
      <c r="T1566" s="37" t="str">
        <f t="shared" si="7"/>
        <v/>
      </c>
      <c r="U1566" s="37" t="str">
        <f t="array" ref="U1566">IF($F1566="","",IFERROR(INDEX(Config!$F:$F,MATCH($F1566,Config!$D:$D,0)),0))</f>
        <v/>
      </c>
    </row>
    <row r="1567" ht="15.0" customHeight="1">
      <c r="A1567" s="34"/>
      <c r="B1567" s="35"/>
      <c r="C1567" s="15"/>
      <c r="D1567" s="15"/>
      <c r="E1567" s="15"/>
      <c r="F1567" s="15"/>
      <c r="G1567" s="36" t="str">
        <f t="array" ref="G1567">IF($F1567="","",IFERROR(INDEX(Config!$E:$E,MATCH($F1567,Config!$D:$D,0)),0))</f>
        <v/>
      </c>
      <c r="H1567" s="16"/>
      <c r="I1567" s="36" t="str">
        <f t="shared" si="1"/>
        <v/>
      </c>
      <c r="J1567" s="16"/>
      <c r="K1567" s="15"/>
      <c r="L1567" s="15"/>
      <c r="M1567" s="36" t="str">
        <f t="array" ref="M1567">IF($A1567="","",IF($L1567="Atendido",IFERROR($I1567*INDEX(Config!$B:$B,MATCH($C1567,Config!$A:$A,0)),0),0))</f>
        <v/>
      </c>
      <c r="N1567" s="36" t="str">
        <f t="shared" si="2"/>
        <v/>
      </c>
      <c r="O1567" s="36" t="str">
        <f t="shared" si="3"/>
        <v/>
      </c>
      <c r="P1567" s="15"/>
      <c r="Q1567" s="37" t="str">
        <f t="shared" si="4"/>
        <v/>
      </c>
      <c r="R1567" s="37" t="str">
        <f t="shared" si="5"/>
        <v/>
      </c>
      <c r="S1567" s="32" t="str">
        <f t="shared" si="6"/>
        <v/>
      </c>
      <c r="T1567" s="37" t="str">
        <f t="shared" si="7"/>
        <v/>
      </c>
      <c r="U1567" s="37" t="str">
        <f t="array" ref="U1567">IF($F1567="","",IFERROR(INDEX(Config!$F:$F,MATCH($F1567,Config!$D:$D,0)),0))</f>
        <v/>
      </c>
    </row>
    <row r="1568" ht="15.0" customHeight="1">
      <c r="A1568" s="34"/>
      <c r="B1568" s="35"/>
      <c r="C1568" s="15"/>
      <c r="D1568" s="15"/>
      <c r="E1568" s="15"/>
      <c r="F1568" s="15"/>
      <c r="G1568" s="36" t="str">
        <f t="array" ref="G1568">IF($F1568="","",IFERROR(INDEX(Config!$E:$E,MATCH($F1568,Config!$D:$D,0)),0))</f>
        <v/>
      </c>
      <c r="H1568" s="16"/>
      <c r="I1568" s="36" t="str">
        <f t="shared" si="1"/>
        <v/>
      </c>
      <c r="J1568" s="16"/>
      <c r="K1568" s="15"/>
      <c r="L1568" s="15"/>
      <c r="M1568" s="36" t="str">
        <f t="array" ref="M1568">IF($A1568="","",IF($L1568="Atendido",IFERROR($I1568*INDEX(Config!$B:$B,MATCH($C1568,Config!$A:$A,0)),0),0))</f>
        <v/>
      </c>
      <c r="N1568" s="36" t="str">
        <f t="shared" si="2"/>
        <v/>
      </c>
      <c r="O1568" s="36" t="str">
        <f t="shared" si="3"/>
        <v/>
      </c>
      <c r="P1568" s="15"/>
      <c r="Q1568" s="37" t="str">
        <f t="shared" si="4"/>
        <v/>
      </c>
      <c r="R1568" s="37" t="str">
        <f t="shared" si="5"/>
        <v/>
      </c>
      <c r="S1568" s="32" t="str">
        <f t="shared" si="6"/>
        <v/>
      </c>
      <c r="T1568" s="37" t="str">
        <f t="shared" si="7"/>
        <v/>
      </c>
      <c r="U1568" s="37" t="str">
        <f t="array" ref="U1568">IF($F1568="","",IFERROR(INDEX(Config!$F:$F,MATCH($F1568,Config!$D:$D,0)),0))</f>
        <v/>
      </c>
    </row>
    <row r="1569" ht="15.0" customHeight="1">
      <c r="A1569" s="34"/>
      <c r="B1569" s="35"/>
      <c r="C1569" s="15"/>
      <c r="D1569" s="15"/>
      <c r="E1569" s="15"/>
      <c r="F1569" s="15"/>
      <c r="G1569" s="36" t="str">
        <f t="array" ref="G1569">IF($F1569="","",IFERROR(INDEX(Config!$E:$E,MATCH($F1569,Config!$D:$D,0)),0))</f>
        <v/>
      </c>
      <c r="H1569" s="16"/>
      <c r="I1569" s="36" t="str">
        <f t="shared" si="1"/>
        <v/>
      </c>
      <c r="J1569" s="16"/>
      <c r="K1569" s="15"/>
      <c r="L1569" s="15"/>
      <c r="M1569" s="36" t="str">
        <f t="array" ref="M1569">IF($A1569="","",IF($L1569="Atendido",IFERROR($I1569*INDEX(Config!$B:$B,MATCH($C1569,Config!$A:$A,0)),0),0))</f>
        <v/>
      </c>
      <c r="N1569" s="36" t="str">
        <f t="shared" si="2"/>
        <v/>
      </c>
      <c r="O1569" s="36" t="str">
        <f t="shared" si="3"/>
        <v/>
      </c>
      <c r="P1569" s="15"/>
      <c r="Q1569" s="37" t="str">
        <f t="shared" si="4"/>
        <v/>
      </c>
      <c r="R1569" s="37" t="str">
        <f t="shared" si="5"/>
        <v/>
      </c>
      <c r="S1569" s="32" t="str">
        <f t="shared" si="6"/>
        <v/>
      </c>
      <c r="T1569" s="37" t="str">
        <f t="shared" si="7"/>
        <v/>
      </c>
      <c r="U1569" s="37" t="str">
        <f t="array" ref="U1569">IF($F1569="","",IFERROR(INDEX(Config!$F:$F,MATCH($F1569,Config!$D:$D,0)),0))</f>
        <v/>
      </c>
    </row>
    <row r="1570" ht="15.0" customHeight="1">
      <c r="A1570" s="34"/>
      <c r="B1570" s="35"/>
      <c r="C1570" s="15"/>
      <c r="D1570" s="15"/>
      <c r="E1570" s="15"/>
      <c r="F1570" s="15"/>
      <c r="G1570" s="36" t="str">
        <f t="array" ref="G1570">IF($F1570="","",IFERROR(INDEX(Config!$E:$E,MATCH($F1570,Config!$D:$D,0)),0))</f>
        <v/>
      </c>
      <c r="H1570" s="16"/>
      <c r="I1570" s="36" t="str">
        <f t="shared" si="1"/>
        <v/>
      </c>
      <c r="J1570" s="16"/>
      <c r="K1570" s="15"/>
      <c r="L1570" s="15"/>
      <c r="M1570" s="36" t="str">
        <f t="array" ref="M1570">IF($A1570="","",IF($L1570="Atendido",IFERROR($I1570*INDEX(Config!$B:$B,MATCH($C1570,Config!$A:$A,0)),0),0))</f>
        <v/>
      </c>
      <c r="N1570" s="36" t="str">
        <f t="shared" si="2"/>
        <v/>
      </c>
      <c r="O1570" s="36" t="str">
        <f t="shared" si="3"/>
        <v/>
      </c>
      <c r="P1570" s="15"/>
      <c r="Q1570" s="37" t="str">
        <f t="shared" si="4"/>
        <v/>
      </c>
      <c r="R1570" s="37" t="str">
        <f t="shared" si="5"/>
        <v/>
      </c>
      <c r="S1570" s="32" t="str">
        <f t="shared" si="6"/>
        <v/>
      </c>
      <c r="T1570" s="37" t="str">
        <f t="shared" si="7"/>
        <v/>
      </c>
      <c r="U1570" s="37" t="str">
        <f t="array" ref="U1570">IF($F1570="","",IFERROR(INDEX(Config!$F:$F,MATCH($F1570,Config!$D:$D,0)),0))</f>
        <v/>
      </c>
    </row>
    <row r="1571" ht="15.0" customHeight="1">
      <c r="A1571" s="34"/>
      <c r="B1571" s="35"/>
      <c r="C1571" s="15"/>
      <c r="D1571" s="15"/>
      <c r="E1571" s="15"/>
      <c r="F1571" s="15"/>
      <c r="G1571" s="36" t="str">
        <f t="array" ref="G1571">IF($F1571="","",IFERROR(INDEX(Config!$E:$E,MATCH($F1571,Config!$D:$D,0)),0))</f>
        <v/>
      </c>
      <c r="H1571" s="16"/>
      <c r="I1571" s="36" t="str">
        <f t="shared" si="1"/>
        <v/>
      </c>
      <c r="J1571" s="16"/>
      <c r="K1571" s="15"/>
      <c r="L1571" s="15"/>
      <c r="M1571" s="36" t="str">
        <f t="array" ref="M1571">IF($A1571="","",IF($L1571="Atendido",IFERROR($I1571*INDEX(Config!$B:$B,MATCH($C1571,Config!$A:$A,0)),0),0))</f>
        <v/>
      </c>
      <c r="N1571" s="36" t="str">
        <f t="shared" si="2"/>
        <v/>
      </c>
      <c r="O1571" s="36" t="str">
        <f t="shared" si="3"/>
        <v/>
      </c>
      <c r="P1571" s="15"/>
      <c r="Q1571" s="37" t="str">
        <f t="shared" si="4"/>
        <v/>
      </c>
      <c r="R1571" s="37" t="str">
        <f t="shared" si="5"/>
        <v/>
      </c>
      <c r="S1571" s="32" t="str">
        <f t="shared" si="6"/>
        <v/>
      </c>
      <c r="T1571" s="37" t="str">
        <f t="shared" si="7"/>
        <v/>
      </c>
      <c r="U1571" s="37" t="str">
        <f t="array" ref="U1571">IF($F1571="","",IFERROR(INDEX(Config!$F:$F,MATCH($F1571,Config!$D:$D,0)),0))</f>
        <v/>
      </c>
    </row>
    <row r="1572" ht="15.0" customHeight="1">
      <c r="A1572" s="34"/>
      <c r="B1572" s="35"/>
      <c r="C1572" s="15"/>
      <c r="D1572" s="15"/>
      <c r="E1572" s="15"/>
      <c r="F1572" s="15"/>
      <c r="G1572" s="36" t="str">
        <f t="array" ref="G1572">IF($F1572="","",IFERROR(INDEX(Config!$E:$E,MATCH($F1572,Config!$D:$D,0)),0))</f>
        <v/>
      </c>
      <c r="H1572" s="16"/>
      <c r="I1572" s="36" t="str">
        <f t="shared" si="1"/>
        <v/>
      </c>
      <c r="J1572" s="16"/>
      <c r="K1572" s="15"/>
      <c r="L1572" s="15"/>
      <c r="M1572" s="36" t="str">
        <f t="array" ref="M1572">IF($A1572="","",IF($L1572="Atendido",IFERROR($I1572*INDEX(Config!$B:$B,MATCH($C1572,Config!$A:$A,0)),0),0))</f>
        <v/>
      </c>
      <c r="N1572" s="36" t="str">
        <f t="shared" si="2"/>
        <v/>
      </c>
      <c r="O1572" s="36" t="str">
        <f t="shared" si="3"/>
        <v/>
      </c>
      <c r="P1572" s="15"/>
      <c r="Q1572" s="37" t="str">
        <f t="shared" si="4"/>
        <v/>
      </c>
      <c r="R1572" s="37" t="str">
        <f t="shared" si="5"/>
        <v/>
      </c>
      <c r="S1572" s="32" t="str">
        <f t="shared" si="6"/>
        <v/>
      </c>
      <c r="T1572" s="37" t="str">
        <f t="shared" si="7"/>
        <v/>
      </c>
      <c r="U1572" s="37" t="str">
        <f t="array" ref="U1572">IF($F1572="","",IFERROR(INDEX(Config!$F:$F,MATCH($F1572,Config!$D:$D,0)),0))</f>
        <v/>
      </c>
    </row>
    <row r="1573" ht="15.0" customHeight="1">
      <c r="A1573" s="34"/>
      <c r="B1573" s="35"/>
      <c r="C1573" s="15"/>
      <c r="D1573" s="15"/>
      <c r="E1573" s="15"/>
      <c r="F1573" s="15"/>
      <c r="G1573" s="36" t="str">
        <f t="array" ref="G1573">IF($F1573="","",IFERROR(INDEX(Config!$E:$E,MATCH($F1573,Config!$D:$D,0)),0))</f>
        <v/>
      </c>
      <c r="H1573" s="16"/>
      <c r="I1573" s="36" t="str">
        <f t="shared" si="1"/>
        <v/>
      </c>
      <c r="J1573" s="16"/>
      <c r="K1573" s="15"/>
      <c r="L1573" s="15"/>
      <c r="M1573" s="36" t="str">
        <f t="array" ref="M1573">IF($A1573="","",IF($L1573="Atendido",IFERROR($I1573*INDEX(Config!$B:$B,MATCH($C1573,Config!$A:$A,0)),0),0))</f>
        <v/>
      </c>
      <c r="N1573" s="36" t="str">
        <f t="shared" si="2"/>
        <v/>
      </c>
      <c r="O1573" s="36" t="str">
        <f t="shared" si="3"/>
        <v/>
      </c>
      <c r="P1573" s="15"/>
      <c r="Q1573" s="37" t="str">
        <f t="shared" si="4"/>
        <v/>
      </c>
      <c r="R1573" s="37" t="str">
        <f t="shared" si="5"/>
        <v/>
      </c>
      <c r="S1573" s="32" t="str">
        <f t="shared" si="6"/>
        <v/>
      </c>
      <c r="T1573" s="37" t="str">
        <f t="shared" si="7"/>
        <v/>
      </c>
      <c r="U1573" s="37" t="str">
        <f t="array" ref="U1573">IF($F1573="","",IFERROR(INDEX(Config!$F:$F,MATCH($F1573,Config!$D:$D,0)),0))</f>
        <v/>
      </c>
    </row>
    <row r="1574" ht="15.0" customHeight="1">
      <c r="A1574" s="34"/>
      <c r="B1574" s="35"/>
      <c r="C1574" s="15"/>
      <c r="D1574" s="15"/>
      <c r="E1574" s="15"/>
      <c r="F1574" s="15"/>
      <c r="G1574" s="36" t="str">
        <f t="array" ref="G1574">IF($F1574="","",IFERROR(INDEX(Config!$E:$E,MATCH($F1574,Config!$D:$D,0)),0))</f>
        <v/>
      </c>
      <c r="H1574" s="16"/>
      <c r="I1574" s="36" t="str">
        <f t="shared" si="1"/>
        <v/>
      </c>
      <c r="J1574" s="16"/>
      <c r="K1574" s="15"/>
      <c r="L1574" s="15"/>
      <c r="M1574" s="36" t="str">
        <f t="array" ref="M1574">IF($A1574="","",IF($L1574="Atendido",IFERROR($I1574*INDEX(Config!$B:$B,MATCH($C1574,Config!$A:$A,0)),0),0))</f>
        <v/>
      </c>
      <c r="N1574" s="36" t="str">
        <f t="shared" si="2"/>
        <v/>
      </c>
      <c r="O1574" s="36" t="str">
        <f t="shared" si="3"/>
        <v/>
      </c>
      <c r="P1574" s="15"/>
      <c r="Q1574" s="37" t="str">
        <f t="shared" si="4"/>
        <v/>
      </c>
      <c r="R1574" s="37" t="str">
        <f t="shared" si="5"/>
        <v/>
      </c>
      <c r="S1574" s="32" t="str">
        <f t="shared" si="6"/>
        <v/>
      </c>
      <c r="T1574" s="37" t="str">
        <f t="shared" si="7"/>
        <v/>
      </c>
      <c r="U1574" s="37" t="str">
        <f t="array" ref="U1574">IF($F1574="","",IFERROR(INDEX(Config!$F:$F,MATCH($F1574,Config!$D:$D,0)),0))</f>
        <v/>
      </c>
    </row>
    <row r="1575" ht="15.0" customHeight="1">
      <c r="A1575" s="34"/>
      <c r="B1575" s="35"/>
      <c r="C1575" s="15"/>
      <c r="D1575" s="15"/>
      <c r="E1575" s="15"/>
      <c r="F1575" s="15"/>
      <c r="G1575" s="36" t="str">
        <f t="array" ref="G1575">IF($F1575="","",IFERROR(INDEX(Config!$E:$E,MATCH($F1575,Config!$D:$D,0)),0))</f>
        <v/>
      </c>
      <c r="H1575" s="16"/>
      <c r="I1575" s="36" t="str">
        <f t="shared" si="1"/>
        <v/>
      </c>
      <c r="J1575" s="16"/>
      <c r="K1575" s="15"/>
      <c r="L1575" s="15"/>
      <c r="M1575" s="36" t="str">
        <f t="array" ref="M1575">IF($A1575="","",IF($L1575="Atendido",IFERROR($I1575*INDEX(Config!$B:$B,MATCH($C1575,Config!$A:$A,0)),0),0))</f>
        <v/>
      </c>
      <c r="N1575" s="36" t="str">
        <f t="shared" si="2"/>
        <v/>
      </c>
      <c r="O1575" s="36" t="str">
        <f t="shared" si="3"/>
        <v/>
      </c>
      <c r="P1575" s="15"/>
      <c r="Q1575" s="37" t="str">
        <f t="shared" si="4"/>
        <v/>
      </c>
      <c r="R1575" s="37" t="str">
        <f t="shared" si="5"/>
        <v/>
      </c>
      <c r="S1575" s="32" t="str">
        <f t="shared" si="6"/>
        <v/>
      </c>
      <c r="T1575" s="37" t="str">
        <f t="shared" si="7"/>
        <v/>
      </c>
      <c r="U1575" s="37" t="str">
        <f t="array" ref="U1575">IF($F1575="","",IFERROR(INDEX(Config!$F:$F,MATCH($F1575,Config!$D:$D,0)),0))</f>
        <v/>
      </c>
    </row>
    <row r="1576" ht="15.0" customHeight="1">
      <c r="A1576" s="34"/>
      <c r="B1576" s="35"/>
      <c r="C1576" s="15"/>
      <c r="D1576" s="15"/>
      <c r="E1576" s="15"/>
      <c r="F1576" s="15"/>
      <c r="G1576" s="36" t="str">
        <f t="array" ref="G1576">IF($F1576="","",IFERROR(INDEX(Config!$E:$E,MATCH($F1576,Config!$D:$D,0)),0))</f>
        <v/>
      </c>
      <c r="H1576" s="16"/>
      <c r="I1576" s="36" t="str">
        <f t="shared" si="1"/>
        <v/>
      </c>
      <c r="J1576" s="16"/>
      <c r="K1576" s="15"/>
      <c r="L1576" s="15"/>
      <c r="M1576" s="36" t="str">
        <f t="array" ref="M1576">IF($A1576="","",IF($L1576="Atendido",IFERROR($I1576*INDEX(Config!$B:$B,MATCH($C1576,Config!$A:$A,0)),0),0))</f>
        <v/>
      </c>
      <c r="N1576" s="36" t="str">
        <f t="shared" si="2"/>
        <v/>
      </c>
      <c r="O1576" s="36" t="str">
        <f t="shared" si="3"/>
        <v/>
      </c>
      <c r="P1576" s="15"/>
      <c r="Q1576" s="37" t="str">
        <f t="shared" si="4"/>
        <v/>
      </c>
      <c r="R1576" s="37" t="str">
        <f t="shared" si="5"/>
        <v/>
      </c>
      <c r="S1576" s="32" t="str">
        <f t="shared" si="6"/>
        <v/>
      </c>
      <c r="T1576" s="37" t="str">
        <f t="shared" si="7"/>
        <v/>
      </c>
      <c r="U1576" s="37" t="str">
        <f t="array" ref="U1576">IF($F1576="","",IFERROR(INDEX(Config!$F:$F,MATCH($F1576,Config!$D:$D,0)),0))</f>
        <v/>
      </c>
    </row>
    <row r="1577" ht="15.0" customHeight="1">
      <c r="A1577" s="34"/>
      <c r="B1577" s="35"/>
      <c r="C1577" s="15"/>
      <c r="D1577" s="15"/>
      <c r="E1577" s="15"/>
      <c r="F1577" s="15"/>
      <c r="G1577" s="36" t="str">
        <f t="array" ref="G1577">IF($F1577="","",IFERROR(INDEX(Config!$E:$E,MATCH($F1577,Config!$D:$D,0)),0))</f>
        <v/>
      </c>
      <c r="H1577" s="16"/>
      <c r="I1577" s="36" t="str">
        <f t="shared" si="1"/>
        <v/>
      </c>
      <c r="J1577" s="16"/>
      <c r="K1577" s="15"/>
      <c r="L1577" s="15"/>
      <c r="M1577" s="36" t="str">
        <f t="array" ref="M1577">IF($A1577="","",IF($L1577="Atendido",IFERROR($I1577*INDEX(Config!$B:$B,MATCH($C1577,Config!$A:$A,0)),0),0))</f>
        <v/>
      </c>
      <c r="N1577" s="36" t="str">
        <f t="shared" si="2"/>
        <v/>
      </c>
      <c r="O1577" s="36" t="str">
        <f t="shared" si="3"/>
        <v/>
      </c>
      <c r="P1577" s="15"/>
      <c r="Q1577" s="37" t="str">
        <f t="shared" si="4"/>
        <v/>
      </c>
      <c r="R1577" s="37" t="str">
        <f t="shared" si="5"/>
        <v/>
      </c>
      <c r="S1577" s="32" t="str">
        <f t="shared" si="6"/>
        <v/>
      </c>
      <c r="T1577" s="37" t="str">
        <f t="shared" si="7"/>
        <v/>
      </c>
      <c r="U1577" s="37" t="str">
        <f t="array" ref="U1577">IF($F1577="","",IFERROR(INDEX(Config!$F:$F,MATCH($F1577,Config!$D:$D,0)),0))</f>
        <v/>
      </c>
    </row>
    <row r="1578" ht="15.0" customHeight="1">
      <c r="A1578" s="34"/>
      <c r="B1578" s="35"/>
      <c r="C1578" s="15"/>
      <c r="D1578" s="15"/>
      <c r="E1578" s="15"/>
      <c r="F1578" s="15"/>
      <c r="G1578" s="36" t="str">
        <f t="array" ref="G1578">IF($F1578="","",IFERROR(INDEX(Config!$E:$E,MATCH($F1578,Config!$D:$D,0)),0))</f>
        <v/>
      </c>
      <c r="H1578" s="16"/>
      <c r="I1578" s="36" t="str">
        <f t="shared" si="1"/>
        <v/>
      </c>
      <c r="J1578" s="16"/>
      <c r="K1578" s="15"/>
      <c r="L1578" s="15"/>
      <c r="M1578" s="36" t="str">
        <f t="array" ref="M1578">IF($A1578="","",IF($L1578="Atendido",IFERROR($I1578*INDEX(Config!$B:$B,MATCH($C1578,Config!$A:$A,0)),0),0))</f>
        <v/>
      </c>
      <c r="N1578" s="36" t="str">
        <f t="shared" si="2"/>
        <v/>
      </c>
      <c r="O1578" s="36" t="str">
        <f t="shared" si="3"/>
        <v/>
      </c>
      <c r="P1578" s="15"/>
      <c r="Q1578" s="37" t="str">
        <f t="shared" si="4"/>
        <v/>
      </c>
      <c r="R1578" s="37" t="str">
        <f t="shared" si="5"/>
        <v/>
      </c>
      <c r="S1578" s="32" t="str">
        <f t="shared" si="6"/>
        <v/>
      </c>
      <c r="T1578" s="37" t="str">
        <f t="shared" si="7"/>
        <v/>
      </c>
      <c r="U1578" s="37" t="str">
        <f t="array" ref="U1578">IF($F1578="","",IFERROR(INDEX(Config!$F:$F,MATCH($F1578,Config!$D:$D,0)),0))</f>
        <v/>
      </c>
    </row>
    <row r="1579" ht="15.0" customHeight="1">
      <c r="A1579" s="34"/>
      <c r="B1579" s="35"/>
      <c r="C1579" s="15"/>
      <c r="D1579" s="15"/>
      <c r="E1579" s="15"/>
      <c r="F1579" s="15"/>
      <c r="G1579" s="36" t="str">
        <f t="array" ref="G1579">IF($F1579="","",IFERROR(INDEX(Config!$E:$E,MATCH($F1579,Config!$D:$D,0)),0))</f>
        <v/>
      </c>
      <c r="H1579" s="16"/>
      <c r="I1579" s="36" t="str">
        <f t="shared" si="1"/>
        <v/>
      </c>
      <c r="J1579" s="16"/>
      <c r="K1579" s="15"/>
      <c r="L1579" s="15"/>
      <c r="M1579" s="36" t="str">
        <f t="array" ref="M1579">IF($A1579="","",IF($L1579="Atendido",IFERROR($I1579*INDEX(Config!$B:$B,MATCH($C1579,Config!$A:$A,0)),0),0))</f>
        <v/>
      </c>
      <c r="N1579" s="36" t="str">
        <f t="shared" si="2"/>
        <v/>
      </c>
      <c r="O1579" s="36" t="str">
        <f t="shared" si="3"/>
        <v/>
      </c>
      <c r="P1579" s="15"/>
      <c r="Q1579" s="37" t="str">
        <f t="shared" si="4"/>
        <v/>
      </c>
      <c r="R1579" s="37" t="str">
        <f t="shared" si="5"/>
        <v/>
      </c>
      <c r="S1579" s="32" t="str">
        <f t="shared" si="6"/>
        <v/>
      </c>
      <c r="T1579" s="37" t="str">
        <f t="shared" si="7"/>
        <v/>
      </c>
      <c r="U1579" s="37" t="str">
        <f t="array" ref="U1579">IF($F1579="","",IFERROR(INDEX(Config!$F:$F,MATCH($F1579,Config!$D:$D,0)),0))</f>
        <v/>
      </c>
    </row>
    <row r="1580" ht="15.0" customHeight="1">
      <c r="A1580" s="34"/>
      <c r="B1580" s="35"/>
      <c r="C1580" s="15"/>
      <c r="D1580" s="15"/>
      <c r="E1580" s="15"/>
      <c r="F1580" s="15"/>
      <c r="G1580" s="36" t="str">
        <f t="array" ref="G1580">IF($F1580="","",IFERROR(INDEX(Config!$E:$E,MATCH($F1580,Config!$D:$D,0)),0))</f>
        <v/>
      </c>
      <c r="H1580" s="16"/>
      <c r="I1580" s="36" t="str">
        <f t="shared" si="1"/>
        <v/>
      </c>
      <c r="J1580" s="16"/>
      <c r="K1580" s="15"/>
      <c r="L1580" s="15"/>
      <c r="M1580" s="36" t="str">
        <f t="array" ref="M1580">IF($A1580="","",IF($L1580="Atendido",IFERROR($I1580*INDEX(Config!$B:$B,MATCH($C1580,Config!$A:$A,0)),0),0))</f>
        <v/>
      </c>
      <c r="N1580" s="36" t="str">
        <f t="shared" si="2"/>
        <v/>
      </c>
      <c r="O1580" s="36" t="str">
        <f t="shared" si="3"/>
        <v/>
      </c>
      <c r="P1580" s="15"/>
      <c r="Q1580" s="37" t="str">
        <f t="shared" si="4"/>
        <v/>
      </c>
      <c r="R1580" s="37" t="str">
        <f t="shared" si="5"/>
        <v/>
      </c>
      <c r="S1580" s="32" t="str">
        <f t="shared" si="6"/>
        <v/>
      </c>
      <c r="T1580" s="37" t="str">
        <f t="shared" si="7"/>
        <v/>
      </c>
      <c r="U1580" s="37" t="str">
        <f t="array" ref="U1580">IF($F1580="","",IFERROR(INDEX(Config!$F:$F,MATCH($F1580,Config!$D:$D,0)),0))</f>
        <v/>
      </c>
    </row>
    <row r="1581" ht="15.0" customHeight="1">
      <c r="A1581" s="34"/>
      <c r="B1581" s="35"/>
      <c r="C1581" s="15"/>
      <c r="D1581" s="15"/>
      <c r="E1581" s="15"/>
      <c r="F1581" s="15"/>
      <c r="G1581" s="36" t="str">
        <f t="array" ref="G1581">IF($F1581="","",IFERROR(INDEX(Config!$E:$E,MATCH($F1581,Config!$D:$D,0)),0))</f>
        <v/>
      </c>
      <c r="H1581" s="16"/>
      <c r="I1581" s="36" t="str">
        <f t="shared" si="1"/>
        <v/>
      </c>
      <c r="J1581" s="16"/>
      <c r="K1581" s="15"/>
      <c r="L1581" s="15"/>
      <c r="M1581" s="36" t="str">
        <f t="array" ref="M1581">IF($A1581="","",IF($L1581="Atendido",IFERROR($I1581*INDEX(Config!$B:$B,MATCH($C1581,Config!$A:$A,0)),0),0))</f>
        <v/>
      </c>
      <c r="N1581" s="36" t="str">
        <f t="shared" si="2"/>
        <v/>
      </c>
      <c r="O1581" s="36" t="str">
        <f t="shared" si="3"/>
        <v/>
      </c>
      <c r="P1581" s="15"/>
      <c r="Q1581" s="37" t="str">
        <f t="shared" si="4"/>
        <v/>
      </c>
      <c r="R1581" s="37" t="str">
        <f t="shared" si="5"/>
        <v/>
      </c>
      <c r="S1581" s="32" t="str">
        <f t="shared" si="6"/>
        <v/>
      </c>
      <c r="T1581" s="37" t="str">
        <f t="shared" si="7"/>
        <v/>
      </c>
      <c r="U1581" s="37" t="str">
        <f t="array" ref="U1581">IF($F1581="","",IFERROR(INDEX(Config!$F:$F,MATCH($F1581,Config!$D:$D,0)),0))</f>
        <v/>
      </c>
    </row>
    <row r="1582" ht="15.0" customHeight="1">
      <c r="A1582" s="34"/>
      <c r="B1582" s="35"/>
      <c r="C1582" s="15"/>
      <c r="D1582" s="15"/>
      <c r="E1582" s="15"/>
      <c r="F1582" s="15"/>
      <c r="G1582" s="36" t="str">
        <f t="array" ref="G1582">IF($F1582="","",IFERROR(INDEX(Config!$E:$E,MATCH($F1582,Config!$D:$D,0)),0))</f>
        <v/>
      </c>
      <c r="H1582" s="16"/>
      <c r="I1582" s="36" t="str">
        <f t="shared" si="1"/>
        <v/>
      </c>
      <c r="J1582" s="16"/>
      <c r="K1582" s="15"/>
      <c r="L1582" s="15"/>
      <c r="M1582" s="36" t="str">
        <f t="array" ref="M1582">IF($A1582="","",IF($L1582="Atendido",IFERROR($I1582*INDEX(Config!$B:$B,MATCH($C1582,Config!$A:$A,0)),0),0))</f>
        <v/>
      </c>
      <c r="N1582" s="36" t="str">
        <f t="shared" si="2"/>
        <v/>
      </c>
      <c r="O1582" s="36" t="str">
        <f t="shared" si="3"/>
        <v/>
      </c>
      <c r="P1582" s="15"/>
      <c r="Q1582" s="37" t="str">
        <f t="shared" si="4"/>
        <v/>
      </c>
      <c r="R1582" s="37" t="str">
        <f t="shared" si="5"/>
        <v/>
      </c>
      <c r="S1582" s="32" t="str">
        <f t="shared" si="6"/>
        <v/>
      </c>
      <c r="T1582" s="37" t="str">
        <f t="shared" si="7"/>
        <v/>
      </c>
      <c r="U1582" s="37" t="str">
        <f t="array" ref="U1582">IF($F1582="","",IFERROR(INDEX(Config!$F:$F,MATCH($F1582,Config!$D:$D,0)),0))</f>
        <v/>
      </c>
    </row>
    <row r="1583" ht="15.0" customHeight="1">
      <c r="A1583" s="34"/>
      <c r="B1583" s="35"/>
      <c r="C1583" s="15"/>
      <c r="D1583" s="15"/>
      <c r="E1583" s="15"/>
      <c r="F1583" s="15"/>
      <c r="G1583" s="36" t="str">
        <f t="array" ref="G1583">IF($F1583="","",IFERROR(INDEX(Config!$E:$E,MATCH($F1583,Config!$D:$D,0)),0))</f>
        <v/>
      </c>
      <c r="H1583" s="16"/>
      <c r="I1583" s="36" t="str">
        <f t="shared" si="1"/>
        <v/>
      </c>
      <c r="J1583" s="16"/>
      <c r="K1583" s="15"/>
      <c r="L1583" s="15"/>
      <c r="M1583" s="36" t="str">
        <f t="array" ref="M1583">IF($A1583="","",IF($L1583="Atendido",IFERROR($I1583*INDEX(Config!$B:$B,MATCH($C1583,Config!$A:$A,0)),0),0))</f>
        <v/>
      </c>
      <c r="N1583" s="36" t="str">
        <f t="shared" si="2"/>
        <v/>
      </c>
      <c r="O1583" s="36" t="str">
        <f t="shared" si="3"/>
        <v/>
      </c>
      <c r="P1583" s="15"/>
      <c r="Q1583" s="37" t="str">
        <f t="shared" si="4"/>
        <v/>
      </c>
      <c r="R1583" s="37" t="str">
        <f t="shared" si="5"/>
        <v/>
      </c>
      <c r="S1583" s="32" t="str">
        <f t="shared" si="6"/>
        <v/>
      </c>
      <c r="T1583" s="37" t="str">
        <f t="shared" si="7"/>
        <v/>
      </c>
      <c r="U1583" s="37" t="str">
        <f t="array" ref="U1583">IF($F1583="","",IFERROR(INDEX(Config!$F:$F,MATCH($F1583,Config!$D:$D,0)),0))</f>
        <v/>
      </c>
    </row>
    <row r="1584" ht="15.0" customHeight="1">
      <c r="A1584" s="34"/>
      <c r="B1584" s="35"/>
      <c r="C1584" s="15"/>
      <c r="D1584" s="15"/>
      <c r="E1584" s="15"/>
      <c r="F1584" s="15"/>
      <c r="G1584" s="36" t="str">
        <f t="array" ref="G1584">IF($F1584="","",IFERROR(INDEX(Config!$E:$E,MATCH($F1584,Config!$D:$D,0)),0))</f>
        <v/>
      </c>
      <c r="H1584" s="16"/>
      <c r="I1584" s="36" t="str">
        <f t="shared" si="1"/>
        <v/>
      </c>
      <c r="J1584" s="16"/>
      <c r="K1584" s="15"/>
      <c r="L1584" s="15"/>
      <c r="M1584" s="36" t="str">
        <f t="array" ref="M1584">IF($A1584="","",IF($L1584="Atendido",IFERROR($I1584*INDEX(Config!$B:$B,MATCH($C1584,Config!$A:$A,0)),0),0))</f>
        <v/>
      </c>
      <c r="N1584" s="36" t="str">
        <f t="shared" si="2"/>
        <v/>
      </c>
      <c r="O1584" s="36" t="str">
        <f t="shared" si="3"/>
        <v/>
      </c>
      <c r="P1584" s="15"/>
      <c r="Q1584" s="37" t="str">
        <f t="shared" si="4"/>
        <v/>
      </c>
      <c r="R1584" s="37" t="str">
        <f t="shared" si="5"/>
        <v/>
      </c>
      <c r="S1584" s="32" t="str">
        <f t="shared" si="6"/>
        <v/>
      </c>
      <c r="T1584" s="37" t="str">
        <f t="shared" si="7"/>
        <v/>
      </c>
      <c r="U1584" s="37" t="str">
        <f t="array" ref="U1584">IF($F1584="","",IFERROR(INDEX(Config!$F:$F,MATCH($F1584,Config!$D:$D,0)),0))</f>
        <v/>
      </c>
    </row>
    <row r="1585" ht="15.0" customHeight="1">
      <c r="A1585" s="34"/>
      <c r="B1585" s="35"/>
      <c r="C1585" s="15"/>
      <c r="D1585" s="15"/>
      <c r="E1585" s="15"/>
      <c r="F1585" s="15"/>
      <c r="G1585" s="36" t="str">
        <f t="array" ref="G1585">IF($F1585="","",IFERROR(INDEX(Config!$E:$E,MATCH($F1585,Config!$D:$D,0)),0))</f>
        <v/>
      </c>
      <c r="H1585" s="16"/>
      <c r="I1585" s="36" t="str">
        <f t="shared" si="1"/>
        <v/>
      </c>
      <c r="J1585" s="16"/>
      <c r="K1585" s="15"/>
      <c r="L1585" s="15"/>
      <c r="M1585" s="36" t="str">
        <f t="array" ref="M1585">IF($A1585="","",IF($L1585="Atendido",IFERROR($I1585*INDEX(Config!$B:$B,MATCH($C1585,Config!$A:$A,0)),0),0))</f>
        <v/>
      </c>
      <c r="N1585" s="36" t="str">
        <f t="shared" si="2"/>
        <v/>
      </c>
      <c r="O1585" s="36" t="str">
        <f t="shared" si="3"/>
        <v/>
      </c>
      <c r="P1585" s="15"/>
      <c r="Q1585" s="37" t="str">
        <f t="shared" si="4"/>
        <v/>
      </c>
      <c r="R1585" s="37" t="str">
        <f t="shared" si="5"/>
        <v/>
      </c>
      <c r="S1585" s="32" t="str">
        <f t="shared" si="6"/>
        <v/>
      </c>
      <c r="T1585" s="37" t="str">
        <f t="shared" si="7"/>
        <v/>
      </c>
      <c r="U1585" s="37" t="str">
        <f t="array" ref="U1585">IF($F1585="","",IFERROR(INDEX(Config!$F:$F,MATCH($F1585,Config!$D:$D,0)),0))</f>
        <v/>
      </c>
    </row>
    <row r="1586" ht="15.0" customHeight="1">
      <c r="A1586" s="34"/>
      <c r="B1586" s="35"/>
      <c r="C1586" s="15"/>
      <c r="D1586" s="15"/>
      <c r="E1586" s="15"/>
      <c r="F1586" s="15"/>
      <c r="G1586" s="36" t="str">
        <f t="array" ref="G1586">IF($F1586="","",IFERROR(INDEX(Config!$E:$E,MATCH($F1586,Config!$D:$D,0)),0))</f>
        <v/>
      </c>
      <c r="H1586" s="16"/>
      <c r="I1586" s="36" t="str">
        <f t="shared" si="1"/>
        <v/>
      </c>
      <c r="J1586" s="16"/>
      <c r="K1586" s="15"/>
      <c r="L1586" s="15"/>
      <c r="M1586" s="36" t="str">
        <f t="array" ref="M1586">IF($A1586="","",IF($L1586="Atendido",IFERROR($I1586*INDEX(Config!$B:$B,MATCH($C1586,Config!$A:$A,0)),0),0))</f>
        <v/>
      </c>
      <c r="N1586" s="36" t="str">
        <f t="shared" si="2"/>
        <v/>
      </c>
      <c r="O1586" s="36" t="str">
        <f t="shared" si="3"/>
        <v/>
      </c>
      <c r="P1586" s="15"/>
      <c r="Q1586" s="37" t="str">
        <f t="shared" si="4"/>
        <v/>
      </c>
      <c r="R1586" s="37" t="str">
        <f t="shared" si="5"/>
        <v/>
      </c>
      <c r="S1586" s="32" t="str">
        <f t="shared" si="6"/>
        <v/>
      </c>
      <c r="T1586" s="37" t="str">
        <f t="shared" si="7"/>
        <v/>
      </c>
      <c r="U1586" s="37" t="str">
        <f t="array" ref="U1586">IF($F1586="","",IFERROR(INDEX(Config!$F:$F,MATCH($F1586,Config!$D:$D,0)),0))</f>
        <v/>
      </c>
    </row>
    <row r="1587" ht="15.0" customHeight="1">
      <c r="A1587" s="34"/>
      <c r="B1587" s="35"/>
      <c r="C1587" s="15"/>
      <c r="D1587" s="15"/>
      <c r="E1587" s="15"/>
      <c r="F1587" s="15"/>
      <c r="G1587" s="36" t="str">
        <f t="array" ref="G1587">IF($F1587="","",IFERROR(INDEX(Config!$E:$E,MATCH($F1587,Config!$D:$D,0)),0))</f>
        <v/>
      </c>
      <c r="H1587" s="16"/>
      <c r="I1587" s="36" t="str">
        <f t="shared" si="1"/>
        <v/>
      </c>
      <c r="J1587" s="16"/>
      <c r="K1587" s="15"/>
      <c r="L1587" s="15"/>
      <c r="M1587" s="36" t="str">
        <f t="array" ref="M1587">IF($A1587="","",IF($L1587="Atendido",IFERROR($I1587*INDEX(Config!$B:$B,MATCH($C1587,Config!$A:$A,0)),0),0))</f>
        <v/>
      </c>
      <c r="N1587" s="36" t="str">
        <f t="shared" si="2"/>
        <v/>
      </c>
      <c r="O1587" s="36" t="str">
        <f t="shared" si="3"/>
        <v/>
      </c>
      <c r="P1587" s="15"/>
      <c r="Q1587" s="37" t="str">
        <f t="shared" si="4"/>
        <v/>
      </c>
      <c r="R1587" s="37" t="str">
        <f t="shared" si="5"/>
        <v/>
      </c>
      <c r="S1587" s="32" t="str">
        <f t="shared" si="6"/>
        <v/>
      </c>
      <c r="T1587" s="37" t="str">
        <f t="shared" si="7"/>
        <v/>
      </c>
      <c r="U1587" s="37" t="str">
        <f t="array" ref="U1587">IF($F1587="","",IFERROR(INDEX(Config!$F:$F,MATCH($F1587,Config!$D:$D,0)),0))</f>
        <v/>
      </c>
    </row>
    <row r="1588" ht="15.0" customHeight="1">
      <c r="A1588" s="34"/>
      <c r="B1588" s="35"/>
      <c r="C1588" s="15"/>
      <c r="D1588" s="15"/>
      <c r="E1588" s="15"/>
      <c r="F1588" s="15"/>
      <c r="G1588" s="36" t="str">
        <f t="array" ref="G1588">IF($F1588="","",IFERROR(INDEX(Config!$E:$E,MATCH($F1588,Config!$D:$D,0)),0))</f>
        <v/>
      </c>
      <c r="H1588" s="16"/>
      <c r="I1588" s="36" t="str">
        <f t="shared" si="1"/>
        <v/>
      </c>
      <c r="J1588" s="16"/>
      <c r="K1588" s="15"/>
      <c r="L1588" s="15"/>
      <c r="M1588" s="36" t="str">
        <f t="array" ref="M1588">IF($A1588="","",IF($L1588="Atendido",IFERROR($I1588*INDEX(Config!$B:$B,MATCH($C1588,Config!$A:$A,0)),0),0))</f>
        <v/>
      </c>
      <c r="N1588" s="36" t="str">
        <f t="shared" si="2"/>
        <v/>
      </c>
      <c r="O1588" s="36" t="str">
        <f t="shared" si="3"/>
        <v/>
      </c>
      <c r="P1588" s="15"/>
      <c r="Q1588" s="37" t="str">
        <f t="shared" si="4"/>
        <v/>
      </c>
      <c r="R1588" s="37" t="str">
        <f t="shared" si="5"/>
        <v/>
      </c>
      <c r="S1588" s="32" t="str">
        <f t="shared" si="6"/>
        <v/>
      </c>
      <c r="T1588" s="37" t="str">
        <f t="shared" si="7"/>
        <v/>
      </c>
      <c r="U1588" s="37" t="str">
        <f t="array" ref="U1588">IF($F1588="","",IFERROR(INDEX(Config!$F:$F,MATCH($F1588,Config!$D:$D,0)),0))</f>
        <v/>
      </c>
    </row>
    <row r="1589" ht="15.0" customHeight="1">
      <c r="A1589" s="34"/>
      <c r="B1589" s="35"/>
      <c r="C1589" s="15"/>
      <c r="D1589" s="15"/>
      <c r="E1589" s="15"/>
      <c r="F1589" s="15"/>
      <c r="G1589" s="36" t="str">
        <f t="array" ref="G1589">IF($F1589="","",IFERROR(INDEX(Config!$E:$E,MATCH($F1589,Config!$D:$D,0)),0))</f>
        <v/>
      </c>
      <c r="H1589" s="16"/>
      <c r="I1589" s="36" t="str">
        <f t="shared" si="1"/>
        <v/>
      </c>
      <c r="J1589" s="16"/>
      <c r="K1589" s="15"/>
      <c r="L1589" s="15"/>
      <c r="M1589" s="36" t="str">
        <f t="array" ref="M1589">IF($A1589="","",IF($L1589="Atendido",IFERROR($I1589*INDEX(Config!$B:$B,MATCH($C1589,Config!$A:$A,0)),0),0))</f>
        <v/>
      </c>
      <c r="N1589" s="36" t="str">
        <f t="shared" si="2"/>
        <v/>
      </c>
      <c r="O1589" s="36" t="str">
        <f t="shared" si="3"/>
        <v/>
      </c>
      <c r="P1589" s="15"/>
      <c r="Q1589" s="37" t="str">
        <f t="shared" si="4"/>
        <v/>
      </c>
      <c r="R1589" s="37" t="str">
        <f t="shared" si="5"/>
        <v/>
      </c>
      <c r="S1589" s="32" t="str">
        <f t="shared" si="6"/>
        <v/>
      </c>
      <c r="T1589" s="37" t="str">
        <f t="shared" si="7"/>
        <v/>
      </c>
      <c r="U1589" s="37" t="str">
        <f t="array" ref="U1589">IF($F1589="","",IFERROR(INDEX(Config!$F:$F,MATCH($F1589,Config!$D:$D,0)),0))</f>
        <v/>
      </c>
    </row>
    <row r="1590" ht="15.0" customHeight="1">
      <c r="A1590" s="34"/>
      <c r="B1590" s="35"/>
      <c r="C1590" s="15"/>
      <c r="D1590" s="15"/>
      <c r="E1590" s="15"/>
      <c r="F1590" s="15"/>
      <c r="G1590" s="36" t="str">
        <f t="array" ref="G1590">IF($F1590="","",IFERROR(INDEX(Config!$E:$E,MATCH($F1590,Config!$D:$D,0)),0))</f>
        <v/>
      </c>
      <c r="H1590" s="16"/>
      <c r="I1590" s="36" t="str">
        <f t="shared" si="1"/>
        <v/>
      </c>
      <c r="J1590" s="16"/>
      <c r="K1590" s="15"/>
      <c r="L1590" s="15"/>
      <c r="M1590" s="36" t="str">
        <f t="array" ref="M1590">IF($A1590="","",IF($L1590="Atendido",IFERROR($I1590*INDEX(Config!$B:$B,MATCH($C1590,Config!$A:$A,0)),0),0))</f>
        <v/>
      </c>
      <c r="N1590" s="36" t="str">
        <f t="shared" si="2"/>
        <v/>
      </c>
      <c r="O1590" s="36" t="str">
        <f t="shared" si="3"/>
        <v/>
      </c>
      <c r="P1590" s="15"/>
      <c r="Q1590" s="37" t="str">
        <f t="shared" si="4"/>
        <v/>
      </c>
      <c r="R1590" s="37" t="str">
        <f t="shared" si="5"/>
        <v/>
      </c>
      <c r="S1590" s="32" t="str">
        <f t="shared" si="6"/>
        <v/>
      </c>
      <c r="T1590" s="37" t="str">
        <f t="shared" si="7"/>
        <v/>
      </c>
      <c r="U1590" s="37" t="str">
        <f t="array" ref="U1590">IF($F1590="","",IFERROR(INDEX(Config!$F:$F,MATCH($F1590,Config!$D:$D,0)),0))</f>
        <v/>
      </c>
    </row>
    <row r="1591" ht="15.0" customHeight="1">
      <c r="A1591" s="34"/>
      <c r="B1591" s="35"/>
      <c r="C1591" s="15"/>
      <c r="D1591" s="15"/>
      <c r="E1591" s="15"/>
      <c r="F1591" s="15"/>
      <c r="G1591" s="36" t="str">
        <f t="array" ref="G1591">IF($F1591="","",IFERROR(INDEX(Config!$E:$E,MATCH($F1591,Config!$D:$D,0)),0))</f>
        <v/>
      </c>
      <c r="H1591" s="16"/>
      <c r="I1591" s="36" t="str">
        <f t="shared" si="1"/>
        <v/>
      </c>
      <c r="J1591" s="16"/>
      <c r="K1591" s="15"/>
      <c r="L1591" s="15"/>
      <c r="M1591" s="36" t="str">
        <f t="array" ref="M1591">IF($A1591="","",IF($L1591="Atendido",IFERROR($I1591*INDEX(Config!$B:$B,MATCH($C1591,Config!$A:$A,0)),0),0))</f>
        <v/>
      </c>
      <c r="N1591" s="36" t="str">
        <f t="shared" si="2"/>
        <v/>
      </c>
      <c r="O1591" s="36" t="str">
        <f t="shared" si="3"/>
        <v/>
      </c>
      <c r="P1591" s="15"/>
      <c r="Q1591" s="37" t="str">
        <f t="shared" si="4"/>
        <v/>
      </c>
      <c r="R1591" s="37" t="str">
        <f t="shared" si="5"/>
        <v/>
      </c>
      <c r="S1591" s="32" t="str">
        <f t="shared" si="6"/>
        <v/>
      </c>
      <c r="T1591" s="37" t="str">
        <f t="shared" si="7"/>
        <v/>
      </c>
      <c r="U1591" s="37" t="str">
        <f t="array" ref="U1591">IF($F1591="","",IFERROR(INDEX(Config!$F:$F,MATCH($F1591,Config!$D:$D,0)),0))</f>
        <v/>
      </c>
    </row>
    <row r="1592" ht="15.0" customHeight="1">
      <c r="A1592" s="34"/>
      <c r="B1592" s="35"/>
      <c r="C1592" s="15"/>
      <c r="D1592" s="15"/>
      <c r="E1592" s="15"/>
      <c r="F1592" s="15"/>
      <c r="G1592" s="36" t="str">
        <f t="array" ref="G1592">IF($F1592="","",IFERROR(INDEX(Config!$E:$E,MATCH($F1592,Config!$D:$D,0)),0))</f>
        <v/>
      </c>
      <c r="H1592" s="16"/>
      <c r="I1592" s="36" t="str">
        <f t="shared" si="1"/>
        <v/>
      </c>
      <c r="J1592" s="16"/>
      <c r="K1592" s="15"/>
      <c r="L1592" s="15"/>
      <c r="M1592" s="36" t="str">
        <f t="array" ref="M1592">IF($A1592="","",IF($L1592="Atendido",IFERROR($I1592*INDEX(Config!$B:$B,MATCH($C1592,Config!$A:$A,0)),0),0))</f>
        <v/>
      </c>
      <c r="N1592" s="36" t="str">
        <f t="shared" si="2"/>
        <v/>
      </c>
      <c r="O1592" s="36" t="str">
        <f t="shared" si="3"/>
        <v/>
      </c>
      <c r="P1592" s="15"/>
      <c r="Q1592" s="37" t="str">
        <f t="shared" si="4"/>
        <v/>
      </c>
      <c r="R1592" s="37" t="str">
        <f t="shared" si="5"/>
        <v/>
      </c>
      <c r="S1592" s="32" t="str">
        <f t="shared" si="6"/>
        <v/>
      </c>
      <c r="T1592" s="37" t="str">
        <f t="shared" si="7"/>
        <v/>
      </c>
      <c r="U1592" s="37" t="str">
        <f t="array" ref="U1592">IF($F1592="","",IFERROR(INDEX(Config!$F:$F,MATCH($F1592,Config!$D:$D,0)),0))</f>
        <v/>
      </c>
    </row>
    <row r="1593" ht="15.0" customHeight="1">
      <c r="A1593" s="34"/>
      <c r="B1593" s="35"/>
      <c r="C1593" s="15"/>
      <c r="D1593" s="15"/>
      <c r="E1593" s="15"/>
      <c r="F1593" s="15"/>
      <c r="G1593" s="36" t="str">
        <f t="array" ref="G1593">IF($F1593="","",IFERROR(INDEX(Config!$E:$E,MATCH($F1593,Config!$D:$D,0)),0))</f>
        <v/>
      </c>
      <c r="H1593" s="16"/>
      <c r="I1593" s="36" t="str">
        <f t="shared" si="1"/>
        <v/>
      </c>
      <c r="J1593" s="16"/>
      <c r="K1593" s="15"/>
      <c r="L1593" s="15"/>
      <c r="M1593" s="36" t="str">
        <f t="array" ref="M1593">IF($A1593="","",IF($L1593="Atendido",IFERROR($I1593*INDEX(Config!$B:$B,MATCH($C1593,Config!$A:$A,0)),0),0))</f>
        <v/>
      </c>
      <c r="N1593" s="36" t="str">
        <f t="shared" si="2"/>
        <v/>
      </c>
      <c r="O1593" s="36" t="str">
        <f t="shared" si="3"/>
        <v/>
      </c>
      <c r="P1593" s="15"/>
      <c r="Q1593" s="37" t="str">
        <f t="shared" si="4"/>
        <v/>
      </c>
      <c r="R1593" s="37" t="str">
        <f t="shared" si="5"/>
        <v/>
      </c>
      <c r="S1593" s="32" t="str">
        <f t="shared" si="6"/>
        <v/>
      </c>
      <c r="T1593" s="37" t="str">
        <f t="shared" si="7"/>
        <v/>
      </c>
      <c r="U1593" s="37" t="str">
        <f t="array" ref="U1593">IF($F1593="","",IFERROR(INDEX(Config!$F:$F,MATCH($F1593,Config!$D:$D,0)),0))</f>
        <v/>
      </c>
    </row>
    <row r="1594" ht="15.0" customHeight="1">
      <c r="A1594" s="34"/>
      <c r="B1594" s="35"/>
      <c r="C1594" s="15"/>
      <c r="D1594" s="15"/>
      <c r="E1594" s="15"/>
      <c r="F1594" s="15"/>
      <c r="G1594" s="36" t="str">
        <f t="array" ref="G1594">IF($F1594="","",IFERROR(INDEX(Config!$E:$E,MATCH($F1594,Config!$D:$D,0)),0))</f>
        <v/>
      </c>
      <c r="H1594" s="16"/>
      <c r="I1594" s="36" t="str">
        <f t="shared" si="1"/>
        <v/>
      </c>
      <c r="J1594" s="16"/>
      <c r="K1594" s="15"/>
      <c r="L1594" s="15"/>
      <c r="M1594" s="36" t="str">
        <f t="array" ref="M1594">IF($A1594="","",IF($L1594="Atendido",IFERROR($I1594*INDEX(Config!$B:$B,MATCH($C1594,Config!$A:$A,0)),0),0))</f>
        <v/>
      </c>
      <c r="N1594" s="36" t="str">
        <f t="shared" si="2"/>
        <v/>
      </c>
      <c r="O1594" s="36" t="str">
        <f t="shared" si="3"/>
        <v/>
      </c>
      <c r="P1594" s="15"/>
      <c r="Q1594" s="37" t="str">
        <f t="shared" si="4"/>
        <v/>
      </c>
      <c r="R1594" s="37" t="str">
        <f t="shared" si="5"/>
        <v/>
      </c>
      <c r="S1594" s="32" t="str">
        <f t="shared" si="6"/>
        <v/>
      </c>
      <c r="T1594" s="37" t="str">
        <f t="shared" si="7"/>
        <v/>
      </c>
      <c r="U1594" s="37" t="str">
        <f t="array" ref="U1594">IF($F1594="","",IFERROR(INDEX(Config!$F:$F,MATCH($F1594,Config!$D:$D,0)),0))</f>
        <v/>
      </c>
    </row>
    <row r="1595" ht="15.0" customHeight="1">
      <c r="A1595" s="34"/>
      <c r="B1595" s="35"/>
      <c r="C1595" s="15"/>
      <c r="D1595" s="15"/>
      <c r="E1595" s="15"/>
      <c r="F1595" s="15"/>
      <c r="G1595" s="36" t="str">
        <f t="array" ref="G1595">IF($F1595="","",IFERROR(INDEX(Config!$E:$E,MATCH($F1595,Config!$D:$D,0)),0))</f>
        <v/>
      </c>
      <c r="H1595" s="16"/>
      <c r="I1595" s="36" t="str">
        <f t="shared" si="1"/>
        <v/>
      </c>
      <c r="J1595" s="16"/>
      <c r="K1595" s="15"/>
      <c r="L1595" s="15"/>
      <c r="M1595" s="36" t="str">
        <f t="array" ref="M1595">IF($A1595="","",IF($L1595="Atendido",IFERROR($I1595*INDEX(Config!$B:$B,MATCH($C1595,Config!$A:$A,0)),0),0))</f>
        <v/>
      </c>
      <c r="N1595" s="36" t="str">
        <f t="shared" si="2"/>
        <v/>
      </c>
      <c r="O1595" s="36" t="str">
        <f t="shared" si="3"/>
        <v/>
      </c>
      <c r="P1595" s="15"/>
      <c r="Q1595" s="37" t="str">
        <f t="shared" si="4"/>
        <v/>
      </c>
      <c r="R1595" s="37" t="str">
        <f t="shared" si="5"/>
        <v/>
      </c>
      <c r="S1595" s="32" t="str">
        <f t="shared" si="6"/>
        <v/>
      </c>
      <c r="T1595" s="37" t="str">
        <f t="shared" si="7"/>
        <v/>
      </c>
      <c r="U1595" s="37" t="str">
        <f t="array" ref="U1595">IF($F1595="","",IFERROR(INDEX(Config!$F:$F,MATCH($F1595,Config!$D:$D,0)),0))</f>
        <v/>
      </c>
    </row>
    <row r="1596" ht="15.0" customHeight="1">
      <c r="A1596" s="34"/>
      <c r="B1596" s="35"/>
      <c r="C1596" s="15"/>
      <c r="D1596" s="15"/>
      <c r="E1596" s="15"/>
      <c r="F1596" s="15"/>
      <c r="G1596" s="36" t="str">
        <f t="array" ref="G1596">IF($F1596="","",IFERROR(INDEX(Config!$E:$E,MATCH($F1596,Config!$D:$D,0)),0))</f>
        <v/>
      </c>
      <c r="H1596" s="16"/>
      <c r="I1596" s="36" t="str">
        <f t="shared" si="1"/>
        <v/>
      </c>
      <c r="J1596" s="16"/>
      <c r="K1596" s="15"/>
      <c r="L1596" s="15"/>
      <c r="M1596" s="36" t="str">
        <f t="array" ref="M1596">IF($A1596="","",IF($L1596="Atendido",IFERROR($I1596*INDEX(Config!$B:$B,MATCH($C1596,Config!$A:$A,0)),0),0))</f>
        <v/>
      </c>
      <c r="N1596" s="36" t="str">
        <f t="shared" si="2"/>
        <v/>
      </c>
      <c r="O1596" s="36" t="str">
        <f t="shared" si="3"/>
        <v/>
      </c>
      <c r="P1596" s="15"/>
      <c r="Q1596" s="37" t="str">
        <f t="shared" si="4"/>
        <v/>
      </c>
      <c r="R1596" s="37" t="str">
        <f t="shared" si="5"/>
        <v/>
      </c>
      <c r="S1596" s="32" t="str">
        <f t="shared" si="6"/>
        <v/>
      </c>
      <c r="T1596" s="37" t="str">
        <f t="shared" si="7"/>
        <v/>
      </c>
      <c r="U1596" s="37" t="str">
        <f t="array" ref="U1596">IF($F1596="","",IFERROR(INDEX(Config!$F:$F,MATCH($F1596,Config!$D:$D,0)),0))</f>
        <v/>
      </c>
    </row>
    <row r="1597" ht="15.0" customHeight="1">
      <c r="A1597" s="34"/>
      <c r="B1597" s="35"/>
      <c r="C1597" s="15"/>
      <c r="D1597" s="15"/>
      <c r="E1597" s="15"/>
      <c r="F1597" s="15"/>
      <c r="G1597" s="36" t="str">
        <f t="array" ref="G1597">IF($F1597="","",IFERROR(INDEX(Config!$E:$E,MATCH($F1597,Config!$D:$D,0)),0))</f>
        <v/>
      </c>
      <c r="H1597" s="16"/>
      <c r="I1597" s="36" t="str">
        <f t="shared" si="1"/>
        <v/>
      </c>
      <c r="J1597" s="16"/>
      <c r="K1597" s="15"/>
      <c r="L1597" s="15"/>
      <c r="M1597" s="36" t="str">
        <f t="array" ref="M1597">IF($A1597="","",IF($L1597="Atendido",IFERROR($I1597*INDEX(Config!$B:$B,MATCH($C1597,Config!$A:$A,0)),0),0))</f>
        <v/>
      </c>
      <c r="N1597" s="36" t="str">
        <f t="shared" si="2"/>
        <v/>
      </c>
      <c r="O1597" s="36" t="str">
        <f t="shared" si="3"/>
        <v/>
      </c>
      <c r="P1597" s="15"/>
      <c r="Q1597" s="37" t="str">
        <f t="shared" si="4"/>
        <v/>
      </c>
      <c r="R1597" s="37" t="str">
        <f t="shared" si="5"/>
        <v/>
      </c>
      <c r="S1597" s="32" t="str">
        <f t="shared" si="6"/>
        <v/>
      </c>
      <c r="T1597" s="37" t="str">
        <f t="shared" si="7"/>
        <v/>
      </c>
      <c r="U1597" s="37" t="str">
        <f t="array" ref="U1597">IF($F1597="","",IFERROR(INDEX(Config!$F:$F,MATCH($F1597,Config!$D:$D,0)),0))</f>
        <v/>
      </c>
    </row>
    <row r="1598" ht="15.0" customHeight="1">
      <c r="A1598" s="34"/>
      <c r="B1598" s="35"/>
      <c r="C1598" s="15"/>
      <c r="D1598" s="15"/>
      <c r="E1598" s="15"/>
      <c r="F1598" s="15"/>
      <c r="G1598" s="36" t="str">
        <f t="array" ref="G1598">IF($F1598="","",IFERROR(INDEX(Config!$E:$E,MATCH($F1598,Config!$D:$D,0)),0))</f>
        <v/>
      </c>
      <c r="H1598" s="16"/>
      <c r="I1598" s="36" t="str">
        <f t="shared" si="1"/>
        <v/>
      </c>
      <c r="J1598" s="16"/>
      <c r="K1598" s="15"/>
      <c r="L1598" s="15"/>
      <c r="M1598" s="36" t="str">
        <f t="array" ref="M1598">IF($A1598="","",IF($L1598="Atendido",IFERROR($I1598*INDEX(Config!$B:$B,MATCH($C1598,Config!$A:$A,0)),0),0))</f>
        <v/>
      </c>
      <c r="N1598" s="36" t="str">
        <f t="shared" si="2"/>
        <v/>
      </c>
      <c r="O1598" s="36" t="str">
        <f t="shared" si="3"/>
        <v/>
      </c>
      <c r="P1598" s="15"/>
      <c r="Q1598" s="37" t="str">
        <f t="shared" si="4"/>
        <v/>
      </c>
      <c r="R1598" s="37" t="str">
        <f t="shared" si="5"/>
        <v/>
      </c>
      <c r="S1598" s="32" t="str">
        <f t="shared" si="6"/>
        <v/>
      </c>
      <c r="T1598" s="37" t="str">
        <f t="shared" si="7"/>
        <v/>
      </c>
      <c r="U1598" s="37" t="str">
        <f t="array" ref="U1598">IF($F1598="","",IFERROR(INDEX(Config!$F:$F,MATCH($F1598,Config!$D:$D,0)),0))</f>
        <v/>
      </c>
    </row>
    <row r="1599" ht="15.0" customHeight="1">
      <c r="A1599" s="34"/>
      <c r="B1599" s="35"/>
      <c r="C1599" s="15"/>
      <c r="D1599" s="15"/>
      <c r="E1599" s="15"/>
      <c r="F1599" s="15"/>
      <c r="G1599" s="36" t="str">
        <f t="array" ref="G1599">IF($F1599="","",IFERROR(INDEX(Config!$E:$E,MATCH($F1599,Config!$D:$D,0)),0))</f>
        <v/>
      </c>
      <c r="H1599" s="16"/>
      <c r="I1599" s="36" t="str">
        <f t="shared" si="1"/>
        <v/>
      </c>
      <c r="J1599" s="16"/>
      <c r="K1599" s="15"/>
      <c r="L1599" s="15"/>
      <c r="M1599" s="36" t="str">
        <f t="array" ref="M1599">IF($A1599="","",IF($L1599="Atendido",IFERROR($I1599*INDEX(Config!$B:$B,MATCH($C1599,Config!$A:$A,0)),0),0))</f>
        <v/>
      </c>
      <c r="N1599" s="36" t="str">
        <f t="shared" si="2"/>
        <v/>
      </c>
      <c r="O1599" s="36" t="str">
        <f t="shared" si="3"/>
        <v/>
      </c>
      <c r="P1599" s="15"/>
      <c r="Q1599" s="37" t="str">
        <f t="shared" si="4"/>
        <v/>
      </c>
      <c r="R1599" s="37" t="str">
        <f t="shared" si="5"/>
        <v/>
      </c>
      <c r="S1599" s="32" t="str">
        <f t="shared" si="6"/>
        <v/>
      </c>
      <c r="T1599" s="37" t="str">
        <f t="shared" si="7"/>
        <v/>
      </c>
      <c r="U1599" s="37" t="str">
        <f t="array" ref="U1599">IF($F1599="","",IFERROR(INDEX(Config!$F:$F,MATCH($F1599,Config!$D:$D,0)),0))</f>
        <v/>
      </c>
    </row>
    <row r="1600" ht="15.0" customHeight="1">
      <c r="A1600" s="34"/>
      <c r="B1600" s="35"/>
      <c r="C1600" s="15"/>
      <c r="D1600" s="15"/>
      <c r="E1600" s="15"/>
      <c r="F1600" s="15"/>
      <c r="G1600" s="36" t="str">
        <f t="array" ref="G1600">IF($F1600="","",IFERROR(INDEX(Config!$E:$E,MATCH($F1600,Config!$D:$D,0)),0))</f>
        <v/>
      </c>
      <c r="H1600" s="16"/>
      <c r="I1600" s="36" t="str">
        <f t="shared" si="1"/>
        <v/>
      </c>
      <c r="J1600" s="16"/>
      <c r="K1600" s="15"/>
      <c r="L1600" s="15"/>
      <c r="M1600" s="36" t="str">
        <f t="array" ref="M1600">IF($A1600="","",IF($L1600="Atendido",IFERROR($I1600*INDEX(Config!$B:$B,MATCH($C1600,Config!$A:$A,0)),0),0))</f>
        <v/>
      </c>
      <c r="N1600" s="36" t="str">
        <f t="shared" si="2"/>
        <v/>
      </c>
      <c r="O1600" s="36" t="str">
        <f t="shared" si="3"/>
        <v/>
      </c>
      <c r="P1600" s="15"/>
      <c r="Q1600" s="37" t="str">
        <f t="shared" si="4"/>
        <v/>
      </c>
      <c r="R1600" s="37" t="str">
        <f t="shared" si="5"/>
        <v/>
      </c>
      <c r="S1600" s="32" t="str">
        <f t="shared" si="6"/>
        <v/>
      </c>
      <c r="T1600" s="37" t="str">
        <f t="shared" si="7"/>
        <v/>
      </c>
      <c r="U1600" s="37" t="str">
        <f t="array" ref="U1600">IF($F1600="","",IFERROR(INDEX(Config!$F:$F,MATCH($F1600,Config!$D:$D,0)),0))</f>
        <v/>
      </c>
    </row>
    <row r="1601" ht="15.0" customHeight="1">
      <c r="A1601" s="34"/>
      <c r="B1601" s="35"/>
      <c r="C1601" s="15"/>
      <c r="D1601" s="15"/>
      <c r="E1601" s="15"/>
      <c r="F1601" s="15"/>
      <c r="G1601" s="36" t="str">
        <f t="array" ref="G1601">IF($F1601="","",IFERROR(INDEX(Config!$E:$E,MATCH($F1601,Config!$D:$D,0)),0))</f>
        <v/>
      </c>
      <c r="H1601" s="16"/>
      <c r="I1601" s="36" t="str">
        <f t="shared" si="1"/>
        <v/>
      </c>
      <c r="J1601" s="16"/>
      <c r="K1601" s="15"/>
      <c r="L1601" s="15"/>
      <c r="M1601" s="36" t="str">
        <f t="array" ref="M1601">IF($A1601="","",IF($L1601="Atendido",IFERROR($I1601*INDEX(Config!$B:$B,MATCH($C1601,Config!$A:$A,0)),0),0))</f>
        <v/>
      </c>
      <c r="N1601" s="36" t="str">
        <f t="shared" si="2"/>
        <v/>
      </c>
      <c r="O1601" s="36" t="str">
        <f t="shared" si="3"/>
        <v/>
      </c>
      <c r="P1601" s="15"/>
      <c r="Q1601" s="37" t="str">
        <f t="shared" si="4"/>
        <v/>
      </c>
      <c r="R1601" s="37" t="str">
        <f t="shared" si="5"/>
        <v/>
      </c>
      <c r="S1601" s="32" t="str">
        <f t="shared" si="6"/>
        <v/>
      </c>
      <c r="T1601" s="37" t="str">
        <f t="shared" si="7"/>
        <v/>
      </c>
      <c r="U1601" s="37" t="str">
        <f t="array" ref="U1601">IF($F1601="","",IFERROR(INDEX(Config!$F:$F,MATCH($F1601,Config!$D:$D,0)),0))</f>
        <v/>
      </c>
    </row>
    <row r="1602" ht="15.0" customHeight="1">
      <c r="A1602" s="34"/>
      <c r="B1602" s="35"/>
      <c r="C1602" s="15"/>
      <c r="D1602" s="15"/>
      <c r="E1602" s="15"/>
      <c r="F1602" s="15"/>
      <c r="G1602" s="36" t="str">
        <f t="array" ref="G1602">IF($F1602="","",IFERROR(INDEX(Config!$E:$E,MATCH($F1602,Config!$D:$D,0)),0))</f>
        <v/>
      </c>
      <c r="H1602" s="16"/>
      <c r="I1602" s="36" t="str">
        <f t="shared" si="1"/>
        <v/>
      </c>
      <c r="J1602" s="16"/>
      <c r="K1602" s="15"/>
      <c r="L1602" s="15"/>
      <c r="M1602" s="36" t="str">
        <f t="array" ref="M1602">IF($A1602="","",IF($L1602="Atendido",IFERROR($I1602*INDEX(Config!$B:$B,MATCH($C1602,Config!$A:$A,0)),0),0))</f>
        <v/>
      </c>
      <c r="N1602" s="36" t="str">
        <f t="shared" si="2"/>
        <v/>
      </c>
      <c r="O1602" s="36" t="str">
        <f t="shared" si="3"/>
        <v/>
      </c>
      <c r="P1602" s="15"/>
      <c r="Q1602" s="37" t="str">
        <f t="shared" si="4"/>
        <v/>
      </c>
      <c r="R1602" s="37" t="str">
        <f t="shared" si="5"/>
        <v/>
      </c>
      <c r="S1602" s="32" t="str">
        <f t="shared" si="6"/>
        <v/>
      </c>
      <c r="T1602" s="37" t="str">
        <f t="shared" si="7"/>
        <v/>
      </c>
      <c r="U1602" s="37" t="str">
        <f t="array" ref="U1602">IF($F1602="","",IFERROR(INDEX(Config!$F:$F,MATCH($F1602,Config!$D:$D,0)),0))</f>
        <v/>
      </c>
    </row>
    <row r="1603" ht="15.0" customHeight="1">
      <c r="A1603" s="34"/>
      <c r="B1603" s="35"/>
      <c r="C1603" s="15"/>
      <c r="D1603" s="15"/>
      <c r="E1603" s="15"/>
      <c r="F1603" s="15"/>
      <c r="G1603" s="36" t="str">
        <f t="array" ref="G1603">IF($F1603="","",IFERROR(INDEX(Config!$E:$E,MATCH($F1603,Config!$D:$D,0)),0))</f>
        <v/>
      </c>
      <c r="H1603" s="16"/>
      <c r="I1603" s="36" t="str">
        <f t="shared" si="1"/>
        <v/>
      </c>
      <c r="J1603" s="16"/>
      <c r="K1603" s="15"/>
      <c r="L1603" s="15"/>
      <c r="M1603" s="36" t="str">
        <f t="array" ref="M1603">IF($A1603="","",IF($L1603="Atendido",IFERROR($I1603*INDEX(Config!$B:$B,MATCH($C1603,Config!$A:$A,0)),0),0))</f>
        <v/>
      </c>
      <c r="N1603" s="36" t="str">
        <f t="shared" si="2"/>
        <v/>
      </c>
      <c r="O1603" s="36" t="str">
        <f t="shared" si="3"/>
        <v/>
      </c>
      <c r="P1603" s="15"/>
      <c r="Q1603" s="37" t="str">
        <f t="shared" si="4"/>
        <v/>
      </c>
      <c r="R1603" s="37" t="str">
        <f t="shared" si="5"/>
        <v/>
      </c>
      <c r="S1603" s="32" t="str">
        <f t="shared" si="6"/>
        <v/>
      </c>
      <c r="T1603" s="37" t="str">
        <f t="shared" si="7"/>
        <v/>
      </c>
      <c r="U1603" s="37" t="str">
        <f t="array" ref="U1603">IF($F1603="","",IFERROR(INDEX(Config!$F:$F,MATCH($F1603,Config!$D:$D,0)),0))</f>
        <v/>
      </c>
    </row>
    <row r="1604" ht="15.0" customHeight="1">
      <c r="A1604" s="34"/>
      <c r="B1604" s="35"/>
      <c r="C1604" s="15"/>
      <c r="D1604" s="15"/>
      <c r="E1604" s="15"/>
      <c r="F1604" s="15"/>
      <c r="G1604" s="36" t="str">
        <f t="array" ref="G1604">IF($F1604="","",IFERROR(INDEX(Config!$E:$E,MATCH($F1604,Config!$D:$D,0)),0))</f>
        <v/>
      </c>
      <c r="H1604" s="16"/>
      <c r="I1604" s="36" t="str">
        <f t="shared" si="1"/>
        <v/>
      </c>
      <c r="J1604" s="16"/>
      <c r="K1604" s="15"/>
      <c r="L1604" s="15"/>
      <c r="M1604" s="36" t="str">
        <f t="array" ref="M1604">IF($A1604="","",IF($L1604="Atendido",IFERROR($I1604*INDEX(Config!$B:$B,MATCH($C1604,Config!$A:$A,0)),0),0))</f>
        <v/>
      </c>
      <c r="N1604" s="36" t="str">
        <f t="shared" si="2"/>
        <v/>
      </c>
      <c r="O1604" s="36" t="str">
        <f t="shared" si="3"/>
        <v/>
      </c>
      <c r="P1604" s="15"/>
      <c r="Q1604" s="37" t="str">
        <f t="shared" si="4"/>
        <v/>
      </c>
      <c r="R1604" s="37" t="str">
        <f t="shared" si="5"/>
        <v/>
      </c>
      <c r="S1604" s="32" t="str">
        <f t="shared" si="6"/>
        <v/>
      </c>
      <c r="T1604" s="37" t="str">
        <f t="shared" si="7"/>
        <v/>
      </c>
      <c r="U1604" s="37" t="str">
        <f t="array" ref="U1604">IF($F1604="","",IFERROR(INDEX(Config!$F:$F,MATCH($F1604,Config!$D:$D,0)),0))</f>
        <v/>
      </c>
    </row>
    <row r="1605" ht="15.0" customHeight="1">
      <c r="A1605" s="34"/>
      <c r="B1605" s="35"/>
      <c r="C1605" s="15"/>
      <c r="D1605" s="15"/>
      <c r="E1605" s="15"/>
      <c r="F1605" s="15"/>
      <c r="G1605" s="36" t="str">
        <f t="array" ref="G1605">IF($F1605="","",IFERROR(INDEX(Config!$E:$E,MATCH($F1605,Config!$D:$D,0)),0))</f>
        <v/>
      </c>
      <c r="H1605" s="16"/>
      <c r="I1605" s="36" t="str">
        <f t="shared" si="1"/>
        <v/>
      </c>
      <c r="J1605" s="16"/>
      <c r="K1605" s="15"/>
      <c r="L1605" s="15"/>
      <c r="M1605" s="36" t="str">
        <f t="array" ref="M1605">IF($A1605="","",IF($L1605="Atendido",IFERROR($I1605*INDEX(Config!$B:$B,MATCH($C1605,Config!$A:$A,0)),0),0))</f>
        <v/>
      </c>
      <c r="N1605" s="36" t="str">
        <f t="shared" si="2"/>
        <v/>
      </c>
      <c r="O1605" s="36" t="str">
        <f t="shared" si="3"/>
        <v/>
      </c>
      <c r="P1605" s="15"/>
      <c r="Q1605" s="37" t="str">
        <f t="shared" si="4"/>
        <v/>
      </c>
      <c r="R1605" s="37" t="str">
        <f t="shared" si="5"/>
        <v/>
      </c>
      <c r="S1605" s="32" t="str">
        <f t="shared" si="6"/>
        <v/>
      </c>
      <c r="T1605" s="37" t="str">
        <f t="shared" si="7"/>
        <v/>
      </c>
      <c r="U1605" s="37" t="str">
        <f t="array" ref="U1605">IF($F1605="","",IFERROR(INDEX(Config!$F:$F,MATCH($F1605,Config!$D:$D,0)),0))</f>
        <v/>
      </c>
    </row>
    <row r="1606" ht="15.0" customHeight="1">
      <c r="A1606" s="34"/>
      <c r="B1606" s="35"/>
      <c r="C1606" s="15"/>
      <c r="D1606" s="15"/>
      <c r="E1606" s="15"/>
      <c r="F1606" s="15"/>
      <c r="G1606" s="36" t="str">
        <f t="array" ref="G1606">IF($F1606="","",IFERROR(INDEX(Config!$E:$E,MATCH($F1606,Config!$D:$D,0)),0))</f>
        <v/>
      </c>
      <c r="H1606" s="16"/>
      <c r="I1606" s="36" t="str">
        <f t="shared" si="1"/>
        <v/>
      </c>
      <c r="J1606" s="16"/>
      <c r="K1606" s="15"/>
      <c r="L1606" s="15"/>
      <c r="M1606" s="36" t="str">
        <f t="array" ref="M1606">IF($A1606="","",IF($L1606="Atendido",IFERROR($I1606*INDEX(Config!$B:$B,MATCH($C1606,Config!$A:$A,0)),0),0))</f>
        <v/>
      </c>
      <c r="N1606" s="36" t="str">
        <f t="shared" si="2"/>
        <v/>
      </c>
      <c r="O1606" s="36" t="str">
        <f t="shared" si="3"/>
        <v/>
      </c>
      <c r="P1606" s="15"/>
      <c r="Q1606" s="37" t="str">
        <f t="shared" si="4"/>
        <v/>
      </c>
      <c r="R1606" s="37" t="str">
        <f t="shared" si="5"/>
        <v/>
      </c>
      <c r="S1606" s="32" t="str">
        <f t="shared" si="6"/>
        <v/>
      </c>
      <c r="T1606" s="37" t="str">
        <f t="shared" si="7"/>
        <v/>
      </c>
      <c r="U1606" s="37" t="str">
        <f t="array" ref="U1606">IF($F1606="","",IFERROR(INDEX(Config!$F:$F,MATCH($F1606,Config!$D:$D,0)),0))</f>
        <v/>
      </c>
    </row>
    <row r="1607" ht="15.0" customHeight="1">
      <c r="A1607" s="34"/>
      <c r="B1607" s="35"/>
      <c r="C1607" s="15"/>
      <c r="D1607" s="15"/>
      <c r="E1607" s="15"/>
      <c r="F1607" s="15"/>
      <c r="G1607" s="36" t="str">
        <f t="array" ref="G1607">IF($F1607="","",IFERROR(INDEX(Config!$E:$E,MATCH($F1607,Config!$D:$D,0)),0))</f>
        <v/>
      </c>
      <c r="H1607" s="16"/>
      <c r="I1607" s="36" t="str">
        <f t="shared" si="1"/>
        <v/>
      </c>
      <c r="J1607" s="16"/>
      <c r="K1607" s="15"/>
      <c r="L1607" s="15"/>
      <c r="M1607" s="36" t="str">
        <f t="array" ref="M1607">IF($A1607="","",IF($L1607="Atendido",IFERROR($I1607*INDEX(Config!$B:$B,MATCH($C1607,Config!$A:$A,0)),0),0))</f>
        <v/>
      </c>
      <c r="N1607" s="36" t="str">
        <f t="shared" si="2"/>
        <v/>
      </c>
      <c r="O1607" s="36" t="str">
        <f t="shared" si="3"/>
        <v/>
      </c>
      <c r="P1607" s="15"/>
      <c r="Q1607" s="37" t="str">
        <f t="shared" si="4"/>
        <v/>
      </c>
      <c r="R1607" s="37" t="str">
        <f t="shared" si="5"/>
        <v/>
      </c>
      <c r="S1607" s="32" t="str">
        <f t="shared" si="6"/>
        <v/>
      </c>
      <c r="T1607" s="37" t="str">
        <f t="shared" si="7"/>
        <v/>
      </c>
      <c r="U1607" s="37" t="str">
        <f t="array" ref="U1607">IF($F1607="","",IFERROR(INDEX(Config!$F:$F,MATCH($F1607,Config!$D:$D,0)),0))</f>
        <v/>
      </c>
    </row>
    <row r="1608" ht="15.0" customHeight="1">
      <c r="A1608" s="34"/>
      <c r="B1608" s="35"/>
      <c r="C1608" s="15"/>
      <c r="D1608" s="15"/>
      <c r="E1608" s="15"/>
      <c r="F1608" s="15"/>
      <c r="G1608" s="36" t="str">
        <f t="array" ref="G1608">IF($F1608="","",IFERROR(INDEX(Config!$E:$E,MATCH($F1608,Config!$D:$D,0)),0))</f>
        <v/>
      </c>
      <c r="H1608" s="16"/>
      <c r="I1608" s="36" t="str">
        <f t="shared" si="1"/>
        <v/>
      </c>
      <c r="J1608" s="16"/>
      <c r="K1608" s="15"/>
      <c r="L1608" s="15"/>
      <c r="M1608" s="36" t="str">
        <f t="array" ref="M1608">IF($A1608="","",IF($L1608="Atendido",IFERROR($I1608*INDEX(Config!$B:$B,MATCH($C1608,Config!$A:$A,0)),0),0))</f>
        <v/>
      </c>
      <c r="N1608" s="36" t="str">
        <f t="shared" si="2"/>
        <v/>
      </c>
      <c r="O1608" s="36" t="str">
        <f t="shared" si="3"/>
        <v/>
      </c>
      <c r="P1608" s="15"/>
      <c r="Q1608" s="37" t="str">
        <f t="shared" si="4"/>
        <v/>
      </c>
      <c r="R1608" s="37" t="str">
        <f t="shared" si="5"/>
        <v/>
      </c>
      <c r="S1608" s="32" t="str">
        <f t="shared" si="6"/>
        <v/>
      </c>
      <c r="T1608" s="37" t="str">
        <f t="shared" si="7"/>
        <v/>
      </c>
      <c r="U1608" s="37" t="str">
        <f t="array" ref="U1608">IF($F1608="","",IFERROR(INDEX(Config!$F:$F,MATCH($F1608,Config!$D:$D,0)),0))</f>
        <v/>
      </c>
    </row>
    <row r="1609" ht="15.0" customHeight="1">
      <c r="A1609" s="34"/>
      <c r="B1609" s="35"/>
      <c r="C1609" s="15"/>
      <c r="D1609" s="15"/>
      <c r="E1609" s="15"/>
      <c r="F1609" s="15"/>
      <c r="G1609" s="36" t="str">
        <f t="array" ref="G1609">IF($F1609="","",IFERROR(INDEX(Config!$E:$E,MATCH($F1609,Config!$D:$D,0)),0))</f>
        <v/>
      </c>
      <c r="H1609" s="16"/>
      <c r="I1609" s="36" t="str">
        <f t="shared" si="1"/>
        <v/>
      </c>
      <c r="J1609" s="16"/>
      <c r="K1609" s="15"/>
      <c r="L1609" s="15"/>
      <c r="M1609" s="36" t="str">
        <f t="array" ref="M1609">IF($A1609="","",IF($L1609="Atendido",IFERROR($I1609*INDEX(Config!$B:$B,MATCH($C1609,Config!$A:$A,0)),0),0))</f>
        <v/>
      </c>
      <c r="N1609" s="36" t="str">
        <f t="shared" si="2"/>
        <v/>
      </c>
      <c r="O1609" s="36" t="str">
        <f t="shared" si="3"/>
        <v/>
      </c>
      <c r="P1609" s="15"/>
      <c r="Q1609" s="37" t="str">
        <f t="shared" si="4"/>
        <v/>
      </c>
      <c r="R1609" s="37" t="str">
        <f t="shared" si="5"/>
        <v/>
      </c>
      <c r="S1609" s="32" t="str">
        <f t="shared" si="6"/>
        <v/>
      </c>
      <c r="T1609" s="37" t="str">
        <f t="shared" si="7"/>
        <v/>
      </c>
      <c r="U1609" s="37" t="str">
        <f t="array" ref="U1609">IF($F1609="","",IFERROR(INDEX(Config!$F:$F,MATCH($F1609,Config!$D:$D,0)),0))</f>
        <v/>
      </c>
    </row>
    <row r="1610" ht="15.0" customHeight="1">
      <c r="A1610" s="34"/>
      <c r="B1610" s="35"/>
      <c r="C1610" s="15"/>
      <c r="D1610" s="15"/>
      <c r="E1610" s="15"/>
      <c r="F1610" s="15"/>
      <c r="G1610" s="36" t="str">
        <f t="array" ref="G1610">IF($F1610="","",IFERROR(INDEX(Config!$E:$E,MATCH($F1610,Config!$D:$D,0)),0))</f>
        <v/>
      </c>
      <c r="H1610" s="16"/>
      <c r="I1610" s="36" t="str">
        <f t="shared" si="1"/>
        <v/>
      </c>
      <c r="J1610" s="16"/>
      <c r="K1610" s="15"/>
      <c r="L1610" s="15"/>
      <c r="M1610" s="36" t="str">
        <f t="array" ref="M1610">IF($A1610="","",IF($L1610="Atendido",IFERROR($I1610*INDEX(Config!$B:$B,MATCH($C1610,Config!$A:$A,0)),0),0))</f>
        <v/>
      </c>
      <c r="N1610" s="36" t="str">
        <f t="shared" si="2"/>
        <v/>
      </c>
      <c r="O1610" s="36" t="str">
        <f t="shared" si="3"/>
        <v/>
      </c>
      <c r="P1610" s="15"/>
      <c r="Q1610" s="37" t="str">
        <f t="shared" si="4"/>
        <v/>
      </c>
      <c r="R1610" s="37" t="str">
        <f t="shared" si="5"/>
        <v/>
      </c>
      <c r="S1610" s="32" t="str">
        <f t="shared" si="6"/>
        <v/>
      </c>
      <c r="T1610" s="37" t="str">
        <f t="shared" si="7"/>
        <v/>
      </c>
      <c r="U1610" s="37" t="str">
        <f t="array" ref="U1610">IF($F1610="","",IFERROR(INDEX(Config!$F:$F,MATCH($F1610,Config!$D:$D,0)),0))</f>
        <v/>
      </c>
    </row>
    <row r="1611" ht="15.0" customHeight="1">
      <c r="A1611" s="34"/>
      <c r="B1611" s="35"/>
      <c r="C1611" s="15"/>
      <c r="D1611" s="15"/>
      <c r="E1611" s="15"/>
      <c r="F1611" s="15"/>
      <c r="G1611" s="36" t="str">
        <f t="array" ref="G1611">IF($F1611="","",IFERROR(INDEX(Config!$E:$E,MATCH($F1611,Config!$D:$D,0)),0))</f>
        <v/>
      </c>
      <c r="H1611" s="16"/>
      <c r="I1611" s="36" t="str">
        <f t="shared" si="1"/>
        <v/>
      </c>
      <c r="J1611" s="16"/>
      <c r="K1611" s="15"/>
      <c r="L1611" s="15"/>
      <c r="M1611" s="36" t="str">
        <f t="array" ref="M1611">IF($A1611="","",IF($L1611="Atendido",IFERROR($I1611*INDEX(Config!$B:$B,MATCH($C1611,Config!$A:$A,0)),0),0))</f>
        <v/>
      </c>
      <c r="N1611" s="36" t="str">
        <f t="shared" si="2"/>
        <v/>
      </c>
      <c r="O1611" s="36" t="str">
        <f t="shared" si="3"/>
        <v/>
      </c>
      <c r="P1611" s="15"/>
      <c r="Q1611" s="37" t="str">
        <f t="shared" si="4"/>
        <v/>
      </c>
      <c r="R1611" s="37" t="str">
        <f t="shared" si="5"/>
        <v/>
      </c>
      <c r="S1611" s="32" t="str">
        <f t="shared" si="6"/>
        <v/>
      </c>
      <c r="T1611" s="37" t="str">
        <f t="shared" si="7"/>
        <v/>
      </c>
      <c r="U1611" s="37" t="str">
        <f t="array" ref="U1611">IF($F1611="","",IFERROR(INDEX(Config!$F:$F,MATCH($F1611,Config!$D:$D,0)),0))</f>
        <v/>
      </c>
    </row>
    <row r="1612" ht="15.0" customHeight="1">
      <c r="A1612" s="34"/>
      <c r="B1612" s="35"/>
      <c r="C1612" s="15"/>
      <c r="D1612" s="15"/>
      <c r="E1612" s="15"/>
      <c r="F1612" s="15"/>
      <c r="G1612" s="36" t="str">
        <f t="array" ref="G1612">IF($F1612="","",IFERROR(INDEX(Config!$E:$E,MATCH($F1612,Config!$D:$D,0)),0))</f>
        <v/>
      </c>
      <c r="H1612" s="16"/>
      <c r="I1612" s="36" t="str">
        <f t="shared" si="1"/>
        <v/>
      </c>
      <c r="J1612" s="16"/>
      <c r="K1612" s="15"/>
      <c r="L1612" s="15"/>
      <c r="M1612" s="36" t="str">
        <f t="array" ref="M1612">IF($A1612="","",IF($L1612="Atendido",IFERROR($I1612*INDEX(Config!$B:$B,MATCH($C1612,Config!$A:$A,0)),0),0))</f>
        <v/>
      </c>
      <c r="N1612" s="36" t="str">
        <f t="shared" si="2"/>
        <v/>
      </c>
      <c r="O1612" s="36" t="str">
        <f t="shared" si="3"/>
        <v/>
      </c>
      <c r="P1612" s="15"/>
      <c r="Q1612" s="37" t="str">
        <f t="shared" si="4"/>
        <v/>
      </c>
      <c r="R1612" s="37" t="str">
        <f t="shared" si="5"/>
        <v/>
      </c>
      <c r="S1612" s="32" t="str">
        <f t="shared" si="6"/>
        <v/>
      </c>
      <c r="T1612" s="37" t="str">
        <f t="shared" si="7"/>
        <v/>
      </c>
      <c r="U1612" s="37" t="str">
        <f t="array" ref="U1612">IF($F1612="","",IFERROR(INDEX(Config!$F:$F,MATCH($F1612,Config!$D:$D,0)),0))</f>
        <v/>
      </c>
    </row>
    <row r="1613" ht="15.0" customHeight="1">
      <c r="A1613" s="34"/>
      <c r="B1613" s="35"/>
      <c r="C1613" s="15"/>
      <c r="D1613" s="15"/>
      <c r="E1613" s="15"/>
      <c r="F1613" s="15"/>
      <c r="G1613" s="36" t="str">
        <f t="array" ref="G1613">IF($F1613="","",IFERROR(INDEX(Config!$E:$E,MATCH($F1613,Config!$D:$D,0)),0))</f>
        <v/>
      </c>
      <c r="H1613" s="16"/>
      <c r="I1613" s="36" t="str">
        <f t="shared" si="1"/>
        <v/>
      </c>
      <c r="J1613" s="16"/>
      <c r="K1613" s="15"/>
      <c r="L1613" s="15"/>
      <c r="M1613" s="36" t="str">
        <f t="array" ref="M1613">IF($A1613="","",IF($L1613="Atendido",IFERROR($I1613*INDEX(Config!$B:$B,MATCH($C1613,Config!$A:$A,0)),0),0))</f>
        <v/>
      </c>
      <c r="N1613" s="36" t="str">
        <f t="shared" si="2"/>
        <v/>
      </c>
      <c r="O1613" s="36" t="str">
        <f t="shared" si="3"/>
        <v/>
      </c>
      <c r="P1613" s="15"/>
      <c r="Q1613" s="37" t="str">
        <f t="shared" si="4"/>
        <v/>
      </c>
      <c r="R1613" s="37" t="str">
        <f t="shared" si="5"/>
        <v/>
      </c>
      <c r="S1613" s="32" t="str">
        <f t="shared" si="6"/>
        <v/>
      </c>
      <c r="T1613" s="37" t="str">
        <f t="shared" si="7"/>
        <v/>
      </c>
      <c r="U1613" s="37" t="str">
        <f t="array" ref="U1613">IF($F1613="","",IFERROR(INDEX(Config!$F:$F,MATCH($F1613,Config!$D:$D,0)),0))</f>
        <v/>
      </c>
    </row>
    <row r="1614" ht="15.0" customHeight="1">
      <c r="A1614" s="34"/>
      <c r="B1614" s="35"/>
      <c r="C1614" s="15"/>
      <c r="D1614" s="15"/>
      <c r="E1614" s="15"/>
      <c r="F1614" s="15"/>
      <c r="G1614" s="36" t="str">
        <f t="array" ref="G1614">IF($F1614="","",IFERROR(INDEX(Config!$E:$E,MATCH($F1614,Config!$D:$D,0)),0))</f>
        <v/>
      </c>
      <c r="H1614" s="16"/>
      <c r="I1614" s="36" t="str">
        <f t="shared" si="1"/>
        <v/>
      </c>
      <c r="J1614" s="16"/>
      <c r="K1614" s="15"/>
      <c r="L1614" s="15"/>
      <c r="M1614" s="36" t="str">
        <f t="array" ref="M1614">IF($A1614="","",IF($L1614="Atendido",IFERROR($I1614*INDEX(Config!$B:$B,MATCH($C1614,Config!$A:$A,0)),0),0))</f>
        <v/>
      </c>
      <c r="N1614" s="36" t="str">
        <f t="shared" si="2"/>
        <v/>
      </c>
      <c r="O1614" s="36" t="str">
        <f t="shared" si="3"/>
        <v/>
      </c>
      <c r="P1614" s="15"/>
      <c r="Q1614" s="37" t="str">
        <f t="shared" si="4"/>
        <v/>
      </c>
      <c r="R1614" s="37" t="str">
        <f t="shared" si="5"/>
        <v/>
      </c>
      <c r="S1614" s="32" t="str">
        <f t="shared" si="6"/>
        <v/>
      </c>
      <c r="T1614" s="37" t="str">
        <f t="shared" si="7"/>
        <v/>
      </c>
      <c r="U1614" s="37" t="str">
        <f t="array" ref="U1614">IF($F1614="","",IFERROR(INDEX(Config!$F:$F,MATCH($F1614,Config!$D:$D,0)),0))</f>
        <v/>
      </c>
    </row>
    <row r="1615" ht="15.0" customHeight="1">
      <c r="A1615" s="34"/>
      <c r="B1615" s="35"/>
      <c r="C1615" s="15"/>
      <c r="D1615" s="15"/>
      <c r="E1615" s="15"/>
      <c r="F1615" s="15"/>
      <c r="G1615" s="36" t="str">
        <f t="array" ref="G1615">IF($F1615="","",IFERROR(INDEX(Config!$E:$E,MATCH($F1615,Config!$D:$D,0)),0))</f>
        <v/>
      </c>
      <c r="H1615" s="16"/>
      <c r="I1615" s="36" t="str">
        <f t="shared" si="1"/>
        <v/>
      </c>
      <c r="J1615" s="16"/>
      <c r="K1615" s="15"/>
      <c r="L1615" s="15"/>
      <c r="M1615" s="36" t="str">
        <f t="array" ref="M1615">IF($A1615="","",IF($L1615="Atendido",IFERROR($I1615*INDEX(Config!$B:$B,MATCH($C1615,Config!$A:$A,0)),0),0))</f>
        <v/>
      </c>
      <c r="N1615" s="36" t="str">
        <f t="shared" si="2"/>
        <v/>
      </c>
      <c r="O1615" s="36" t="str">
        <f t="shared" si="3"/>
        <v/>
      </c>
      <c r="P1615" s="15"/>
      <c r="Q1615" s="37" t="str">
        <f t="shared" si="4"/>
        <v/>
      </c>
      <c r="R1615" s="37" t="str">
        <f t="shared" si="5"/>
        <v/>
      </c>
      <c r="S1615" s="32" t="str">
        <f t="shared" si="6"/>
        <v/>
      </c>
      <c r="T1615" s="37" t="str">
        <f t="shared" si="7"/>
        <v/>
      </c>
      <c r="U1615" s="37" t="str">
        <f t="array" ref="U1615">IF($F1615="","",IFERROR(INDEX(Config!$F:$F,MATCH($F1615,Config!$D:$D,0)),0))</f>
        <v/>
      </c>
    </row>
    <row r="1616" ht="15.0" customHeight="1">
      <c r="A1616" s="34"/>
      <c r="B1616" s="35"/>
      <c r="C1616" s="15"/>
      <c r="D1616" s="15"/>
      <c r="E1616" s="15"/>
      <c r="F1616" s="15"/>
      <c r="G1616" s="36" t="str">
        <f t="array" ref="G1616">IF($F1616="","",IFERROR(INDEX(Config!$E:$E,MATCH($F1616,Config!$D:$D,0)),0))</f>
        <v/>
      </c>
      <c r="H1616" s="16"/>
      <c r="I1616" s="36" t="str">
        <f t="shared" si="1"/>
        <v/>
      </c>
      <c r="J1616" s="16"/>
      <c r="K1616" s="15"/>
      <c r="L1616" s="15"/>
      <c r="M1616" s="36" t="str">
        <f t="array" ref="M1616">IF($A1616="","",IF($L1616="Atendido",IFERROR($I1616*INDEX(Config!$B:$B,MATCH($C1616,Config!$A:$A,0)),0),0))</f>
        <v/>
      </c>
      <c r="N1616" s="36" t="str">
        <f t="shared" si="2"/>
        <v/>
      </c>
      <c r="O1616" s="36" t="str">
        <f t="shared" si="3"/>
        <v/>
      </c>
      <c r="P1616" s="15"/>
      <c r="Q1616" s="37" t="str">
        <f t="shared" si="4"/>
        <v/>
      </c>
      <c r="R1616" s="37" t="str">
        <f t="shared" si="5"/>
        <v/>
      </c>
      <c r="S1616" s="32" t="str">
        <f t="shared" si="6"/>
        <v/>
      </c>
      <c r="T1616" s="37" t="str">
        <f t="shared" si="7"/>
        <v/>
      </c>
      <c r="U1616" s="37" t="str">
        <f t="array" ref="U1616">IF($F1616="","",IFERROR(INDEX(Config!$F:$F,MATCH($F1616,Config!$D:$D,0)),0))</f>
        <v/>
      </c>
    </row>
    <row r="1617" ht="15.0" customHeight="1">
      <c r="A1617" s="34"/>
      <c r="B1617" s="35"/>
      <c r="C1617" s="15"/>
      <c r="D1617" s="15"/>
      <c r="E1617" s="15"/>
      <c r="F1617" s="15"/>
      <c r="G1617" s="36" t="str">
        <f t="array" ref="G1617">IF($F1617="","",IFERROR(INDEX(Config!$E:$E,MATCH($F1617,Config!$D:$D,0)),0))</f>
        <v/>
      </c>
      <c r="H1617" s="16"/>
      <c r="I1617" s="36" t="str">
        <f t="shared" si="1"/>
        <v/>
      </c>
      <c r="J1617" s="16"/>
      <c r="K1617" s="15"/>
      <c r="L1617" s="15"/>
      <c r="M1617" s="36" t="str">
        <f t="array" ref="M1617">IF($A1617="","",IF($L1617="Atendido",IFERROR($I1617*INDEX(Config!$B:$B,MATCH($C1617,Config!$A:$A,0)),0),0))</f>
        <v/>
      </c>
      <c r="N1617" s="36" t="str">
        <f t="shared" si="2"/>
        <v/>
      </c>
      <c r="O1617" s="36" t="str">
        <f t="shared" si="3"/>
        <v/>
      </c>
      <c r="P1617" s="15"/>
      <c r="Q1617" s="37" t="str">
        <f t="shared" si="4"/>
        <v/>
      </c>
      <c r="R1617" s="37" t="str">
        <f t="shared" si="5"/>
        <v/>
      </c>
      <c r="S1617" s="32" t="str">
        <f t="shared" si="6"/>
        <v/>
      </c>
      <c r="T1617" s="37" t="str">
        <f t="shared" si="7"/>
        <v/>
      </c>
      <c r="U1617" s="37" t="str">
        <f t="array" ref="U1617">IF($F1617="","",IFERROR(INDEX(Config!$F:$F,MATCH($F1617,Config!$D:$D,0)),0))</f>
        <v/>
      </c>
    </row>
    <row r="1618" ht="15.0" customHeight="1">
      <c r="A1618" s="34"/>
      <c r="B1618" s="35"/>
      <c r="C1618" s="15"/>
      <c r="D1618" s="15"/>
      <c r="E1618" s="15"/>
      <c r="F1618" s="15"/>
      <c r="G1618" s="36" t="str">
        <f t="array" ref="G1618">IF($F1618="","",IFERROR(INDEX(Config!$E:$E,MATCH($F1618,Config!$D:$D,0)),0))</f>
        <v/>
      </c>
      <c r="H1618" s="16"/>
      <c r="I1618" s="36" t="str">
        <f t="shared" si="1"/>
        <v/>
      </c>
      <c r="J1618" s="16"/>
      <c r="K1618" s="15"/>
      <c r="L1618" s="15"/>
      <c r="M1618" s="36" t="str">
        <f t="array" ref="M1618">IF($A1618="","",IF($L1618="Atendido",IFERROR($I1618*INDEX(Config!$B:$B,MATCH($C1618,Config!$A:$A,0)),0),0))</f>
        <v/>
      </c>
      <c r="N1618" s="36" t="str">
        <f t="shared" si="2"/>
        <v/>
      </c>
      <c r="O1618" s="36" t="str">
        <f t="shared" si="3"/>
        <v/>
      </c>
      <c r="P1618" s="15"/>
      <c r="Q1618" s="37" t="str">
        <f t="shared" si="4"/>
        <v/>
      </c>
      <c r="R1618" s="37" t="str">
        <f t="shared" si="5"/>
        <v/>
      </c>
      <c r="S1618" s="32" t="str">
        <f t="shared" si="6"/>
        <v/>
      </c>
      <c r="T1618" s="37" t="str">
        <f t="shared" si="7"/>
        <v/>
      </c>
      <c r="U1618" s="37" t="str">
        <f t="array" ref="U1618">IF($F1618="","",IFERROR(INDEX(Config!$F:$F,MATCH($F1618,Config!$D:$D,0)),0))</f>
        <v/>
      </c>
    </row>
    <row r="1619" ht="15.0" customHeight="1">
      <c r="A1619" s="34"/>
      <c r="B1619" s="35"/>
      <c r="C1619" s="15"/>
      <c r="D1619" s="15"/>
      <c r="E1619" s="15"/>
      <c r="F1619" s="15"/>
      <c r="G1619" s="36" t="str">
        <f t="array" ref="G1619">IF($F1619="","",IFERROR(INDEX(Config!$E:$E,MATCH($F1619,Config!$D:$D,0)),0))</f>
        <v/>
      </c>
      <c r="H1619" s="16"/>
      <c r="I1619" s="36" t="str">
        <f t="shared" si="1"/>
        <v/>
      </c>
      <c r="J1619" s="16"/>
      <c r="K1619" s="15"/>
      <c r="L1619" s="15"/>
      <c r="M1619" s="36" t="str">
        <f t="array" ref="M1619">IF($A1619="","",IF($L1619="Atendido",IFERROR($I1619*INDEX(Config!$B:$B,MATCH($C1619,Config!$A:$A,0)),0),0))</f>
        <v/>
      </c>
      <c r="N1619" s="36" t="str">
        <f t="shared" si="2"/>
        <v/>
      </c>
      <c r="O1619" s="36" t="str">
        <f t="shared" si="3"/>
        <v/>
      </c>
      <c r="P1619" s="15"/>
      <c r="Q1619" s="37" t="str">
        <f t="shared" si="4"/>
        <v/>
      </c>
      <c r="R1619" s="37" t="str">
        <f t="shared" si="5"/>
        <v/>
      </c>
      <c r="S1619" s="32" t="str">
        <f t="shared" si="6"/>
        <v/>
      </c>
      <c r="T1619" s="37" t="str">
        <f t="shared" si="7"/>
        <v/>
      </c>
      <c r="U1619" s="37" t="str">
        <f t="array" ref="U1619">IF($F1619="","",IFERROR(INDEX(Config!$F:$F,MATCH($F1619,Config!$D:$D,0)),0))</f>
        <v/>
      </c>
    </row>
    <row r="1620" ht="15.0" customHeight="1">
      <c r="A1620" s="34"/>
      <c r="B1620" s="35"/>
      <c r="C1620" s="15"/>
      <c r="D1620" s="15"/>
      <c r="E1620" s="15"/>
      <c r="F1620" s="15"/>
      <c r="G1620" s="36" t="str">
        <f t="array" ref="G1620">IF($F1620="","",IFERROR(INDEX(Config!$E:$E,MATCH($F1620,Config!$D:$D,0)),0))</f>
        <v/>
      </c>
      <c r="H1620" s="16"/>
      <c r="I1620" s="36" t="str">
        <f t="shared" si="1"/>
        <v/>
      </c>
      <c r="J1620" s="16"/>
      <c r="K1620" s="15"/>
      <c r="L1620" s="15"/>
      <c r="M1620" s="36" t="str">
        <f t="array" ref="M1620">IF($A1620="","",IF($L1620="Atendido",IFERROR($I1620*INDEX(Config!$B:$B,MATCH($C1620,Config!$A:$A,0)),0),0))</f>
        <v/>
      </c>
      <c r="N1620" s="36" t="str">
        <f t="shared" si="2"/>
        <v/>
      </c>
      <c r="O1620" s="36" t="str">
        <f t="shared" si="3"/>
        <v/>
      </c>
      <c r="P1620" s="15"/>
      <c r="Q1620" s="37" t="str">
        <f t="shared" si="4"/>
        <v/>
      </c>
      <c r="R1620" s="37" t="str">
        <f t="shared" si="5"/>
        <v/>
      </c>
      <c r="S1620" s="32" t="str">
        <f t="shared" si="6"/>
        <v/>
      </c>
      <c r="T1620" s="37" t="str">
        <f t="shared" si="7"/>
        <v/>
      </c>
      <c r="U1620" s="37" t="str">
        <f t="array" ref="U1620">IF($F1620="","",IFERROR(INDEX(Config!$F:$F,MATCH($F1620,Config!$D:$D,0)),0))</f>
        <v/>
      </c>
    </row>
    <row r="1621" ht="15.0" customHeight="1">
      <c r="A1621" s="34"/>
      <c r="B1621" s="35"/>
      <c r="C1621" s="15"/>
      <c r="D1621" s="15"/>
      <c r="E1621" s="15"/>
      <c r="F1621" s="15"/>
      <c r="G1621" s="36" t="str">
        <f t="array" ref="G1621">IF($F1621="","",IFERROR(INDEX(Config!$E:$E,MATCH($F1621,Config!$D:$D,0)),0))</f>
        <v/>
      </c>
      <c r="H1621" s="16"/>
      <c r="I1621" s="36" t="str">
        <f t="shared" si="1"/>
        <v/>
      </c>
      <c r="J1621" s="16"/>
      <c r="K1621" s="15"/>
      <c r="L1621" s="15"/>
      <c r="M1621" s="36" t="str">
        <f t="array" ref="M1621">IF($A1621="","",IF($L1621="Atendido",IFERROR($I1621*INDEX(Config!$B:$B,MATCH($C1621,Config!$A:$A,0)),0),0))</f>
        <v/>
      </c>
      <c r="N1621" s="36" t="str">
        <f t="shared" si="2"/>
        <v/>
      </c>
      <c r="O1621" s="36" t="str">
        <f t="shared" si="3"/>
        <v/>
      </c>
      <c r="P1621" s="15"/>
      <c r="Q1621" s="37" t="str">
        <f t="shared" si="4"/>
        <v/>
      </c>
      <c r="R1621" s="37" t="str">
        <f t="shared" si="5"/>
        <v/>
      </c>
      <c r="S1621" s="32" t="str">
        <f t="shared" si="6"/>
        <v/>
      </c>
      <c r="T1621" s="37" t="str">
        <f t="shared" si="7"/>
        <v/>
      </c>
      <c r="U1621" s="37" t="str">
        <f t="array" ref="U1621">IF($F1621="","",IFERROR(INDEX(Config!$F:$F,MATCH($F1621,Config!$D:$D,0)),0))</f>
        <v/>
      </c>
    </row>
    <row r="1622" ht="15.0" customHeight="1">
      <c r="A1622" s="34"/>
      <c r="B1622" s="35"/>
      <c r="C1622" s="15"/>
      <c r="D1622" s="15"/>
      <c r="E1622" s="15"/>
      <c r="F1622" s="15"/>
      <c r="G1622" s="36" t="str">
        <f t="array" ref="G1622">IF($F1622="","",IFERROR(INDEX(Config!$E:$E,MATCH($F1622,Config!$D:$D,0)),0))</f>
        <v/>
      </c>
      <c r="H1622" s="16"/>
      <c r="I1622" s="36" t="str">
        <f t="shared" si="1"/>
        <v/>
      </c>
      <c r="J1622" s="16"/>
      <c r="K1622" s="15"/>
      <c r="L1622" s="15"/>
      <c r="M1622" s="36" t="str">
        <f t="array" ref="M1622">IF($A1622="","",IF($L1622="Atendido",IFERROR($I1622*INDEX(Config!$B:$B,MATCH($C1622,Config!$A:$A,0)),0),0))</f>
        <v/>
      </c>
      <c r="N1622" s="36" t="str">
        <f t="shared" si="2"/>
        <v/>
      </c>
      <c r="O1622" s="36" t="str">
        <f t="shared" si="3"/>
        <v/>
      </c>
      <c r="P1622" s="15"/>
      <c r="Q1622" s="37" t="str">
        <f t="shared" si="4"/>
        <v/>
      </c>
      <c r="R1622" s="37" t="str">
        <f t="shared" si="5"/>
        <v/>
      </c>
      <c r="S1622" s="32" t="str">
        <f t="shared" si="6"/>
        <v/>
      </c>
      <c r="T1622" s="37" t="str">
        <f t="shared" si="7"/>
        <v/>
      </c>
      <c r="U1622" s="37" t="str">
        <f t="array" ref="U1622">IF($F1622="","",IFERROR(INDEX(Config!$F:$F,MATCH($F1622,Config!$D:$D,0)),0))</f>
        <v/>
      </c>
    </row>
    <row r="1623" ht="15.0" customHeight="1">
      <c r="A1623" s="34"/>
      <c r="B1623" s="35"/>
      <c r="C1623" s="15"/>
      <c r="D1623" s="15"/>
      <c r="E1623" s="15"/>
      <c r="F1623" s="15"/>
      <c r="G1623" s="36" t="str">
        <f t="array" ref="G1623">IF($F1623="","",IFERROR(INDEX(Config!$E:$E,MATCH($F1623,Config!$D:$D,0)),0))</f>
        <v/>
      </c>
      <c r="H1623" s="16"/>
      <c r="I1623" s="36" t="str">
        <f t="shared" si="1"/>
        <v/>
      </c>
      <c r="J1623" s="16"/>
      <c r="K1623" s="15"/>
      <c r="L1623" s="15"/>
      <c r="M1623" s="36" t="str">
        <f t="array" ref="M1623">IF($A1623="","",IF($L1623="Atendido",IFERROR($I1623*INDEX(Config!$B:$B,MATCH($C1623,Config!$A:$A,0)),0),0))</f>
        <v/>
      </c>
      <c r="N1623" s="36" t="str">
        <f t="shared" si="2"/>
        <v/>
      </c>
      <c r="O1623" s="36" t="str">
        <f t="shared" si="3"/>
        <v/>
      </c>
      <c r="P1623" s="15"/>
      <c r="Q1623" s="37" t="str">
        <f t="shared" si="4"/>
        <v/>
      </c>
      <c r="R1623" s="37" t="str">
        <f t="shared" si="5"/>
        <v/>
      </c>
      <c r="S1623" s="32" t="str">
        <f t="shared" si="6"/>
        <v/>
      </c>
      <c r="T1623" s="37" t="str">
        <f t="shared" si="7"/>
        <v/>
      </c>
      <c r="U1623" s="37" t="str">
        <f t="array" ref="U1623">IF($F1623="","",IFERROR(INDEX(Config!$F:$F,MATCH($F1623,Config!$D:$D,0)),0))</f>
        <v/>
      </c>
    </row>
    <row r="1624" ht="15.0" customHeight="1">
      <c r="A1624" s="34"/>
      <c r="B1624" s="35"/>
      <c r="C1624" s="15"/>
      <c r="D1624" s="15"/>
      <c r="E1624" s="15"/>
      <c r="F1624" s="15"/>
      <c r="G1624" s="36" t="str">
        <f t="array" ref="G1624">IF($F1624="","",IFERROR(INDEX(Config!$E:$E,MATCH($F1624,Config!$D:$D,0)),0))</f>
        <v/>
      </c>
      <c r="H1624" s="16"/>
      <c r="I1624" s="36" t="str">
        <f t="shared" si="1"/>
        <v/>
      </c>
      <c r="J1624" s="16"/>
      <c r="K1624" s="15"/>
      <c r="L1624" s="15"/>
      <c r="M1624" s="36" t="str">
        <f t="array" ref="M1624">IF($A1624="","",IF($L1624="Atendido",IFERROR($I1624*INDEX(Config!$B:$B,MATCH($C1624,Config!$A:$A,0)),0),0))</f>
        <v/>
      </c>
      <c r="N1624" s="36" t="str">
        <f t="shared" si="2"/>
        <v/>
      </c>
      <c r="O1624" s="36" t="str">
        <f t="shared" si="3"/>
        <v/>
      </c>
      <c r="P1624" s="15"/>
      <c r="Q1624" s="37" t="str">
        <f t="shared" si="4"/>
        <v/>
      </c>
      <c r="R1624" s="37" t="str">
        <f t="shared" si="5"/>
        <v/>
      </c>
      <c r="S1624" s="32" t="str">
        <f t="shared" si="6"/>
        <v/>
      </c>
      <c r="T1624" s="37" t="str">
        <f t="shared" si="7"/>
        <v/>
      </c>
      <c r="U1624" s="37" t="str">
        <f t="array" ref="U1624">IF($F1624="","",IFERROR(INDEX(Config!$F:$F,MATCH($F1624,Config!$D:$D,0)),0))</f>
        <v/>
      </c>
    </row>
    <row r="1625" ht="15.0" customHeight="1">
      <c r="A1625" s="34"/>
      <c r="B1625" s="35"/>
      <c r="C1625" s="15"/>
      <c r="D1625" s="15"/>
      <c r="E1625" s="15"/>
      <c r="F1625" s="15"/>
      <c r="G1625" s="36" t="str">
        <f t="array" ref="G1625">IF($F1625="","",IFERROR(INDEX(Config!$E:$E,MATCH($F1625,Config!$D:$D,0)),0))</f>
        <v/>
      </c>
      <c r="H1625" s="16"/>
      <c r="I1625" s="36" t="str">
        <f t="shared" si="1"/>
        <v/>
      </c>
      <c r="J1625" s="16"/>
      <c r="K1625" s="15"/>
      <c r="L1625" s="15"/>
      <c r="M1625" s="36" t="str">
        <f t="array" ref="M1625">IF($A1625="","",IF($L1625="Atendido",IFERROR($I1625*INDEX(Config!$B:$B,MATCH($C1625,Config!$A:$A,0)),0),0))</f>
        <v/>
      </c>
      <c r="N1625" s="36" t="str">
        <f t="shared" si="2"/>
        <v/>
      </c>
      <c r="O1625" s="36" t="str">
        <f t="shared" si="3"/>
        <v/>
      </c>
      <c r="P1625" s="15"/>
      <c r="Q1625" s="37" t="str">
        <f t="shared" si="4"/>
        <v/>
      </c>
      <c r="R1625" s="37" t="str">
        <f t="shared" si="5"/>
        <v/>
      </c>
      <c r="S1625" s="32" t="str">
        <f t="shared" si="6"/>
        <v/>
      </c>
      <c r="T1625" s="37" t="str">
        <f t="shared" si="7"/>
        <v/>
      </c>
      <c r="U1625" s="37" t="str">
        <f t="array" ref="U1625">IF($F1625="","",IFERROR(INDEX(Config!$F:$F,MATCH($F1625,Config!$D:$D,0)),0))</f>
        <v/>
      </c>
    </row>
    <row r="1626" ht="15.0" customHeight="1">
      <c r="A1626" s="34"/>
      <c r="B1626" s="35"/>
      <c r="C1626" s="15"/>
      <c r="D1626" s="15"/>
      <c r="E1626" s="15"/>
      <c r="F1626" s="15"/>
      <c r="G1626" s="36" t="str">
        <f t="array" ref="G1626">IF($F1626="","",IFERROR(INDEX(Config!$E:$E,MATCH($F1626,Config!$D:$D,0)),0))</f>
        <v/>
      </c>
      <c r="H1626" s="16"/>
      <c r="I1626" s="36" t="str">
        <f t="shared" si="1"/>
        <v/>
      </c>
      <c r="J1626" s="16"/>
      <c r="K1626" s="15"/>
      <c r="L1626" s="15"/>
      <c r="M1626" s="36" t="str">
        <f t="array" ref="M1626">IF($A1626="","",IF($L1626="Atendido",IFERROR($I1626*INDEX(Config!$B:$B,MATCH($C1626,Config!$A:$A,0)),0),0))</f>
        <v/>
      </c>
      <c r="N1626" s="36" t="str">
        <f t="shared" si="2"/>
        <v/>
      </c>
      <c r="O1626" s="36" t="str">
        <f t="shared" si="3"/>
        <v/>
      </c>
      <c r="P1626" s="15"/>
      <c r="Q1626" s="37" t="str">
        <f t="shared" si="4"/>
        <v/>
      </c>
      <c r="R1626" s="37" t="str">
        <f t="shared" si="5"/>
        <v/>
      </c>
      <c r="S1626" s="32" t="str">
        <f t="shared" si="6"/>
        <v/>
      </c>
      <c r="T1626" s="37" t="str">
        <f t="shared" si="7"/>
        <v/>
      </c>
      <c r="U1626" s="37" t="str">
        <f t="array" ref="U1626">IF($F1626="","",IFERROR(INDEX(Config!$F:$F,MATCH($F1626,Config!$D:$D,0)),0))</f>
        <v/>
      </c>
    </row>
    <row r="1627" ht="15.0" customHeight="1">
      <c r="A1627" s="34"/>
      <c r="B1627" s="35"/>
      <c r="C1627" s="15"/>
      <c r="D1627" s="15"/>
      <c r="E1627" s="15"/>
      <c r="F1627" s="15"/>
      <c r="G1627" s="36" t="str">
        <f t="array" ref="G1627">IF($F1627="","",IFERROR(INDEX(Config!$E:$E,MATCH($F1627,Config!$D:$D,0)),0))</f>
        <v/>
      </c>
      <c r="H1627" s="16"/>
      <c r="I1627" s="36" t="str">
        <f t="shared" si="1"/>
        <v/>
      </c>
      <c r="J1627" s="16"/>
      <c r="K1627" s="15"/>
      <c r="L1627" s="15"/>
      <c r="M1627" s="36" t="str">
        <f t="array" ref="M1627">IF($A1627="","",IF($L1627="Atendido",IFERROR($I1627*INDEX(Config!$B:$B,MATCH($C1627,Config!$A:$A,0)),0),0))</f>
        <v/>
      </c>
      <c r="N1627" s="36" t="str">
        <f t="shared" si="2"/>
        <v/>
      </c>
      <c r="O1627" s="36" t="str">
        <f t="shared" si="3"/>
        <v/>
      </c>
      <c r="P1627" s="15"/>
      <c r="Q1627" s="37" t="str">
        <f t="shared" si="4"/>
        <v/>
      </c>
      <c r="R1627" s="37" t="str">
        <f t="shared" si="5"/>
        <v/>
      </c>
      <c r="S1627" s="32" t="str">
        <f t="shared" si="6"/>
        <v/>
      </c>
      <c r="T1627" s="37" t="str">
        <f t="shared" si="7"/>
        <v/>
      </c>
      <c r="U1627" s="37" t="str">
        <f t="array" ref="U1627">IF($F1627="","",IFERROR(INDEX(Config!$F:$F,MATCH($F1627,Config!$D:$D,0)),0))</f>
        <v/>
      </c>
    </row>
    <row r="1628" ht="15.0" customHeight="1">
      <c r="A1628" s="34"/>
      <c r="B1628" s="35"/>
      <c r="C1628" s="15"/>
      <c r="D1628" s="15"/>
      <c r="E1628" s="15"/>
      <c r="F1628" s="15"/>
      <c r="G1628" s="36" t="str">
        <f t="array" ref="G1628">IF($F1628="","",IFERROR(INDEX(Config!$E:$E,MATCH($F1628,Config!$D:$D,0)),0))</f>
        <v/>
      </c>
      <c r="H1628" s="16"/>
      <c r="I1628" s="36" t="str">
        <f t="shared" si="1"/>
        <v/>
      </c>
      <c r="J1628" s="16"/>
      <c r="K1628" s="15"/>
      <c r="L1628" s="15"/>
      <c r="M1628" s="36" t="str">
        <f t="array" ref="M1628">IF($A1628="","",IF($L1628="Atendido",IFERROR($I1628*INDEX(Config!$B:$B,MATCH($C1628,Config!$A:$A,0)),0),0))</f>
        <v/>
      </c>
      <c r="N1628" s="36" t="str">
        <f t="shared" si="2"/>
        <v/>
      </c>
      <c r="O1628" s="36" t="str">
        <f t="shared" si="3"/>
        <v/>
      </c>
      <c r="P1628" s="15"/>
      <c r="Q1628" s="37" t="str">
        <f t="shared" si="4"/>
        <v/>
      </c>
      <c r="R1628" s="37" t="str">
        <f t="shared" si="5"/>
        <v/>
      </c>
      <c r="S1628" s="32" t="str">
        <f t="shared" si="6"/>
        <v/>
      </c>
      <c r="T1628" s="37" t="str">
        <f t="shared" si="7"/>
        <v/>
      </c>
      <c r="U1628" s="37" t="str">
        <f t="array" ref="U1628">IF($F1628="","",IFERROR(INDEX(Config!$F:$F,MATCH($F1628,Config!$D:$D,0)),0))</f>
        <v/>
      </c>
    </row>
    <row r="1629" ht="15.0" customHeight="1">
      <c r="A1629" s="34"/>
      <c r="B1629" s="35"/>
      <c r="C1629" s="15"/>
      <c r="D1629" s="15"/>
      <c r="E1629" s="15"/>
      <c r="F1629" s="15"/>
      <c r="G1629" s="36" t="str">
        <f t="array" ref="G1629">IF($F1629="","",IFERROR(INDEX(Config!$E:$E,MATCH($F1629,Config!$D:$D,0)),0))</f>
        <v/>
      </c>
      <c r="H1629" s="16"/>
      <c r="I1629" s="36" t="str">
        <f t="shared" si="1"/>
        <v/>
      </c>
      <c r="J1629" s="16"/>
      <c r="K1629" s="15"/>
      <c r="L1629" s="15"/>
      <c r="M1629" s="36" t="str">
        <f t="array" ref="M1629">IF($A1629="","",IF($L1629="Atendido",IFERROR($I1629*INDEX(Config!$B:$B,MATCH($C1629,Config!$A:$A,0)),0),0))</f>
        <v/>
      </c>
      <c r="N1629" s="36" t="str">
        <f t="shared" si="2"/>
        <v/>
      </c>
      <c r="O1629" s="36" t="str">
        <f t="shared" si="3"/>
        <v/>
      </c>
      <c r="P1629" s="15"/>
      <c r="Q1629" s="37" t="str">
        <f t="shared" si="4"/>
        <v/>
      </c>
      <c r="R1629" s="37" t="str">
        <f t="shared" si="5"/>
        <v/>
      </c>
      <c r="S1629" s="32" t="str">
        <f t="shared" si="6"/>
        <v/>
      </c>
      <c r="T1629" s="37" t="str">
        <f t="shared" si="7"/>
        <v/>
      </c>
      <c r="U1629" s="37" t="str">
        <f t="array" ref="U1629">IF($F1629="","",IFERROR(INDEX(Config!$F:$F,MATCH($F1629,Config!$D:$D,0)),0))</f>
        <v/>
      </c>
    </row>
    <row r="1630" ht="15.0" customHeight="1">
      <c r="A1630" s="34"/>
      <c r="B1630" s="35"/>
      <c r="C1630" s="15"/>
      <c r="D1630" s="15"/>
      <c r="E1630" s="15"/>
      <c r="F1630" s="15"/>
      <c r="G1630" s="36" t="str">
        <f t="array" ref="G1630">IF($F1630="","",IFERROR(INDEX(Config!$E:$E,MATCH($F1630,Config!$D:$D,0)),0))</f>
        <v/>
      </c>
      <c r="H1630" s="16"/>
      <c r="I1630" s="36" t="str">
        <f t="shared" si="1"/>
        <v/>
      </c>
      <c r="J1630" s="16"/>
      <c r="K1630" s="15"/>
      <c r="L1630" s="15"/>
      <c r="M1630" s="36" t="str">
        <f t="array" ref="M1630">IF($A1630="","",IF($L1630="Atendido",IFERROR($I1630*INDEX(Config!$B:$B,MATCH($C1630,Config!$A:$A,0)),0),0))</f>
        <v/>
      </c>
      <c r="N1630" s="36" t="str">
        <f t="shared" si="2"/>
        <v/>
      </c>
      <c r="O1630" s="36" t="str">
        <f t="shared" si="3"/>
        <v/>
      </c>
      <c r="P1630" s="15"/>
      <c r="Q1630" s="37" t="str">
        <f t="shared" si="4"/>
        <v/>
      </c>
      <c r="R1630" s="37" t="str">
        <f t="shared" si="5"/>
        <v/>
      </c>
      <c r="S1630" s="32" t="str">
        <f t="shared" si="6"/>
        <v/>
      </c>
      <c r="T1630" s="37" t="str">
        <f t="shared" si="7"/>
        <v/>
      </c>
      <c r="U1630" s="37" t="str">
        <f t="array" ref="U1630">IF($F1630="","",IFERROR(INDEX(Config!$F:$F,MATCH($F1630,Config!$D:$D,0)),0))</f>
        <v/>
      </c>
    </row>
    <row r="1631" ht="15.0" customHeight="1">
      <c r="A1631" s="34"/>
      <c r="B1631" s="35"/>
      <c r="C1631" s="15"/>
      <c r="D1631" s="15"/>
      <c r="E1631" s="15"/>
      <c r="F1631" s="15"/>
      <c r="G1631" s="36" t="str">
        <f t="array" ref="G1631">IF($F1631="","",IFERROR(INDEX(Config!$E:$E,MATCH($F1631,Config!$D:$D,0)),0))</f>
        <v/>
      </c>
      <c r="H1631" s="16"/>
      <c r="I1631" s="36" t="str">
        <f t="shared" si="1"/>
        <v/>
      </c>
      <c r="J1631" s="16"/>
      <c r="K1631" s="15"/>
      <c r="L1631" s="15"/>
      <c r="M1631" s="36" t="str">
        <f t="array" ref="M1631">IF($A1631="","",IF($L1631="Atendido",IFERROR($I1631*INDEX(Config!$B:$B,MATCH($C1631,Config!$A:$A,0)),0),0))</f>
        <v/>
      </c>
      <c r="N1631" s="36" t="str">
        <f t="shared" si="2"/>
        <v/>
      </c>
      <c r="O1631" s="36" t="str">
        <f t="shared" si="3"/>
        <v/>
      </c>
      <c r="P1631" s="15"/>
      <c r="Q1631" s="37" t="str">
        <f t="shared" si="4"/>
        <v/>
      </c>
      <c r="R1631" s="37" t="str">
        <f t="shared" si="5"/>
        <v/>
      </c>
      <c r="S1631" s="32" t="str">
        <f t="shared" si="6"/>
        <v/>
      </c>
      <c r="T1631" s="37" t="str">
        <f t="shared" si="7"/>
        <v/>
      </c>
      <c r="U1631" s="37" t="str">
        <f t="array" ref="U1631">IF($F1631="","",IFERROR(INDEX(Config!$F:$F,MATCH($F1631,Config!$D:$D,0)),0))</f>
        <v/>
      </c>
    </row>
    <row r="1632" ht="15.0" customHeight="1">
      <c r="A1632" s="34"/>
      <c r="B1632" s="35"/>
      <c r="C1632" s="15"/>
      <c r="D1632" s="15"/>
      <c r="E1632" s="15"/>
      <c r="F1632" s="15"/>
      <c r="G1632" s="36" t="str">
        <f t="array" ref="G1632">IF($F1632="","",IFERROR(INDEX(Config!$E:$E,MATCH($F1632,Config!$D:$D,0)),0))</f>
        <v/>
      </c>
      <c r="H1632" s="16"/>
      <c r="I1632" s="36" t="str">
        <f t="shared" si="1"/>
        <v/>
      </c>
      <c r="J1632" s="16"/>
      <c r="K1632" s="15"/>
      <c r="L1632" s="15"/>
      <c r="M1632" s="36" t="str">
        <f t="array" ref="M1632">IF($A1632="","",IF($L1632="Atendido",IFERROR($I1632*INDEX(Config!$B:$B,MATCH($C1632,Config!$A:$A,0)),0),0))</f>
        <v/>
      </c>
      <c r="N1632" s="36" t="str">
        <f t="shared" si="2"/>
        <v/>
      </c>
      <c r="O1632" s="36" t="str">
        <f t="shared" si="3"/>
        <v/>
      </c>
      <c r="P1632" s="15"/>
      <c r="Q1632" s="37" t="str">
        <f t="shared" si="4"/>
        <v/>
      </c>
      <c r="R1632" s="37" t="str">
        <f t="shared" si="5"/>
        <v/>
      </c>
      <c r="S1632" s="32" t="str">
        <f t="shared" si="6"/>
        <v/>
      </c>
      <c r="T1632" s="37" t="str">
        <f t="shared" si="7"/>
        <v/>
      </c>
      <c r="U1632" s="37" t="str">
        <f t="array" ref="U1632">IF($F1632="","",IFERROR(INDEX(Config!$F:$F,MATCH($F1632,Config!$D:$D,0)),0))</f>
        <v/>
      </c>
    </row>
    <row r="1633" ht="15.0" customHeight="1">
      <c r="A1633" s="34"/>
      <c r="B1633" s="35"/>
      <c r="C1633" s="15"/>
      <c r="D1633" s="15"/>
      <c r="E1633" s="15"/>
      <c r="F1633" s="15"/>
      <c r="G1633" s="36" t="str">
        <f t="array" ref="G1633">IF($F1633="","",IFERROR(INDEX(Config!$E:$E,MATCH($F1633,Config!$D:$D,0)),0))</f>
        <v/>
      </c>
      <c r="H1633" s="16"/>
      <c r="I1633" s="36" t="str">
        <f t="shared" si="1"/>
        <v/>
      </c>
      <c r="J1633" s="16"/>
      <c r="K1633" s="15"/>
      <c r="L1633" s="15"/>
      <c r="M1633" s="36" t="str">
        <f t="array" ref="M1633">IF($A1633="","",IF($L1633="Atendido",IFERROR($I1633*INDEX(Config!$B:$B,MATCH($C1633,Config!$A:$A,0)),0),0))</f>
        <v/>
      </c>
      <c r="N1633" s="36" t="str">
        <f t="shared" si="2"/>
        <v/>
      </c>
      <c r="O1633" s="36" t="str">
        <f t="shared" si="3"/>
        <v/>
      </c>
      <c r="P1633" s="15"/>
      <c r="Q1633" s="37" t="str">
        <f t="shared" si="4"/>
        <v/>
      </c>
      <c r="R1633" s="37" t="str">
        <f t="shared" si="5"/>
        <v/>
      </c>
      <c r="S1633" s="32" t="str">
        <f t="shared" si="6"/>
        <v/>
      </c>
      <c r="T1633" s="37" t="str">
        <f t="shared" si="7"/>
        <v/>
      </c>
      <c r="U1633" s="37" t="str">
        <f t="array" ref="U1633">IF($F1633="","",IFERROR(INDEX(Config!$F:$F,MATCH($F1633,Config!$D:$D,0)),0))</f>
        <v/>
      </c>
    </row>
    <row r="1634" ht="15.0" customHeight="1">
      <c r="A1634" s="34"/>
      <c r="B1634" s="35"/>
      <c r="C1634" s="15"/>
      <c r="D1634" s="15"/>
      <c r="E1634" s="15"/>
      <c r="F1634" s="15"/>
      <c r="G1634" s="36" t="str">
        <f t="array" ref="G1634">IF($F1634="","",IFERROR(INDEX(Config!$E:$E,MATCH($F1634,Config!$D:$D,0)),0))</f>
        <v/>
      </c>
      <c r="H1634" s="16"/>
      <c r="I1634" s="36" t="str">
        <f t="shared" si="1"/>
        <v/>
      </c>
      <c r="J1634" s="16"/>
      <c r="K1634" s="15"/>
      <c r="L1634" s="15"/>
      <c r="M1634" s="36" t="str">
        <f t="array" ref="M1634">IF($A1634="","",IF($L1634="Atendido",IFERROR($I1634*INDEX(Config!$B:$B,MATCH($C1634,Config!$A:$A,0)),0),0))</f>
        <v/>
      </c>
      <c r="N1634" s="36" t="str">
        <f t="shared" si="2"/>
        <v/>
      </c>
      <c r="O1634" s="36" t="str">
        <f t="shared" si="3"/>
        <v/>
      </c>
      <c r="P1634" s="15"/>
      <c r="Q1634" s="37" t="str">
        <f t="shared" si="4"/>
        <v/>
      </c>
      <c r="R1634" s="37" t="str">
        <f t="shared" si="5"/>
        <v/>
      </c>
      <c r="S1634" s="32" t="str">
        <f t="shared" si="6"/>
        <v/>
      </c>
      <c r="T1634" s="37" t="str">
        <f t="shared" si="7"/>
        <v/>
      </c>
      <c r="U1634" s="37" t="str">
        <f t="array" ref="U1634">IF($F1634="","",IFERROR(INDEX(Config!$F:$F,MATCH($F1634,Config!$D:$D,0)),0))</f>
        <v/>
      </c>
    </row>
    <row r="1635" ht="15.0" customHeight="1">
      <c r="A1635" s="34"/>
      <c r="B1635" s="35"/>
      <c r="C1635" s="15"/>
      <c r="D1635" s="15"/>
      <c r="E1635" s="15"/>
      <c r="F1635" s="15"/>
      <c r="G1635" s="36" t="str">
        <f t="array" ref="G1635">IF($F1635="","",IFERROR(INDEX(Config!$E:$E,MATCH($F1635,Config!$D:$D,0)),0))</f>
        <v/>
      </c>
      <c r="H1635" s="16"/>
      <c r="I1635" s="36" t="str">
        <f t="shared" si="1"/>
        <v/>
      </c>
      <c r="J1635" s="16"/>
      <c r="K1635" s="15"/>
      <c r="L1635" s="15"/>
      <c r="M1635" s="36" t="str">
        <f t="array" ref="M1635">IF($A1635="","",IF($L1635="Atendido",IFERROR($I1635*INDEX(Config!$B:$B,MATCH($C1635,Config!$A:$A,0)),0),0))</f>
        <v/>
      </c>
      <c r="N1635" s="36" t="str">
        <f t="shared" si="2"/>
        <v/>
      </c>
      <c r="O1635" s="36" t="str">
        <f t="shared" si="3"/>
        <v/>
      </c>
      <c r="P1635" s="15"/>
      <c r="Q1635" s="37" t="str">
        <f t="shared" si="4"/>
        <v/>
      </c>
      <c r="R1635" s="37" t="str">
        <f t="shared" si="5"/>
        <v/>
      </c>
      <c r="S1635" s="32" t="str">
        <f t="shared" si="6"/>
        <v/>
      </c>
      <c r="T1635" s="37" t="str">
        <f t="shared" si="7"/>
        <v/>
      </c>
      <c r="U1635" s="37" t="str">
        <f t="array" ref="U1635">IF($F1635="","",IFERROR(INDEX(Config!$F:$F,MATCH($F1635,Config!$D:$D,0)),0))</f>
        <v/>
      </c>
    </row>
    <row r="1636" ht="15.0" customHeight="1">
      <c r="A1636" s="34"/>
      <c r="B1636" s="35"/>
      <c r="C1636" s="15"/>
      <c r="D1636" s="15"/>
      <c r="E1636" s="15"/>
      <c r="F1636" s="15"/>
      <c r="G1636" s="36" t="str">
        <f t="array" ref="G1636">IF($F1636="","",IFERROR(INDEX(Config!$E:$E,MATCH($F1636,Config!$D:$D,0)),0))</f>
        <v/>
      </c>
      <c r="H1636" s="16"/>
      <c r="I1636" s="36" t="str">
        <f t="shared" si="1"/>
        <v/>
      </c>
      <c r="J1636" s="16"/>
      <c r="K1636" s="15"/>
      <c r="L1636" s="15"/>
      <c r="M1636" s="36" t="str">
        <f t="array" ref="M1636">IF($A1636="","",IF($L1636="Atendido",IFERROR($I1636*INDEX(Config!$B:$B,MATCH($C1636,Config!$A:$A,0)),0),0))</f>
        <v/>
      </c>
      <c r="N1636" s="36" t="str">
        <f t="shared" si="2"/>
        <v/>
      </c>
      <c r="O1636" s="36" t="str">
        <f t="shared" si="3"/>
        <v/>
      </c>
      <c r="P1636" s="15"/>
      <c r="Q1636" s="37" t="str">
        <f t="shared" si="4"/>
        <v/>
      </c>
      <c r="R1636" s="37" t="str">
        <f t="shared" si="5"/>
        <v/>
      </c>
      <c r="S1636" s="32" t="str">
        <f t="shared" si="6"/>
        <v/>
      </c>
      <c r="T1636" s="37" t="str">
        <f t="shared" si="7"/>
        <v/>
      </c>
      <c r="U1636" s="37" t="str">
        <f t="array" ref="U1636">IF($F1636="","",IFERROR(INDEX(Config!$F:$F,MATCH($F1636,Config!$D:$D,0)),0))</f>
        <v/>
      </c>
    </row>
    <row r="1637" ht="15.0" customHeight="1">
      <c r="A1637" s="34"/>
      <c r="B1637" s="35"/>
      <c r="C1637" s="15"/>
      <c r="D1637" s="15"/>
      <c r="E1637" s="15"/>
      <c r="F1637" s="15"/>
      <c r="G1637" s="36" t="str">
        <f t="array" ref="G1637">IF($F1637="","",IFERROR(INDEX(Config!$E:$E,MATCH($F1637,Config!$D:$D,0)),0))</f>
        <v/>
      </c>
      <c r="H1637" s="16"/>
      <c r="I1637" s="36" t="str">
        <f t="shared" si="1"/>
        <v/>
      </c>
      <c r="J1637" s="16"/>
      <c r="K1637" s="15"/>
      <c r="L1637" s="15"/>
      <c r="M1637" s="36" t="str">
        <f t="array" ref="M1637">IF($A1637="","",IF($L1637="Atendido",IFERROR($I1637*INDEX(Config!$B:$B,MATCH($C1637,Config!$A:$A,0)),0),0))</f>
        <v/>
      </c>
      <c r="N1637" s="36" t="str">
        <f t="shared" si="2"/>
        <v/>
      </c>
      <c r="O1637" s="36" t="str">
        <f t="shared" si="3"/>
        <v/>
      </c>
      <c r="P1637" s="15"/>
      <c r="Q1637" s="37" t="str">
        <f t="shared" si="4"/>
        <v/>
      </c>
      <c r="R1637" s="37" t="str">
        <f t="shared" si="5"/>
        <v/>
      </c>
      <c r="S1637" s="32" t="str">
        <f t="shared" si="6"/>
        <v/>
      </c>
      <c r="T1637" s="37" t="str">
        <f t="shared" si="7"/>
        <v/>
      </c>
      <c r="U1637" s="37" t="str">
        <f t="array" ref="U1637">IF($F1637="","",IFERROR(INDEX(Config!$F:$F,MATCH($F1637,Config!$D:$D,0)),0))</f>
        <v/>
      </c>
    </row>
    <row r="1638" ht="15.0" customHeight="1">
      <c r="A1638" s="34"/>
      <c r="B1638" s="35"/>
      <c r="C1638" s="15"/>
      <c r="D1638" s="15"/>
      <c r="E1638" s="15"/>
      <c r="F1638" s="15"/>
      <c r="G1638" s="36" t="str">
        <f t="array" ref="G1638">IF($F1638="","",IFERROR(INDEX(Config!$E:$E,MATCH($F1638,Config!$D:$D,0)),0))</f>
        <v/>
      </c>
      <c r="H1638" s="16"/>
      <c r="I1638" s="36" t="str">
        <f t="shared" si="1"/>
        <v/>
      </c>
      <c r="J1638" s="16"/>
      <c r="K1638" s="15"/>
      <c r="L1638" s="15"/>
      <c r="M1638" s="36" t="str">
        <f t="array" ref="M1638">IF($A1638="","",IF($L1638="Atendido",IFERROR($I1638*INDEX(Config!$B:$B,MATCH($C1638,Config!$A:$A,0)),0),0))</f>
        <v/>
      </c>
      <c r="N1638" s="36" t="str">
        <f t="shared" si="2"/>
        <v/>
      </c>
      <c r="O1638" s="36" t="str">
        <f t="shared" si="3"/>
        <v/>
      </c>
      <c r="P1638" s="15"/>
      <c r="Q1638" s="37" t="str">
        <f t="shared" si="4"/>
        <v/>
      </c>
      <c r="R1638" s="37" t="str">
        <f t="shared" si="5"/>
        <v/>
      </c>
      <c r="S1638" s="32" t="str">
        <f t="shared" si="6"/>
        <v/>
      </c>
      <c r="T1638" s="37" t="str">
        <f t="shared" si="7"/>
        <v/>
      </c>
      <c r="U1638" s="37" t="str">
        <f t="array" ref="U1638">IF($F1638="","",IFERROR(INDEX(Config!$F:$F,MATCH($F1638,Config!$D:$D,0)),0))</f>
        <v/>
      </c>
    </row>
    <row r="1639" ht="15.0" customHeight="1">
      <c r="A1639" s="34"/>
      <c r="B1639" s="35"/>
      <c r="C1639" s="15"/>
      <c r="D1639" s="15"/>
      <c r="E1639" s="15"/>
      <c r="F1639" s="15"/>
      <c r="G1639" s="36" t="str">
        <f t="array" ref="G1639">IF($F1639="","",IFERROR(INDEX(Config!$E:$E,MATCH($F1639,Config!$D:$D,0)),0))</f>
        <v/>
      </c>
      <c r="H1639" s="16"/>
      <c r="I1639" s="36" t="str">
        <f t="shared" si="1"/>
        <v/>
      </c>
      <c r="J1639" s="16"/>
      <c r="K1639" s="15"/>
      <c r="L1639" s="15"/>
      <c r="M1639" s="36" t="str">
        <f t="array" ref="M1639">IF($A1639="","",IF($L1639="Atendido",IFERROR($I1639*INDEX(Config!$B:$B,MATCH($C1639,Config!$A:$A,0)),0),0))</f>
        <v/>
      </c>
      <c r="N1639" s="36" t="str">
        <f t="shared" si="2"/>
        <v/>
      </c>
      <c r="O1639" s="36" t="str">
        <f t="shared" si="3"/>
        <v/>
      </c>
      <c r="P1639" s="15"/>
      <c r="Q1639" s="37" t="str">
        <f t="shared" si="4"/>
        <v/>
      </c>
      <c r="R1639" s="37" t="str">
        <f t="shared" si="5"/>
        <v/>
      </c>
      <c r="S1639" s="32" t="str">
        <f t="shared" si="6"/>
        <v/>
      </c>
      <c r="T1639" s="37" t="str">
        <f t="shared" si="7"/>
        <v/>
      </c>
      <c r="U1639" s="37" t="str">
        <f t="array" ref="U1639">IF($F1639="","",IFERROR(INDEX(Config!$F:$F,MATCH($F1639,Config!$D:$D,0)),0))</f>
        <v/>
      </c>
    </row>
    <row r="1640" ht="15.0" customHeight="1">
      <c r="A1640" s="34"/>
      <c r="B1640" s="35"/>
      <c r="C1640" s="15"/>
      <c r="D1640" s="15"/>
      <c r="E1640" s="15"/>
      <c r="F1640" s="15"/>
      <c r="G1640" s="36" t="str">
        <f t="array" ref="G1640">IF($F1640="","",IFERROR(INDEX(Config!$E:$E,MATCH($F1640,Config!$D:$D,0)),0))</f>
        <v/>
      </c>
      <c r="H1640" s="16"/>
      <c r="I1640" s="36" t="str">
        <f t="shared" si="1"/>
        <v/>
      </c>
      <c r="J1640" s="16"/>
      <c r="K1640" s="15"/>
      <c r="L1640" s="15"/>
      <c r="M1640" s="36" t="str">
        <f t="array" ref="M1640">IF($A1640="","",IF($L1640="Atendido",IFERROR($I1640*INDEX(Config!$B:$B,MATCH($C1640,Config!$A:$A,0)),0),0))</f>
        <v/>
      </c>
      <c r="N1640" s="36" t="str">
        <f t="shared" si="2"/>
        <v/>
      </c>
      <c r="O1640" s="36" t="str">
        <f t="shared" si="3"/>
        <v/>
      </c>
      <c r="P1640" s="15"/>
      <c r="Q1640" s="37" t="str">
        <f t="shared" si="4"/>
        <v/>
      </c>
      <c r="R1640" s="37" t="str">
        <f t="shared" si="5"/>
        <v/>
      </c>
      <c r="S1640" s="32" t="str">
        <f t="shared" si="6"/>
        <v/>
      </c>
      <c r="T1640" s="37" t="str">
        <f t="shared" si="7"/>
        <v/>
      </c>
      <c r="U1640" s="37" t="str">
        <f t="array" ref="U1640">IF($F1640="","",IFERROR(INDEX(Config!$F:$F,MATCH($F1640,Config!$D:$D,0)),0))</f>
        <v/>
      </c>
    </row>
    <row r="1641" ht="15.0" customHeight="1">
      <c r="A1641" s="34"/>
      <c r="B1641" s="35"/>
      <c r="C1641" s="15"/>
      <c r="D1641" s="15"/>
      <c r="E1641" s="15"/>
      <c r="F1641" s="15"/>
      <c r="G1641" s="36" t="str">
        <f t="array" ref="G1641">IF($F1641="","",IFERROR(INDEX(Config!$E:$E,MATCH($F1641,Config!$D:$D,0)),0))</f>
        <v/>
      </c>
      <c r="H1641" s="16"/>
      <c r="I1641" s="36" t="str">
        <f t="shared" si="1"/>
        <v/>
      </c>
      <c r="J1641" s="16"/>
      <c r="K1641" s="15"/>
      <c r="L1641" s="15"/>
      <c r="M1641" s="36" t="str">
        <f t="array" ref="M1641">IF($A1641="","",IF($L1641="Atendido",IFERROR($I1641*INDEX(Config!$B:$B,MATCH($C1641,Config!$A:$A,0)),0),0))</f>
        <v/>
      </c>
      <c r="N1641" s="36" t="str">
        <f t="shared" si="2"/>
        <v/>
      </c>
      <c r="O1641" s="36" t="str">
        <f t="shared" si="3"/>
        <v/>
      </c>
      <c r="P1641" s="15"/>
      <c r="Q1641" s="37" t="str">
        <f t="shared" si="4"/>
        <v/>
      </c>
      <c r="R1641" s="37" t="str">
        <f t="shared" si="5"/>
        <v/>
      </c>
      <c r="S1641" s="32" t="str">
        <f t="shared" si="6"/>
        <v/>
      </c>
      <c r="T1641" s="37" t="str">
        <f t="shared" si="7"/>
        <v/>
      </c>
      <c r="U1641" s="37" t="str">
        <f t="array" ref="U1641">IF($F1641="","",IFERROR(INDEX(Config!$F:$F,MATCH($F1641,Config!$D:$D,0)),0))</f>
        <v/>
      </c>
    </row>
    <row r="1642" ht="15.0" customHeight="1">
      <c r="A1642" s="34"/>
      <c r="B1642" s="35"/>
      <c r="C1642" s="15"/>
      <c r="D1642" s="15"/>
      <c r="E1642" s="15"/>
      <c r="F1642" s="15"/>
      <c r="G1642" s="36" t="str">
        <f t="array" ref="G1642">IF($F1642="","",IFERROR(INDEX(Config!$E:$E,MATCH($F1642,Config!$D:$D,0)),0))</f>
        <v/>
      </c>
      <c r="H1642" s="16"/>
      <c r="I1642" s="36" t="str">
        <f t="shared" si="1"/>
        <v/>
      </c>
      <c r="J1642" s="16"/>
      <c r="K1642" s="15"/>
      <c r="L1642" s="15"/>
      <c r="M1642" s="36" t="str">
        <f t="array" ref="M1642">IF($A1642="","",IF($L1642="Atendido",IFERROR($I1642*INDEX(Config!$B:$B,MATCH($C1642,Config!$A:$A,0)),0),0))</f>
        <v/>
      </c>
      <c r="N1642" s="36" t="str">
        <f t="shared" si="2"/>
        <v/>
      </c>
      <c r="O1642" s="36" t="str">
        <f t="shared" si="3"/>
        <v/>
      </c>
      <c r="P1642" s="15"/>
      <c r="Q1642" s="37" t="str">
        <f t="shared" si="4"/>
        <v/>
      </c>
      <c r="R1642" s="37" t="str">
        <f t="shared" si="5"/>
        <v/>
      </c>
      <c r="S1642" s="32" t="str">
        <f t="shared" si="6"/>
        <v/>
      </c>
      <c r="T1642" s="37" t="str">
        <f t="shared" si="7"/>
        <v/>
      </c>
      <c r="U1642" s="37" t="str">
        <f t="array" ref="U1642">IF($F1642="","",IFERROR(INDEX(Config!$F:$F,MATCH($F1642,Config!$D:$D,0)),0))</f>
        <v/>
      </c>
    </row>
    <row r="1643" ht="15.0" customHeight="1">
      <c r="A1643" s="34"/>
      <c r="B1643" s="35"/>
      <c r="C1643" s="15"/>
      <c r="D1643" s="15"/>
      <c r="E1643" s="15"/>
      <c r="F1643" s="15"/>
      <c r="G1643" s="36" t="str">
        <f t="array" ref="G1643">IF($F1643="","",IFERROR(INDEX(Config!$E:$E,MATCH($F1643,Config!$D:$D,0)),0))</f>
        <v/>
      </c>
      <c r="H1643" s="16"/>
      <c r="I1643" s="36" t="str">
        <f t="shared" si="1"/>
        <v/>
      </c>
      <c r="J1643" s="16"/>
      <c r="K1643" s="15"/>
      <c r="L1643" s="15"/>
      <c r="M1643" s="36" t="str">
        <f t="array" ref="M1643">IF($A1643="","",IF($L1643="Atendido",IFERROR($I1643*INDEX(Config!$B:$B,MATCH($C1643,Config!$A:$A,0)),0),0))</f>
        <v/>
      </c>
      <c r="N1643" s="36" t="str">
        <f t="shared" si="2"/>
        <v/>
      </c>
      <c r="O1643" s="36" t="str">
        <f t="shared" si="3"/>
        <v/>
      </c>
      <c r="P1643" s="15"/>
      <c r="Q1643" s="37" t="str">
        <f t="shared" si="4"/>
        <v/>
      </c>
      <c r="R1643" s="37" t="str">
        <f t="shared" si="5"/>
        <v/>
      </c>
      <c r="S1643" s="32" t="str">
        <f t="shared" si="6"/>
        <v/>
      </c>
      <c r="T1643" s="37" t="str">
        <f t="shared" si="7"/>
        <v/>
      </c>
      <c r="U1643" s="37" t="str">
        <f t="array" ref="U1643">IF($F1643="","",IFERROR(INDEX(Config!$F:$F,MATCH($F1643,Config!$D:$D,0)),0))</f>
        <v/>
      </c>
    </row>
    <row r="1644" ht="15.0" customHeight="1">
      <c r="A1644" s="34"/>
      <c r="B1644" s="35"/>
      <c r="C1644" s="15"/>
      <c r="D1644" s="15"/>
      <c r="E1644" s="15"/>
      <c r="F1644" s="15"/>
      <c r="G1644" s="36" t="str">
        <f t="array" ref="G1644">IF($F1644="","",IFERROR(INDEX(Config!$E:$E,MATCH($F1644,Config!$D:$D,0)),0))</f>
        <v/>
      </c>
      <c r="H1644" s="16"/>
      <c r="I1644" s="36" t="str">
        <f t="shared" si="1"/>
        <v/>
      </c>
      <c r="J1644" s="16"/>
      <c r="K1644" s="15"/>
      <c r="L1644" s="15"/>
      <c r="M1644" s="36" t="str">
        <f t="array" ref="M1644">IF($A1644="","",IF($L1644="Atendido",IFERROR($I1644*INDEX(Config!$B:$B,MATCH($C1644,Config!$A:$A,0)),0),0))</f>
        <v/>
      </c>
      <c r="N1644" s="36" t="str">
        <f t="shared" si="2"/>
        <v/>
      </c>
      <c r="O1644" s="36" t="str">
        <f t="shared" si="3"/>
        <v/>
      </c>
      <c r="P1644" s="15"/>
      <c r="Q1644" s="37" t="str">
        <f t="shared" si="4"/>
        <v/>
      </c>
      <c r="R1644" s="37" t="str">
        <f t="shared" si="5"/>
        <v/>
      </c>
      <c r="S1644" s="32" t="str">
        <f t="shared" si="6"/>
        <v/>
      </c>
      <c r="T1644" s="37" t="str">
        <f t="shared" si="7"/>
        <v/>
      </c>
      <c r="U1644" s="37" t="str">
        <f t="array" ref="U1644">IF($F1644="","",IFERROR(INDEX(Config!$F:$F,MATCH($F1644,Config!$D:$D,0)),0))</f>
        <v/>
      </c>
    </row>
    <row r="1645" ht="15.0" customHeight="1">
      <c r="A1645" s="34"/>
      <c r="B1645" s="35"/>
      <c r="C1645" s="15"/>
      <c r="D1645" s="15"/>
      <c r="E1645" s="15"/>
      <c r="F1645" s="15"/>
      <c r="G1645" s="36" t="str">
        <f t="array" ref="G1645">IF($F1645="","",IFERROR(INDEX(Config!$E:$E,MATCH($F1645,Config!$D:$D,0)),0))</f>
        <v/>
      </c>
      <c r="H1645" s="16"/>
      <c r="I1645" s="36" t="str">
        <f t="shared" si="1"/>
        <v/>
      </c>
      <c r="J1645" s="16"/>
      <c r="K1645" s="15"/>
      <c r="L1645" s="15"/>
      <c r="M1645" s="36" t="str">
        <f t="array" ref="M1645">IF($A1645="","",IF($L1645="Atendido",IFERROR($I1645*INDEX(Config!$B:$B,MATCH($C1645,Config!$A:$A,0)),0),0))</f>
        <v/>
      </c>
      <c r="N1645" s="36" t="str">
        <f t="shared" si="2"/>
        <v/>
      </c>
      <c r="O1645" s="36" t="str">
        <f t="shared" si="3"/>
        <v/>
      </c>
      <c r="P1645" s="15"/>
      <c r="Q1645" s="37" t="str">
        <f t="shared" si="4"/>
        <v/>
      </c>
      <c r="R1645" s="37" t="str">
        <f t="shared" si="5"/>
        <v/>
      </c>
      <c r="S1645" s="32" t="str">
        <f t="shared" si="6"/>
        <v/>
      </c>
      <c r="T1645" s="37" t="str">
        <f t="shared" si="7"/>
        <v/>
      </c>
      <c r="U1645" s="37" t="str">
        <f t="array" ref="U1645">IF($F1645="","",IFERROR(INDEX(Config!$F:$F,MATCH($F1645,Config!$D:$D,0)),0))</f>
        <v/>
      </c>
    </row>
    <row r="1646" ht="15.0" customHeight="1">
      <c r="A1646" s="34"/>
      <c r="B1646" s="35"/>
      <c r="C1646" s="15"/>
      <c r="D1646" s="15"/>
      <c r="E1646" s="15"/>
      <c r="F1646" s="15"/>
      <c r="G1646" s="36" t="str">
        <f t="array" ref="G1646">IF($F1646="","",IFERROR(INDEX(Config!$E:$E,MATCH($F1646,Config!$D:$D,0)),0))</f>
        <v/>
      </c>
      <c r="H1646" s="16"/>
      <c r="I1646" s="36" t="str">
        <f t="shared" si="1"/>
        <v/>
      </c>
      <c r="J1646" s="16"/>
      <c r="K1646" s="15"/>
      <c r="L1646" s="15"/>
      <c r="M1646" s="36" t="str">
        <f t="array" ref="M1646">IF($A1646="","",IF($L1646="Atendido",IFERROR($I1646*INDEX(Config!$B:$B,MATCH($C1646,Config!$A:$A,0)),0),0))</f>
        <v/>
      </c>
      <c r="N1646" s="36" t="str">
        <f t="shared" si="2"/>
        <v/>
      </c>
      <c r="O1646" s="36" t="str">
        <f t="shared" si="3"/>
        <v/>
      </c>
      <c r="P1646" s="15"/>
      <c r="Q1646" s="37" t="str">
        <f t="shared" si="4"/>
        <v/>
      </c>
      <c r="R1646" s="37" t="str">
        <f t="shared" si="5"/>
        <v/>
      </c>
      <c r="S1646" s="32" t="str">
        <f t="shared" si="6"/>
        <v/>
      </c>
      <c r="T1646" s="37" t="str">
        <f t="shared" si="7"/>
        <v/>
      </c>
      <c r="U1646" s="37" t="str">
        <f t="array" ref="U1646">IF($F1646="","",IFERROR(INDEX(Config!$F:$F,MATCH($F1646,Config!$D:$D,0)),0))</f>
        <v/>
      </c>
    </row>
    <row r="1647" ht="15.0" customHeight="1">
      <c r="A1647" s="34"/>
      <c r="B1647" s="35"/>
      <c r="C1647" s="15"/>
      <c r="D1647" s="15"/>
      <c r="E1647" s="15"/>
      <c r="F1647" s="15"/>
      <c r="G1647" s="36" t="str">
        <f t="array" ref="G1647">IF($F1647="","",IFERROR(INDEX(Config!$E:$E,MATCH($F1647,Config!$D:$D,0)),0))</f>
        <v/>
      </c>
      <c r="H1647" s="16"/>
      <c r="I1647" s="36" t="str">
        <f t="shared" si="1"/>
        <v/>
      </c>
      <c r="J1647" s="16"/>
      <c r="K1647" s="15"/>
      <c r="L1647" s="15"/>
      <c r="M1647" s="36" t="str">
        <f t="array" ref="M1647">IF($A1647="","",IF($L1647="Atendido",IFERROR($I1647*INDEX(Config!$B:$B,MATCH($C1647,Config!$A:$A,0)),0),0))</f>
        <v/>
      </c>
      <c r="N1647" s="36" t="str">
        <f t="shared" si="2"/>
        <v/>
      </c>
      <c r="O1647" s="36" t="str">
        <f t="shared" si="3"/>
        <v/>
      </c>
      <c r="P1647" s="15"/>
      <c r="Q1647" s="37" t="str">
        <f t="shared" si="4"/>
        <v/>
      </c>
      <c r="R1647" s="37" t="str">
        <f t="shared" si="5"/>
        <v/>
      </c>
      <c r="S1647" s="32" t="str">
        <f t="shared" si="6"/>
        <v/>
      </c>
      <c r="T1647" s="37" t="str">
        <f t="shared" si="7"/>
        <v/>
      </c>
      <c r="U1647" s="37" t="str">
        <f t="array" ref="U1647">IF($F1647="","",IFERROR(INDEX(Config!$F:$F,MATCH($F1647,Config!$D:$D,0)),0))</f>
        <v/>
      </c>
    </row>
    <row r="1648" ht="15.0" customHeight="1">
      <c r="A1648" s="34"/>
      <c r="B1648" s="35"/>
      <c r="C1648" s="15"/>
      <c r="D1648" s="15"/>
      <c r="E1648" s="15"/>
      <c r="F1648" s="15"/>
      <c r="G1648" s="36" t="str">
        <f t="array" ref="G1648">IF($F1648="","",IFERROR(INDEX(Config!$E:$E,MATCH($F1648,Config!$D:$D,0)),0))</f>
        <v/>
      </c>
      <c r="H1648" s="16"/>
      <c r="I1648" s="36" t="str">
        <f t="shared" si="1"/>
        <v/>
      </c>
      <c r="J1648" s="16"/>
      <c r="K1648" s="15"/>
      <c r="L1648" s="15"/>
      <c r="M1648" s="36" t="str">
        <f t="array" ref="M1648">IF($A1648="","",IF($L1648="Atendido",IFERROR($I1648*INDEX(Config!$B:$B,MATCH($C1648,Config!$A:$A,0)),0),0))</f>
        <v/>
      </c>
      <c r="N1648" s="36" t="str">
        <f t="shared" si="2"/>
        <v/>
      </c>
      <c r="O1648" s="36" t="str">
        <f t="shared" si="3"/>
        <v/>
      </c>
      <c r="P1648" s="15"/>
      <c r="Q1648" s="37" t="str">
        <f t="shared" si="4"/>
        <v/>
      </c>
      <c r="R1648" s="37" t="str">
        <f t="shared" si="5"/>
        <v/>
      </c>
      <c r="S1648" s="32" t="str">
        <f t="shared" si="6"/>
        <v/>
      </c>
      <c r="T1648" s="37" t="str">
        <f t="shared" si="7"/>
        <v/>
      </c>
      <c r="U1648" s="37" t="str">
        <f t="array" ref="U1648">IF($F1648="","",IFERROR(INDEX(Config!$F:$F,MATCH($F1648,Config!$D:$D,0)),0))</f>
        <v/>
      </c>
    </row>
    <row r="1649" ht="15.0" customHeight="1">
      <c r="A1649" s="34"/>
      <c r="B1649" s="35"/>
      <c r="C1649" s="15"/>
      <c r="D1649" s="15"/>
      <c r="E1649" s="15"/>
      <c r="F1649" s="15"/>
      <c r="G1649" s="36" t="str">
        <f t="array" ref="G1649">IF($F1649="","",IFERROR(INDEX(Config!$E:$E,MATCH($F1649,Config!$D:$D,0)),0))</f>
        <v/>
      </c>
      <c r="H1649" s="16"/>
      <c r="I1649" s="36" t="str">
        <f t="shared" si="1"/>
        <v/>
      </c>
      <c r="J1649" s="16"/>
      <c r="K1649" s="15"/>
      <c r="L1649" s="15"/>
      <c r="M1649" s="36" t="str">
        <f t="array" ref="M1649">IF($A1649="","",IF($L1649="Atendido",IFERROR($I1649*INDEX(Config!$B:$B,MATCH($C1649,Config!$A:$A,0)),0),0))</f>
        <v/>
      </c>
      <c r="N1649" s="36" t="str">
        <f t="shared" si="2"/>
        <v/>
      </c>
      <c r="O1649" s="36" t="str">
        <f t="shared" si="3"/>
        <v/>
      </c>
      <c r="P1649" s="15"/>
      <c r="Q1649" s="37" t="str">
        <f t="shared" si="4"/>
        <v/>
      </c>
      <c r="R1649" s="37" t="str">
        <f t="shared" si="5"/>
        <v/>
      </c>
      <c r="S1649" s="32" t="str">
        <f t="shared" si="6"/>
        <v/>
      </c>
      <c r="T1649" s="37" t="str">
        <f t="shared" si="7"/>
        <v/>
      </c>
      <c r="U1649" s="37" t="str">
        <f t="array" ref="U1649">IF($F1649="","",IFERROR(INDEX(Config!$F:$F,MATCH($F1649,Config!$D:$D,0)),0))</f>
        <v/>
      </c>
    </row>
    <row r="1650" ht="15.0" customHeight="1">
      <c r="A1650" s="34"/>
      <c r="B1650" s="35"/>
      <c r="C1650" s="15"/>
      <c r="D1650" s="15"/>
      <c r="E1650" s="15"/>
      <c r="F1650" s="15"/>
      <c r="G1650" s="36" t="str">
        <f t="array" ref="G1650">IF($F1650="","",IFERROR(INDEX(Config!$E:$E,MATCH($F1650,Config!$D:$D,0)),0))</f>
        <v/>
      </c>
      <c r="H1650" s="16"/>
      <c r="I1650" s="36" t="str">
        <f t="shared" si="1"/>
        <v/>
      </c>
      <c r="J1650" s="16"/>
      <c r="K1650" s="15"/>
      <c r="L1650" s="15"/>
      <c r="M1650" s="36" t="str">
        <f t="array" ref="M1650">IF($A1650="","",IF($L1650="Atendido",IFERROR($I1650*INDEX(Config!$B:$B,MATCH($C1650,Config!$A:$A,0)),0),0))</f>
        <v/>
      </c>
      <c r="N1650" s="36" t="str">
        <f t="shared" si="2"/>
        <v/>
      </c>
      <c r="O1650" s="36" t="str">
        <f t="shared" si="3"/>
        <v/>
      </c>
      <c r="P1650" s="15"/>
      <c r="Q1650" s="37" t="str">
        <f t="shared" si="4"/>
        <v/>
      </c>
      <c r="R1650" s="37" t="str">
        <f t="shared" si="5"/>
        <v/>
      </c>
      <c r="S1650" s="32" t="str">
        <f t="shared" si="6"/>
        <v/>
      </c>
      <c r="T1650" s="37" t="str">
        <f t="shared" si="7"/>
        <v/>
      </c>
      <c r="U1650" s="37" t="str">
        <f t="array" ref="U1650">IF($F1650="","",IFERROR(INDEX(Config!$F:$F,MATCH($F1650,Config!$D:$D,0)),0))</f>
        <v/>
      </c>
    </row>
    <row r="1651" ht="15.0" customHeight="1">
      <c r="A1651" s="34"/>
      <c r="B1651" s="35"/>
      <c r="C1651" s="15"/>
      <c r="D1651" s="15"/>
      <c r="E1651" s="15"/>
      <c r="F1651" s="15"/>
      <c r="G1651" s="36" t="str">
        <f t="array" ref="G1651">IF($F1651="","",IFERROR(INDEX(Config!$E:$E,MATCH($F1651,Config!$D:$D,0)),0))</f>
        <v/>
      </c>
      <c r="H1651" s="16"/>
      <c r="I1651" s="36" t="str">
        <f t="shared" si="1"/>
        <v/>
      </c>
      <c r="J1651" s="16"/>
      <c r="K1651" s="15"/>
      <c r="L1651" s="15"/>
      <c r="M1651" s="36" t="str">
        <f t="array" ref="M1651">IF($A1651="","",IF($L1651="Atendido",IFERROR($I1651*INDEX(Config!$B:$B,MATCH($C1651,Config!$A:$A,0)),0),0))</f>
        <v/>
      </c>
      <c r="N1651" s="36" t="str">
        <f t="shared" si="2"/>
        <v/>
      </c>
      <c r="O1651" s="36" t="str">
        <f t="shared" si="3"/>
        <v/>
      </c>
      <c r="P1651" s="15"/>
      <c r="Q1651" s="37" t="str">
        <f t="shared" si="4"/>
        <v/>
      </c>
      <c r="R1651" s="37" t="str">
        <f t="shared" si="5"/>
        <v/>
      </c>
      <c r="S1651" s="32" t="str">
        <f t="shared" si="6"/>
        <v/>
      </c>
      <c r="T1651" s="37" t="str">
        <f t="shared" si="7"/>
        <v/>
      </c>
      <c r="U1651" s="37" t="str">
        <f t="array" ref="U1651">IF($F1651="","",IFERROR(INDEX(Config!$F:$F,MATCH($F1651,Config!$D:$D,0)),0))</f>
        <v/>
      </c>
    </row>
    <row r="1652" ht="15.0" customHeight="1">
      <c r="A1652" s="34"/>
      <c r="B1652" s="35"/>
      <c r="C1652" s="15"/>
      <c r="D1652" s="15"/>
      <c r="E1652" s="15"/>
      <c r="F1652" s="15"/>
      <c r="G1652" s="36" t="str">
        <f t="array" ref="G1652">IF($F1652="","",IFERROR(INDEX(Config!$E:$E,MATCH($F1652,Config!$D:$D,0)),0))</f>
        <v/>
      </c>
      <c r="H1652" s="16"/>
      <c r="I1652" s="36" t="str">
        <f t="shared" si="1"/>
        <v/>
      </c>
      <c r="J1652" s="16"/>
      <c r="K1652" s="15"/>
      <c r="L1652" s="15"/>
      <c r="M1652" s="36" t="str">
        <f t="array" ref="M1652">IF($A1652="","",IF($L1652="Atendido",IFERROR($I1652*INDEX(Config!$B:$B,MATCH($C1652,Config!$A:$A,0)),0),0))</f>
        <v/>
      </c>
      <c r="N1652" s="36" t="str">
        <f t="shared" si="2"/>
        <v/>
      </c>
      <c r="O1652" s="36" t="str">
        <f t="shared" si="3"/>
        <v/>
      </c>
      <c r="P1652" s="15"/>
      <c r="Q1652" s="37" t="str">
        <f t="shared" si="4"/>
        <v/>
      </c>
      <c r="R1652" s="37" t="str">
        <f t="shared" si="5"/>
        <v/>
      </c>
      <c r="S1652" s="32" t="str">
        <f t="shared" si="6"/>
        <v/>
      </c>
      <c r="T1652" s="37" t="str">
        <f t="shared" si="7"/>
        <v/>
      </c>
      <c r="U1652" s="37" t="str">
        <f t="array" ref="U1652">IF($F1652="","",IFERROR(INDEX(Config!$F:$F,MATCH($F1652,Config!$D:$D,0)),0))</f>
        <v/>
      </c>
    </row>
    <row r="1653" ht="15.0" customHeight="1">
      <c r="A1653" s="34"/>
      <c r="B1653" s="35"/>
      <c r="C1653" s="15"/>
      <c r="D1653" s="15"/>
      <c r="E1653" s="15"/>
      <c r="F1653" s="15"/>
      <c r="G1653" s="36" t="str">
        <f t="array" ref="G1653">IF($F1653="","",IFERROR(INDEX(Config!$E:$E,MATCH($F1653,Config!$D:$D,0)),0))</f>
        <v/>
      </c>
      <c r="H1653" s="16"/>
      <c r="I1653" s="36" t="str">
        <f t="shared" si="1"/>
        <v/>
      </c>
      <c r="J1653" s="16"/>
      <c r="K1653" s="15"/>
      <c r="L1653" s="15"/>
      <c r="M1653" s="36" t="str">
        <f t="array" ref="M1653">IF($A1653="","",IF($L1653="Atendido",IFERROR($I1653*INDEX(Config!$B:$B,MATCH($C1653,Config!$A:$A,0)),0),0))</f>
        <v/>
      </c>
      <c r="N1653" s="36" t="str">
        <f t="shared" si="2"/>
        <v/>
      </c>
      <c r="O1653" s="36" t="str">
        <f t="shared" si="3"/>
        <v/>
      </c>
      <c r="P1653" s="15"/>
      <c r="Q1653" s="37" t="str">
        <f t="shared" si="4"/>
        <v/>
      </c>
      <c r="R1653" s="37" t="str">
        <f t="shared" si="5"/>
        <v/>
      </c>
      <c r="S1653" s="32" t="str">
        <f t="shared" si="6"/>
        <v/>
      </c>
      <c r="T1653" s="37" t="str">
        <f t="shared" si="7"/>
        <v/>
      </c>
      <c r="U1653" s="37" t="str">
        <f t="array" ref="U1653">IF($F1653="","",IFERROR(INDEX(Config!$F:$F,MATCH($F1653,Config!$D:$D,0)),0))</f>
        <v/>
      </c>
    </row>
    <row r="1654" ht="15.0" customHeight="1">
      <c r="A1654" s="34"/>
      <c r="B1654" s="35"/>
      <c r="C1654" s="15"/>
      <c r="D1654" s="15"/>
      <c r="E1654" s="15"/>
      <c r="F1654" s="15"/>
      <c r="G1654" s="36" t="str">
        <f t="array" ref="G1654">IF($F1654="","",IFERROR(INDEX(Config!$E:$E,MATCH($F1654,Config!$D:$D,0)),0))</f>
        <v/>
      </c>
      <c r="H1654" s="16"/>
      <c r="I1654" s="36" t="str">
        <f t="shared" si="1"/>
        <v/>
      </c>
      <c r="J1654" s="16"/>
      <c r="K1654" s="15"/>
      <c r="L1654" s="15"/>
      <c r="M1654" s="36" t="str">
        <f t="array" ref="M1654">IF($A1654="","",IF($L1654="Atendido",IFERROR($I1654*INDEX(Config!$B:$B,MATCH($C1654,Config!$A:$A,0)),0),0))</f>
        <v/>
      </c>
      <c r="N1654" s="36" t="str">
        <f t="shared" si="2"/>
        <v/>
      </c>
      <c r="O1654" s="36" t="str">
        <f t="shared" si="3"/>
        <v/>
      </c>
      <c r="P1654" s="15"/>
      <c r="Q1654" s="37" t="str">
        <f t="shared" si="4"/>
        <v/>
      </c>
      <c r="R1654" s="37" t="str">
        <f t="shared" si="5"/>
        <v/>
      </c>
      <c r="S1654" s="32" t="str">
        <f t="shared" si="6"/>
        <v/>
      </c>
      <c r="T1654" s="37" t="str">
        <f t="shared" si="7"/>
        <v/>
      </c>
      <c r="U1654" s="37" t="str">
        <f t="array" ref="U1654">IF($F1654="","",IFERROR(INDEX(Config!$F:$F,MATCH($F1654,Config!$D:$D,0)),0))</f>
        <v/>
      </c>
    </row>
    <row r="1655" ht="15.0" customHeight="1">
      <c r="A1655" s="34"/>
      <c r="B1655" s="35"/>
      <c r="C1655" s="15"/>
      <c r="D1655" s="15"/>
      <c r="E1655" s="15"/>
      <c r="F1655" s="15"/>
      <c r="G1655" s="36" t="str">
        <f t="array" ref="G1655">IF($F1655="","",IFERROR(INDEX(Config!$E:$E,MATCH($F1655,Config!$D:$D,0)),0))</f>
        <v/>
      </c>
      <c r="H1655" s="16"/>
      <c r="I1655" s="36" t="str">
        <f t="shared" si="1"/>
        <v/>
      </c>
      <c r="J1655" s="16"/>
      <c r="K1655" s="15"/>
      <c r="L1655" s="15"/>
      <c r="M1655" s="36" t="str">
        <f t="array" ref="M1655">IF($A1655="","",IF($L1655="Atendido",IFERROR($I1655*INDEX(Config!$B:$B,MATCH($C1655,Config!$A:$A,0)),0),0))</f>
        <v/>
      </c>
      <c r="N1655" s="36" t="str">
        <f t="shared" si="2"/>
        <v/>
      </c>
      <c r="O1655" s="36" t="str">
        <f t="shared" si="3"/>
        <v/>
      </c>
      <c r="P1655" s="15"/>
      <c r="Q1655" s="37" t="str">
        <f t="shared" si="4"/>
        <v/>
      </c>
      <c r="R1655" s="37" t="str">
        <f t="shared" si="5"/>
        <v/>
      </c>
      <c r="S1655" s="32" t="str">
        <f t="shared" si="6"/>
        <v/>
      </c>
      <c r="T1655" s="37" t="str">
        <f t="shared" si="7"/>
        <v/>
      </c>
      <c r="U1655" s="37" t="str">
        <f t="array" ref="U1655">IF($F1655="","",IFERROR(INDEX(Config!$F:$F,MATCH($F1655,Config!$D:$D,0)),0))</f>
        <v/>
      </c>
    </row>
    <row r="1656" ht="15.0" customHeight="1">
      <c r="A1656" s="34"/>
      <c r="B1656" s="35"/>
      <c r="C1656" s="15"/>
      <c r="D1656" s="15"/>
      <c r="E1656" s="15"/>
      <c r="F1656" s="15"/>
      <c r="G1656" s="36" t="str">
        <f t="array" ref="G1656">IF($F1656="","",IFERROR(INDEX(Config!$E:$E,MATCH($F1656,Config!$D:$D,0)),0))</f>
        <v/>
      </c>
      <c r="H1656" s="16"/>
      <c r="I1656" s="36" t="str">
        <f t="shared" si="1"/>
        <v/>
      </c>
      <c r="J1656" s="16"/>
      <c r="K1656" s="15"/>
      <c r="L1656" s="15"/>
      <c r="M1656" s="36" t="str">
        <f t="array" ref="M1656">IF($A1656="","",IF($L1656="Atendido",IFERROR($I1656*INDEX(Config!$B:$B,MATCH($C1656,Config!$A:$A,0)),0),0))</f>
        <v/>
      </c>
      <c r="N1656" s="36" t="str">
        <f t="shared" si="2"/>
        <v/>
      </c>
      <c r="O1656" s="36" t="str">
        <f t="shared" si="3"/>
        <v/>
      </c>
      <c r="P1656" s="15"/>
      <c r="Q1656" s="37" t="str">
        <f t="shared" si="4"/>
        <v/>
      </c>
      <c r="R1656" s="37" t="str">
        <f t="shared" si="5"/>
        <v/>
      </c>
      <c r="S1656" s="32" t="str">
        <f t="shared" si="6"/>
        <v/>
      </c>
      <c r="T1656" s="37" t="str">
        <f t="shared" si="7"/>
        <v/>
      </c>
      <c r="U1656" s="37" t="str">
        <f t="array" ref="U1656">IF($F1656="","",IFERROR(INDEX(Config!$F:$F,MATCH($F1656,Config!$D:$D,0)),0))</f>
        <v/>
      </c>
    </row>
    <row r="1657" ht="15.0" customHeight="1">
      <c r="A1657" s="34"/>
      <c r="B1657" s="35"/>
      <c r="C1657" s="15"/>
      <c r="D1657" s="15"/>
      <c r="E1657" s="15"/>
      <c r="F1657" s="15"/>
      <c r="G1657" s="36" t="str">
        <f t="array" ref="G1657">IF($F1657="","",IFERROR(INDEX(Config!$E:$E,MATCH($F1657,Config!$D:$D,0)),0))</f>
        <v/>
      </c>
      <c r="H1657" s="16"/>
      <c r="I1657" s="36" t="str">
        <f t="shared" si="1"/>
        <v/>
      </c>
      <c r="J1657" s="16"/>
      <c r="K1657" s="15"/>
      <c r="L1657" s="15"/>
      <c r="M1657" s="36" t="str">
        <f t="array" ref="M1657">IF($A1657="","",IF($L1657="Atendido",IFERROR($I1657*INDEX(Config!$B:$B,MATCH($C1657,Config!$A:$A,0)),0),0))</f>
        <v/>
      </c>
      <c r="N1657" s="36" t="str">
        <f t="shared" si="2"/>
        <v/>
      </c>
      <c r="O1657" s="36" t="str">
        <f t="shared" si="3"/>
        <v/>
      </c>
      <c r="P1657" s="15"/>
      <c r="Q1657" s="37" t="str">
        <f t="shared" si="4"/>
        <v/>
      </c>
      <c r="R1657" s="37" t="str">
        <f t="shared" si="5"/>
        <v/>
      </c>
      <c r="S1657" s="32" t="str">
        <f t="shared" si="6"/>
        <v/>
      </c>
      <c r="T1657" s="37" t="str">
        <f t="shared" si="7"/>
        <v/>
      </c>
      <c r="U1657" s="37" t="str">
        <f t="array" ref="U1657">IF($F1657="","",IFERROR(INDEX(Config!$F:$F,MATCH($F1657,Config!$D:$D,0)),0))</f>
        <v/>
      </c>
    </row>
    <row r="1658" ht="15.0" customHeight="1">
      <c r="A1658" s="34"/>
      <c r="B1658" s="35"/>
      <c r="C1658" s="15"/>
      <c r="D1658" s="15"/>
      <c r="E1658" s="15"/>
      <c r="F1658" s="15"/>
      <c r="G1658" s="36" t="str">
        <f t="array" ref="G1658">IF($F1658="","",IFERROR(INDEX(Config!$E:$E,MATCH($F1658,Config!$D:$D,0)),0))</f>
        <v/>
      </c>
      <c r="H1658" s="16"/>
      <c r="I1658" s="36" t="str">
        <f t="shared" si="1"/>
        <v/>
      </c>
      <c r="J1658" s="16"/>
      <c r="K1658" s="15"/>
      <c r="L1658" s="15"/>
      <c r="M1658" s="36" t="str">
        <f t="array" ref="M1658">IF($A1658="","",IF($L1658="Atendido",IFERROR($I1658*INDEX(Config!$B:$B,MATCH($C1658,Config!$A:$A,0)),0),0))</f>
        <v/>
      </c>
      <c r="N1658" s="36" t="str">
        <f t="shared" si="2"/>
        <v/>
      </c>
      <c r="O1658" s="36" t="str">
        <f t="shared" si="3"/>
        <v/>
      </c>
      <c r="P1658" s="15"/>
      <c r="Q1658" s="37" t="str">
        <f t="shared" si="4"/>
        <v/>
      </c>
      <c r="R1658" s="37" t="str">
        <f t="shared" si="5"/>
        <v/>
      </c>
      <c r="S1658" s="32" t="str">
        <f t="shared" si="6"/>
        <v/>
      </c>
      <c r="T1658" s="37" t="str">
        <f t="shared" si="7"/>
        <v/>
      </c>
      <c r="U1658" s="37" t="str">
        <f t="array" ref="U1658">IF($F1658="","",IFERROR(INDEX(Config!$F:$F,MATCH($F1658,Config!$D:$D,0)),0))</f>
        <v/>
      </c>
    </row>
    <row r="1659" ht="15.0" customHeight="1">
      <c r="A1659" s="34"/>
      <c r="B1659" s="35"/>
      <c r="C1659" s="15"/>
      <c r="D1659" s="15"/>
      <c r="E1659" s="15"/>
      <c r="F1659" s="15"/>
      <c r="G1659" s="36" t="str">
        <f t="array" ref="G1659">IF($F1659="","",IFERROR(INDEX(Config!$E:$E,MATCH($F1659,Config!$D:$D,0)),0))</f>
        <v/>
      </c>
      <c r="H1659" s="16"/>
      <c r="I1659" s="36" t="str">
        <f t="shared" si="1"/>
        <v/>
      </c>
      <c r="J1659" s="16"/>
      <c r="K1659" s="15"/>
      <c r="L1659" s="15"/>
      <c r="M1659" s="36" t="str">
        <f t="array" ref="M1659">IF($A1659="","",IF($L1659="Atendido",IFERROR($I1659*INDEX(Config!$B:$B,MATCH($C1659,Config!$A:$A,0)),0),0))</f>
        <v/>
      </c>
      <c r="N1659" s="36" t="str">
        <f t="shared" si="2"/>
        <v/>
      </c>
      <c r="O1659" s="36" t="str">
        <f t="shared" si="3"/>
        <v/>
      </c>
      <c r="P1659" s="15"/>
      <c r="Q1659" s="37" t="str">
        <f t="shared" si="4"/>
        <v/>
      </c>
      <c r="R1659" s="37" t="str">
        <f t="shared" si="5"/>
        <v/>
      </c>
      <c r="S1659" s="32" t="str">
        <f t="shared" si="6"/>
        <v/>
      </c>
      <c r="T1659" s="37" t="str">
        <f t="shared" si="7"/>
        <v/>
      </c>
      <c r="U1659" s="37" t="str">
        <f t="array" ref="U1659">IF($F1659="","",IFERROR(INDEX(Config!$F:$F,MATCH($F1659,Config!$D:$D,0)),0))</f>
        <v/>
      </c>
    </row>
    <row r="1660" ht="15.0" customHeight="1">
      <c r="A1660" s="34"/>
      <c r="B1660" s="35"/>
      <c r="C1660" s="15"/>
      <c r="D1660" s="15"/>
      <c r="E1660" s="15"/>
      <c r="F1660" s="15"/>
      <c r="G1660" s="36" t="str">
        <f t="array" ref="G1660">IF($F1660="","",IFERROR(INDEX(Config!$E:$E,MATCH($F1660,Config!$D:$D,0)),0))</f>
        <v/>
      </c>
      <c r="H1660" s="16"/>
      <c r="I1660" s="36" t="str">
        <f t="shared" si="1"/>
        <v/>
      </c>
      <c r="J1660" s="16"/>
      <c r="K1660" s="15"/>
      <c r="L1660" s="15"/>
      <c r="M1660" s="36" t="str">
        <f t="array" ref="M1660">IF($A1660="","",IF($L1660="Atendido",IFERROR($I1660*INDEX(Config!$B:$B,MATCH($C1660,Config!$A:$A,0)),0),0))</f>
        <v/>
      </c>
      <c r="N1660" s="36" t="str">
        <f t="shared" si="2"/>
        <v/>
      </c>
      <c r="O1660" s="36" t="str">
        <f t="shared" si="3"/>
        <v/>
      </c>
      <c r="P1660" s="15"/>
      <c r="Q1660" s="37" t="str">
        <f t="shared" si="4"/>
        <v/>
      </c>
      <c r="R1660" s="37" t="str">
        <f t="shared" si="5"/>
        <v/>
      </c>
      <c r="S1660" s="32" t="str">
        <f t="shared" si="6"/>
        <v/>
      </c>
      <c r="T1660" s="37" t="str">
        <f t="shared" si="7"/>
        <v/>
      </c>
      <c r="U1660" s="37" t="str">
        <f t="array" ref="U1660">IF($F1660="","",IFERROR(INDEX(Config!$F:$F,MATCH($F1660,Config!$D:$D,0)),0))</f>
        <v/>
      </c>
    </row>
    <row r="1661" ht="15.0" customHeight="1">
      <c r="A1661" s="34"/>
      <c r="B1661" s="35"/>
      <c r="C1661" s="15"/>
      <c r="D1661" s="15"/>
      <c r="E1661" s="15"/>
      <c r="F1661" s="15"/>
      <c r="G1661" s="36" t="str">
        <f t="array" ref="G1661">IF($F1661="","",IFERROR(INDEX(Config!$E:$E,MATCH($F1661,Config!$D:$D,0)),0))</f>
        <v/>
      </c>
      <c r="H1661" s="16"/>
      <c r="I1661" s="36" t="str">
        <f t="shared" si="1"/>
        <v/>
      </c>
      <c r="J1661" s="16"/>
      <c r="K1661" s="15"/>
      <c r="L1661" s="15"/>
      <c r="M1661" s="36" t="str">
        <f t="array" ref="M1661">IF($A1661="","",IF($L1661="Atendido",IFERROR($I1661*INDEX(Config!$B:$B,MATCH($C1661,Config!$A:$A,0)),0),0))</f>
        <v/>
      </c>
      <c r="N1661" s="36" t="str">
        <f t="shared" si="2"/>
        <v/>
      </c>
      <c r="O1661" s="36" t="str">
        <f t="shared" si="3"/>
        <v/>
      </c>
      <c r="P1661" s="15"/>
      <c r="Q1661" s="37" t="str">
        <f t="shared" si="4"/>
        <v/>
      </c>
      <c r="R1661" s="37" t="str">
        <f t="shared" si="5"/>
        <v/>
      </c>
      <c r="S1661" s="32" t="str">
        <f t="shared" si="6"/>
        <v/>
      </c>
      <c r="T1661" s="37" t="str">
        <f t="shared" si="7"/>
        <v/>
      </c>
      <c r="U1661" s="37" t="str">
        <f t="array" ref="U1661">IF($F1661="","",IFERROR(INDEX(Config!$F:$F,MATCH($F1661,Config!$D:$D,0)),0))</f>
        <v/>
      </c>
    </row>
    <row r="1662" ht="15.0" customHeight="1">
      <c r="A1662" s="34"/>
      <c r="B1662" s="35"/>
      <c r="C1662" s="15"/>
      <c r="D1662" s="15"/>
      <c r="E1662" s="15"/>
      <c r="F1662" s="15"/>
      <c r="G1662" s="36" t="str">
        <f t="array" ref="G1662">IF($F1662="","",IFERROR(INDEX(Config!$E:$E,MATCH($F1662,Config!$D:$D,0)),0))</f>
        <v/>
      </c>
      <c r="H1662" s="16"/>
      <c r="I1662" s="36" t="str">
        <f t="shared" si="1"/>
        <v/>
      </c>
      <c r="J1662" s="16"/>
      <c r="K1662" s="15"/>
      <c r="L1662" s="15"/>
      <c r="M1662" s="36" t="str">
        <f t="array" ref="M1662">IF($A1662="","",IF($L1662="Atendido",IFERROR($I1662*INDEX(Config!$B:$B,MATCH($C1662,Config!$A:$A,0)),0),0))</f>
        <v/>
      </c>
      <c r="N1662" s="36" t="str">
        <f t="shared" si="2"/>
        <v/>
      </c>
      <c r="O1662" s="36" t="str">
        <f t="shared" si="3"/>
        <v/>
      </c>
      <c r="P1662" s="15"/>
      <c r="Q1662" s="37" t="str">
        <f t="shared" si="4"/>
        <v/>
      </c>
      <c r="R1662" s="37" t="str">
        <f t="shared" si="5"/>
        <v/>
      </c>
      <c r="S1662" s="32" t="str">
        <f t="shared" si="6"/>
        <v/>
      </c>
      <c r="T1662" s="37" t="str">
        <f t="shared" si="7"/>
        <v/>
      </c>
      <c r="U1662" s="37" t="str">
        <f t="array" ref="U1662">IF($F1662="","",IFERROR(INDEX(Config!$F:$F,MATCH($F1662,Config!$D:$D,0)),0))</f>
        <v/>
      </c>
    </row>
    <row r="1663" ht="15.0" customHeight="1">
      <c r="A1663" s="34"/>
      <c r="B1663" s="35"/>
      <c r="C1663" s="15"/>
      <c r="D1663" s="15"/>
      <c r="E1663" s="15"/>
      <c r="F1663" s="15"/>
      <c r="G1663" s="36" t="str">
        <f t="array" ref="G1663">IF($F1663="","",IFERROR(INDEX(Config!$E:$E,MATCH($F1663,Config!$D:$D,0)),0))</f>
        <v/>
      </c>
      <c r="H1663" s="16"/>
      <c r="I1663" s="36" t="str">
        <f t="shared" si="1"/>
        <v/>
      </c>
      <c r="J1663" s="16"/>
      <c r="K1663" s="15"/>
      <c r="L1663" s="15"/>
      <c r="M1663" s="36" t="str">
        <f t="array" ref="M1663">IF($A1663="","",IF($L1663="Atendido",IFERROR($I1663*INDEX(Config!$B:$B,MATCH($C1663,Config!$A:$A,0)),0),0))</f>
        <v/>
      </c>
      <c r="N1663" s="36" t="str">
        <f t="shared" si="2"/>
        <v/>
      </c>
      <c r="O1663" s="36" t="str">
        <f t="shared" si="3"/>
        <v/>
      </c>
      <c r="P1663" s="15"/>
      <c r="Q1663" s="37" t="str">
        <f t="shared" si="4"/>
        <v/>
      </c>
      <c r="R1663" s="37" t="str">
        <f t="shared" si="5"/>
        <v/>
      </c>
      <c r="S1663" s="32" t="str">
        <f t="shared" si="6"/>
        <v/>
      </c>
      <c r="T1663" s="37" t="str">
        <f t="shared" si="7"/>
        <v/>
      </c>
      <c r="U1663" s="37" t="str">
        <f t="array" ref="U1663">IF($F1663="","",IFERROR(INDEX(Config!$F:$F,MATCH($F1663,Config!$D:$D,0)),0))</f>
        <v/>
      </c>
    </row>
    <row r="1664" ht="15.0" customHeight="1">
      <c r="A1664" s="34"/>
      <c r="B1664" s="35"/>
      <c r="C1664" s="15"/>
      <c r="D1664" s="15"/>
      <c r="E1664" s="15"/>
      <c r="F1664" s="15"/>
      <c r="G1664" s="36" t="str">
        <f t="array" ref="G1664">IF($F1664="","",IFERROR(INDEX(Config!$E:$E,MATCH($F1664,Config!$D:$D,0)),0))</f>
        <v/>
      </c>
      <c r="H1664" s="16"/>
      <c r="I1664" s="36" t="str">
        <f t="shared" si="1"/>
        <v/>
      </c>
      <c r="J1664" s="16"/>
      <c r="K1664" s="15"/>
      <c r="L1664" s="15"/>
      <c r="M1664" s="36" t="str">
        <f t="array" ref="M1664">IF($A1664="","",IF($L1664="Atendido",IFERROR($I1664*INDEX(Config!$B:$B,MATCH($C1664,Config!$A:$A,0)),0),0))</f>
        <v/>
      </c>
      <c r="N1664" s="36" t="str">
        <f t="shared" si="2"/>
        <v/>
      </c>
      <c r="O1664" s="36" t="str">
        <f t="shared" si="3"/>
        <v/>
      </c>
      <c r="P1664" s="15"/>
      <c r="Q1664" s="37" t="str">
        <f t="shared" si="4"/>
        <v/>
      </c>
      <c r="R1664" s="37" t="str">
        <f t="shared" si="5"/>
        <v/>
      </c>
      <c r="S1664" s="32" t="str">
        <f t="shared" si="6"/>
        <v/>
      </c>
      <c r="T1664" s="37" t="str">
        <f t="shared" si="7"/>
        <v/>
      </c>
      <c r="U1664" s="37" t="str">
        <f t="array" ref="U1664">IF($F1664="","",IFERROR(INDEX(Config!$F:$F,MATCH($F1664,Config!$D:$D,0)),0))</f>
        <v/>
      </c>
    </row>
    <row r="1665" ht="15.0" customHeight="1">
      <c r="A1665" s="34"/>
      <c r="B1665" s="35"/>
      <c r="C1665" s="15"/>
      <c r="D1665" s="15"/>
      <c r="E1665" s="15"/>
      <c r="F1665" s="15"/>
      <c r="G1665" s="36" t="str">
        <f t="array" ref="G1665">IF($F1665="","",IFERROR(INDEX(Config!$E:$E,MATCH($F1665,Config!$D:$D,0)),0))</f>
        <v/>
      </c>
      <c r="H1665" s="16"/>
      <c r="I1665" s="36" t="str">
        <f t="shared" si="1"/>
        <v/>
      </c>
      <c r="J1665" s="16"/>
      <c r="K1665" s="15"/>
      <c r="L1665" s="15"/>
      <c r="M1665" s="36" t="str">
        <f t="array" ref="M1665">IF($A1665="","",IF($L1665="Atendido",IFERROR($I1665*INDEX(Config!$B:$B,MATCH($C1665,Config!$A:$A,0)),0),0))</f>
        <v/>
      </c>
      <c r="N1665" s="36" t="str">
        <f t="shared" si="2"/>
        <v/>
      </c>
      <c r="O1665" s="36" t="str">
        <f t="shared" si="3"/>
        <v/>
      </c>
      <c r="P1665" s="15"/>
      <c r="Q1665" s="37" t="str">
        <f t="shared" si="4"/>
        <v/>
      </c>
      <c r="R1665" s="37" t="str">
        <f t="shared" si="5"/>
        <v/>
      </c>
      <c r="S1665" s="32" t="str">
        <f t="shared" si="6"/>
        <v/>
      </c>
      <c r="T1665" s="37" t="str">
        <f t="shared" si="7"/>
        <v/>
      </c>
      <c r="U1665" s="37" t="str">
        <f t="array" ref="U1665">IF($F1665="","",IFERROR(INDEX(Config!$F:$F,MATCH($F1665,Config!$D:$D,0)),0))</f>
        <v/>
      </c>
    </row>
    <row r="1666" ht="15.0" customHeight="1">
      <c r="A1666" s="34"/>
      <c r="B1666" s="35"/>
      <c r="C1666" s="15"/>
      <c r="D1666" s="15"/>
      <c r="E1666" s="15"/>
      <c r="F1666" s="15"/>
      <c r="G1666" s="36" t="str">
        <f t="array" ref="G1666">IF($F1666="","",IFERROR(INDEX(Config!$E:$E,MATCH($F1666,Config!$D:$D,0)),0))</f>
        <v/>
      </c>
      <c r="H1666" s="16"/>
      <c r="I1666" s="36" t="str">
        <f t="shared" si="1"/>
        <v/>
      </c>
      <c r="J1666" s="16"/>
      <c r="K1666" s="15"/>
      <c r="L1666" s="15"/>
      <c r="M1666" s="36" t="str">
        <f t="array" ref="M1666">IF($A1666="","",IF($L1666="Atendido",IFERROR($I1666*INDEX(Config!$B:$B,MATCH($C1666,Config!$A:$A,0)),0),0))</f>
        <v/>
      </c>
      <c r="N1666" s="36" t="str">
        <f t="shared" si="2"/>
        <v/>
      </c>
      <c r="O1666" s="36" t="str">
        <f t="shared" si="3"/>
        <v/>
      </c>
      <c r="P1666" s="15"/>
      <c r="Q1666" s="37" t="str">
        <f t="shared" si="4"/>
        <v/>
      </c>
      <c r="R1666" s="37" t="str">
        <f t="shared" si="5"/>
        <v/>
      </c>
      <c r="S1666" s="32" t="str">
        <f t="shared" si="6"/>
        <v/>
      </c>
      <c r="T1666" s="37" t="str">
        <f t="shared" si="7"/>
        <v/>
      </c>
      <c r="U1666" s="37" t="str">
        <f t="array" ref="U1666">IF($F1666="","",IFERROR(INDEX(Config!$F:$F,MATCH($F1666,Config!$D:$D,0)),0))</f>
        <v/>
      </c>
    </row>
    <row r="1667" ht="15.0" customHeight="1">
      <c r="A1667" s="34"/>
      <c r="B1667" s="35"/>
      <c r="C1667" s="15"/>
      <c r="D1667" s="15"/>
      <c r="E1667" s="15"/>
      <c r="F1667" s="15"/>
      <c r="G1667" s="36" t="str">
        <f t="array" ref="G1667">IF($F1667="","",IFERROR(INDEX(Config!$E:$E,MATCH($F1667,Config!$D:$D,0)),0))</f>
        <v/>
      </c>
      <c r="H1667" s="16"/>
      <c r="I1667" s="36" t="str">
        <f t="shared" si="1"/>
        <v/>
      </c>
      <c r="J1667" s="16"/>
      <c r="K1667" s="15"/>
      <c r="L1667" s="15"/>
      <c r="M1667" s="36" t="str">
        <f t="array" ref="M1667">IF($A1667="","",IF($L1667="Atendido",IFERROR($I1667*INDEX(Config!$B:$B,MATCH($C1667,Config!$A:$A,0)),0),0))</f>
        <v/>
      </c>
      <c r="N1667" s="36" t="str">
        <f t="shared" si="2"/>
        <v/>
      </c>
      <c r="O1667" s="36" t="str">
        <f t="shared" si="3"/>
        <v/>
      </c>
      <c r="P1667" s="15"/>
      <c r="Q1667" s="37" t="str">
        <f t="shared" si="4"/>
        <v/>
      </c>
      <c r="R1667" s="37" t="str">
        <f t="shared" si="5"/>
        <v/>
      </c>
      <c r="S1667" s="32" t="str">
        <f t="shared" si="6"/>
        <v/>
      </c>
      <c r="T1667" s="37" t="str">
        <f t="shared" si="7"/>
        <v/>
      </c>
      <c r="U1667" s="37" t="str">
        <f t="array" ref="U1667">IF($F1667="","",IFERROR(INDEX(Config!$F:$F,MATCH($F1667,Config!$D:$D,0)),0))</f>
        <v/>
      </c>
    </row>
    <row r="1668" ht="15.0" customHeight="1">
      <c r="A1668" s="34"/>
      <c r="B1668" s="35"/>
      <c r="C1668" s="15"/>
      <c r="D1668" s="15"/>
      <c r="E1668" s="15"/>
      <c r="F1668" s="15"/>
      <c r="G1668" s="36" t="str">
        <f t="array" ref="G1668">IF($F1668="","",IFERROR(INDEX(Config!$E:$E,MATCH($F1668,Config!$D:$D,0)),0))</f>
        <v/>
      </c>
      <c r="H1668" s="16"/>
      <c r="I1668" s="36" t="str">
        <f t="shared" si="1"/>
        <v/>
      </c>
      <c r="J1668" s="16"/>
      <c r="K1668" s="15"/>
      <c r="L1668" s="15"/>
      <c r="M1668" s="36" t="str">
        <f t="array" ref="M1668">IF($A1668="","",IF($L1668="Atendido",IFERROR($I1668*INDEX(Config!$B:$B,MATCH($C1668,Config!$A:$A,0)),0),0))</f>
        <v/>
      </c>
      <c r="N1668" s="36" t="str">
        <f t="shared" si="2"/>
        <v/>
      </c>
      <c r="O1668" s="36" t="str">
        <f t="shared" si="3"/>
        <v/>
      </c>
      <c r="P1668" s="15"/>
      <c r="Q1668" s="37" t="str">
        <f t="shared" si="4"/>
        <v/>
      </c>
      <c r="R1668" s="37" t="str">
        <f t="shared" si="5"/>
        <v/>
      </c>
      <c r="S1668" s="32" t="str">
        <f t="shared" si="6"/>
        <v/>
      </c>
      <c r="T1668" s="37" t="str">
        <f t="shared" si="7"/>
        <v/>
      </c>
      <c r="U1668" s="37" t="str">
        <f t="array" ref="U1668">IF($F1668="","",IFERROR(INDEX(Config!$F:$F,MATCH($F1668,Config!$D:$D,0)),0))</f>
        <v/>
      </c>
    </row>
    <row r="1669" ht="15.0" customHeight="1">
      <c r="A1669" s="34"/>
      <c r="B1669" s="35"/>
      <c r="C1669" s="15"/>
      <c r="D1669" s="15"/>
      <c r="E1669" s="15"/>
      <c r="F1669" s="15"/>
      <c r="G1669" s="36" t="str">
        <f t="array" ref="G1669">IF($F1669="","",IFERROR(INDEX(Config!$E:$E,MATCH($F1669,Config!$D:$D,0)),0))</f>
        <v/>
      </c>
      <c r="H1669" s="16"/>
      <c r="I1669" s="36" t="str">
        <f t="shared" si="1"/>
        <v/>
      </c>
      <c r="J1669" s="16"/>
      <c r="K1669" s="15"/>
      <c r="L1669" s="15"/>
      <c r="M1669" s="36" t="str">
        <f t="array" ref="M1669">IF($A1669="","",IF($L1669="Atendido",IFERROR($I1669*INDEX(Config!$B:$B,MATCH($C1669,Config!$A:$A,0)),0),0))</f>
        <v/>
      </c>
      <c r="N1669" s="36" t="str">
        <f t="shared" si="2"/>
        <v/>
      </c>
      <c r="O1669" s="36" t="str">
        <f t="shared" si="3"/>
        <v/>
      </c>
      <c r="P1669" s="15"/>
      <c r="Q1669" s="37" t="str">
        <f t="shared" si="4"/>
        <v/>
      </c>
      <c r="R1669" s="37" t="str">
        <f t="shared" si="5"/>
        <v/>
      </c>
      <c r="S1669" s="32" t="str">
        <f t="shared" si="6"/>
        <v/>
      </c>
      <c r="T1669" s="37" t="str">
        <f t="shared" si="7"/>
        <v/>
      </c>
      <c r="U1669" s="37" t="str">
        <f t="array" ref="U1669">IF($F1669="","",IFERROR(INDEX(Config!$F:$F,MATCH($F1669,Config!$D:$D,0)),0))</f>
        <v/>
      </c>
    </row>
    <row r="1670" ht="15.0" customHeight="1">
      <c r="A1670" s="34"/>
      <c r="B1670" s="35"/>
      <c r="C1670" s="15"/>
      <c r="D1670" s="15"/>
      <c r="E1670" s="15"/>
      <c r="F1670" s="15"/>
      <c r="G1670" s="36" t="str">
        <f t="array" ref="G1670">IF($F1670="","",IFERROR(INDEX(Config!$E:$E,MATCH($F1670,Config!$D:$D,0)),0))</f>
        <v/>
      </c>
      <c r="H1670" s="16"/>
      <c r="I1670" s="36" t="str">
        <f t="shared" si="1"/>
        <v/>
      </c>
      <c r="J1670" s="16"/>
      <c r="K1670" s="15"/>
      <c r="L1670" s="15"/>
      <c r="M1670" s="36" t="str">
        <f t="array" ref="M1670">IF($A1670="","",IF($L1670="Atendido",IFERROR($I1670*INDEX(Config!$B:$B,MATCH($C1670,Config!$A:$A,0)),0),0))</f>
        <v/>
      </c>
      <c r="N1670" s="36" t="str">
        <f t="shared" si="2"/>
        <v/>
      </c>
      <c r="O1670" s="36" t="str">
        <f t="shared" si="3"/>
        <v/>
      </c>
      <c r="P1670" s="15"/>
      <c r="Q1670" s="37" t="str">
        <f t="shared" si="4"/>
        <v/>
      </c>
      <c r="R1670" s="37" t="str">
        <f t="shared" si="5"/>
        <v/>
      </c>
      <c r="S1670" s="32" t="str">
        <f t="shared" si="6"/>
        <v/>
      </c>
      <c r="T1670" s="37" t="str">
        <f t="shared" si="7"/>
        <v/>
      </c>
      <c r="U1670" s="37" t="str">
        <f t="array" ref="U1670">IF($F1670="","",IFERROR(INDEX(Config!$F:$F,MATCH($F1670,Config!$D:$D,0)),0))</f>
        <v/>
      </c>
    </row>
    <row r="1671" ht="15.0" customHeight="1">
      <c r="A1671" s="34"/>
      <c r="B1671" s="35"/>
      <c r="C1671" s="15"/>
      <c r="D1671" s="15"/>
      <c r="E1671" s="15"/>
      <c r="F1671" s="15"/>
      <c r="G1671" s="36" t="str">
        <f t="array" ref="G1671">IF($F1671="","",IFERROR(INDEX(Config!$E:$E,MATCH($F1671,Config!$D:$D,0)),0))</f>
        <v/>
      </c>
      <c r="H1671" s="16"/>
      <c r="I1671" s="36" t="str">
        <f t="shared" si="1"/>
        <v/>
      </c>
      <c r="J1671" s="16"/>
      <c r="K1671" s="15"/>
      <c r="L1671" s="15"/>
      <c r="M1671" s="36" t="str">
        <f t="array" ref="M1671">IF($A1671="","",IF($L1671="Atendido",IFERROR($I1671*INDEX(Config!$B:$B,MATCH($C1671,Config!$A:$A,0)),0),0))</f>
        <v/>
      </c>
      <c r="N1671" s="36" t="str">
        <f t="shared" si="2"/>
        <v/>
      </c>
      <c r="O1671" s="36" t="str">
        <f t="shared" si="3"/>
        <v/>
      </c>
      <c r="P1671" s="15"/>
      <c r="Q1671" s="37" t="str">
        <f t="shared" si="4"/>
        <v/>
      </c>
      <c r="R1671" s="37" t="str">
        <f t="shared" si="5"/>
        <v/>
      </c>
      <c r="S1671" s="32" t="str">
        <f t="shared" si="6"/>
        <v/>
      </c>
      <c r="T1671" s="37" t="str">
        <f t="shared" si="7"/>
        <v/>
      </c>
      <c r="U1671" s="37" t="str">
        <f t="array" ref="U1671">IF($F1671="","",IFERROR(INDEX(Config!$F:$F,MATCH($F1671,Config!$D:$D,0)),0))</f>
        <v/>
      </c>
    </row>
    <row r="1672" ht="15.0" customHeight="1">
      <c r="A1672" s="34"/>
      <c r="B1672" s="35"/>
      <c r="C1672" s="15"/>
      <c r="D1672" s="15"/>
      <c r="E1672" s="15"/>
      <c r="F1672" s="15"/>
      <c r="G1672" s="36" t="str">
        <f t="array" ref="G1672">IF($F1672="","",IFERROR(INDEX(Config!$E:$E,MATCH($F1672,Config!$D:$D,0)),0))</f>
        <v/>
      </c>
      <c r="H1672" s="16"/>
      <c r="I1672" s="36" t="str">
        <f t="shared" si="1"/>
        <v/>
      </c>
      <c r="J1672" s="16"/>
      <c r="K1672" s="15"/>
      <c r="L1672" s="15"/>
      <c r="M1672" s="36" t="str">
        <f t="array" ref="M1672">IF($A1672="","",IF($L1672="Atendido",IFERROR($I1672*INDEX(Config!$B:$B,MATCH($C1672,Config!$A:$A,0)),0),0))</f>
        <v/>
      </c>
      <c r="N1672" s="36" t="str">
        <f t="shared" si="2"/>
        <v/>
      </c>
      <c r="O1672" s="36" t="str">
        <f t="shared" si="3"/>
        <v/>
      </c>
      <c r="P1672" s="15"/>
      <c r="Q1672" s="37" t="str">
        <f t="shared" si="4"/>
        <v/>
      </c>
      <c r="R1672" s="37" t="str">
        <f t="shared" si="5"/>
        <v/>
      </c>
      <c r="S1672" s="32" t="str">
        <f t="shared" si="6"/>
        <v/>
      </c>
      <c r="T1672" s="37" t="str">
        <f t="shared" si="7"/>
        <v/>
      </c>
      <c r="U1672" s="37" t="str">
        <f t="array" ref="U1672">IF($F1672="","",IFERROR(INDEX(Config!$F:$F,MATCH($F1672,Config!$D:$D,0)),0))</f>
        <v/>
      </c>
    </row>
    <row r="1673" ht="15.0" customHeight="1">
      <c r="A1673" s="34"/>
      <c r="B1673" s="35"/>
      <c r="C1673" s="15"/>
      <c r="D1673" s="15"/>
      <c r="E1673" s="15"/>
      <c r="F1673" s="15"/>
      <c r="G1673" s="36" t="str">
        <f t="array" ref="G1673">IF($F1673="","",IFERROR(INDEX(Config!$E:$E,MATCH($F1673,Config!$D:$D,0)),0))</f>
        <v/>
      </c>
      <c r="H1673" s="16"/>
      <c r="I1673" s="36" t="str">
        <f t="shared" si="1"/>
        <v/>
      </c>
      <c r="J1673" s="16"/>
      <c r="K1673" s="15"/>
      <c r="L1673" s="15"/>
      <c r="M1673" s="36" t="str">
        <f t="array" ref="M1673">IF($A1673="","",IF($L1673="Atendido",IFERROR($I1673*INDEX(Config!$B:$B,MATCH($C1673,Config!$A:$A,0)),0),0))</f>
        <v/>
      </c>
      <c r="N1673" s="36" t="str">
        <f t="shared" si="2"/>
        <v/>
      </c>
      <c r="O1673" s="36" t="str">
        <f t="shared" si="3"/>
        <v/>
      </c>
      <c r="P1673" s="15"/>
      <c r="Q1673" s="37" t="str">
        <f t="shared" si="4"/>
        <v/>
      </c>
      <c r="R1673" s="37" t="str">
        <f t="shared" si="5"/>
        <v/>
      </c>
      <c r="S1673" s="32" t="str">
        <f t="shared" si="6"/>
        <v/>
      </c>
      <c r="T1673" s="37" t="str">
        <f t="shared" si="7"/>
        <v/>
      </c>
      <c r="U1673" s="37" t="str">
        <f t="array" ref="U1673">IF($F1673="","",IFERROR(INDEX(Config!$F:$F,MATCH($F1673,Config!$D:$D,0)),0))</f>
        <v/>
      </c>
    </row>
    <row r="1674" ht="15.0" customHeight="1">
      <c r="A1674" s="34"/>
      <c r="B1674" s="35"/>
      <c r="C1674" s="15"/>
      <c r="D1674" s="15"/>
      <c r="E1674" s="15"/>
      <c r="F1674" s="15"/>
      <c r="G1674" s="36" t="str">
        <f t="array" ref="G1674">IF($F1674="","",IFERROR(INDEX(Config!$E:$E,MATCH($F1674,Config!$D:$D,0)),0))</f>
        <v/>
      </c>
      <c r="H1674" s="16"/>
      <c r="I1674" s="36" t="str">
        <f t="shared" si="1"/>
        <v/>
      </c>
      <c r="J1674" s="16"/>
      <c r="K1674" s="15"/>
      <c r="L1674" s="15"/>
      <c r="M1674" s="36" t="str">
        <f t="array" ref="M1674">IF($A1674="","",IF($L1674="Atendido",IFERROR($I1674*INDEX(Config!$B:$B,MATCH($C1674,Config!$A:$A,0)),0),0))</f>
        <v/>
      </c>
      <c r="N1674" s="36" t="str">
        <f t="shared" si="2"/>
        <v/>
      </c>
      <c r="O1674" s="36" t="str">
        <f t="shared" si="3"/>
        <v/>
      </c>
      <c r="P1674" s="15"/>
      <c r="Q1674" s="37" t="str">
        <f t="shared" si="4"/>
        <v/>
      </c>
      <c r="R1674" s="37" t="str">
        <f t="shared" si="5"/>
        <v/>
      </c>
      <c r="S1674" s="32" t="str">
        <f t="shared" si="6"/>
        <v/>
      </c>
      <c r="T1674" s="37" t="str">
        <f t="shared" si="7"/>
        <v/>
      </c>
      <c r="U1674" s="37" t="str">
        <f t="array" ref="U1674">IF($F1674="","",IFERROR(INDEX(Config!$F:$F,MATCH($F1674,Config!$D:$D,0)),0))</f>
        <v/>
      </c>
    </row>
    <row r="1675" ht="15.0" customHeight="1">
      <c r="A1675" s="34"/>
      <c r="B1675" s="35"/>
      <c r="C1675" s="15"/>
      <c r="D1675" s="15"/>
      <c r="E1675" s="15"/>
      <c r="F1675" s="15"/>
      <c r="G1675" s="36" t="str">
        <f t="array" ref="G1675">IF($F1675="","",IFERROR(INDEX(Config!$E:$E,MATCH($F1675,Config!$D:$D,0)),0))</f>
        <v/>
      </c>
      <c r="H1675" s="16"/>
      <c r="I1675" s="36" t="str">
        <f t="shared" si="1"/>
        <v/>
      </c>
      <c r="J1675" s="16"/>
      <c r="K1675" s="15"/>
      <c r="L1675" s="15"/>
      <c r="M1675" s="36" t="str">
        <f t="array" ref="M1675">IF($A1675="","",IF($L1675="Atendido",IFERROR($I1675*INDEX(Config!$B:$B,MATCH($C1675,Config!$A:$A,0)),0),0))</f>
        <v/>
      </c>
      <c r="N1675" s="36" t="str">
        <f t="shared" si="2"/>
        <v/>
      </c>
      <c r="O1675" s="36" t="str">
        <f t="shared" si="3"/>
        <v/>
      </c>
      <c r="P1675" s="15"/>
      <c r="Q1675" s="37" t="str">
        <f t="shared" si="4"/>
        <v/>
      </c>
      <c r="R1675" s="37" t="str">
        <f t="shared" si="5"/>
        <v/>
      </c>
      <c r="S1675" s="32" t="str">
        <f t="shared" si="6"/>
        <v/>
      </c>
      <c r="T1675" s="37" t="str">
        <f t="shared" si="7"/>
        <v/>
      </c>
      <c r="U1675" s="37" t="str">
        <f t="array" ref="U1675">IF($F1675="","",IFERROR(INDEX(Config!$F:$F,MATCH($F1675,Config!$D:$D,0)),0))</f>
        <v/>
      </c>
    </row>
    <row r="1676" ht="15.0" customHeight="1">
      <c r="A1676" s="34"/>
      <c r="B1676" s="35"/>
      <c r="C1676" s="15"/>
      <c r="D1676" s="15"/>
      <c r="E1676" s="15"/>
      <c r="F1676" s="15"/>
      <c r="G1676" s="36" t="str">
        <f t="array" ref="G1676">IF($F1676="","",IFERROR(INDEX(Config!$E:$E,MATCH($F1676,Config!$D:$D,0)),0))</f>
        <v/>
      </c>
      <c r="H1676" s="16"/>
      <c r="I1676" s="36" t="str">
        <f t="shared" si="1"/>
        <v/>
      </c>
      <c r="J1676" s="16"/>
      <c r="K1676" s="15"/>
      <c r="L1676" s="15"/>
      <c r="M1676" s="36" t="str">
        <f t="array" ref="M1676">IF($A1676="","",IF($L1676="Atendido",IFERROR($I1676*INDEX(Config!$B:$B,MATCH($C1676,Config!$A:$A,0)),0),0))</f>
        <v/>
      </c>
      <c r="N1676" s="36" t="str">
        <f t="shared" si="2"/>
        <v/>
      </c>
      <c r="O1676" s="36" t="str">
        <f t="shared" si="3"/>
        <v/>
      </c>
      <c r="P1676" s="15"/>
      <c r="Q1676" s="37" t="str">
        <f t="shared" si="4"/>
        <v/>
      </c>
      <c r="R1676" s="37" t="str">
        <f t="shared" si="5"/>
        <v/>
      </c>
      <c r="S1676" s="32" t="str">
        <f t="shared" si="6"/>
        <v/>
      </c>
      <c r="T1676" s="37" t="str">
        <f t="shared" si="7"/>
        <v/>
      </c>
      <c r="U1676" s="37" t="str">
        <f t="array" ref="U1676">IF($F1676="","",IFERROR(INDEX(Config!$F:$F,MATCH($F1676,Config!$D:$D,0)),0))</f>
        <v/>
      </c>
    </row>
    <row r="1677" ht="15.0" customHeight="1">
      <c r="A1677" s="34"/>
      <c r="B1677" s="35"/>
      <c r="C1677" s="15"/>
      <c r="D1677" s="15"/>
      <c r="E1677" s="15"/>
      <c r="F1677" s="15"/>
      <c r="G1677" s="36" t="str">
        <f t="array" ref="G1677">IF($F1677="","",IFERROR(INDEX(Config!$E:$E,MATCH($F1677,Config!$D:$D,0)),0))</f>
        <v/>
      </c>
      <c r="H1677" s="16"/>
      <c r="I1677" s="36" t="str">
        <f t="shared" si="1"/>
        <v/>
      </c>
      <c r="J1677" s="16"/>
      <c r="K1677" s="15"/>
      <c r="L1677" s="15"/>
      <c r="M1677" s="36" t="str">
        <f t="array" ref="M1677">IF($A1677="","",IF($L1677="Atendido",IFERROR($I1677*INDEX(Config!$B:$B,MATCH($C1677,Config!$A:$A,0)),0),0))</f>
        <v/>
      </c>
      <c r="N1677" s="36" t="str">
        <f t="shared" si="2"/>
        <v/>
      </c>
      <c r="O1677" s="36" t="str">
        <f t="shared" si="3"/>
        <v/>
      </c>
      <c r="P1677" s="15"/>
      <c r="Q1677" s="37" t="str">
        <f t="shared" si="4"/>
        <v/>
      </c>
      <c r="R1677" s="37" t="str">
        <f t="shared" si="5"/>
        <v/>
      </c>
      <c r="S1677" s="32" t="str">
        <f t="shared" si="6"/>
        <v/>
      </c>
      <c r="T1677" s="37" t="str">
        <f t="shared" si="7"/>
        <v/>
      </c>
      <c r="U1677" s="37" t="str">
        <f t="array" ref="U1677">IF($F1677="","",IFERROR(INDEX(Config!$F:$F,MATCH($F1677,Config!$D:$D,0)),0))</f>
        <v/>
      </c>
    </row>
    <row r="1678" ht="15.0" customHeight="1">
      <c r="A1678" s="34"/>
      <c r="B1678" s="35"/>
      <c r="C1678" s="15"/>
      <c r="D1678" s="15"/>
      <c r="E1678" s="15"/>
      <c r="F1678" s="15"/>
      <c r="G1678" s="36" t="str">
        <f t="array" ref="G1678">IF($F1678="","",IFERROR(INDEX(Config!$E:$E,MATCH($F1678,Config!$D:$D,0)),0))</f>
        <v/>
      </c>
      <c r="H1678" s="16"/>
      <c r="I1678" s="36" t="str">
        <f t="shared" si="1"/>
        <v/>
      </c>
      <c r="J1678" s="16"/>
      <c r="K1678" s="15"/>
      <c r="L1678" s="15"/>
      <c r="M1678" s="36" t="str">
        <f t="array" ref="M1678">IF($A1678="","",IF($L1678="Atendido",IFERROR($I1678*INDEX(Config!$B:$B,MATCH($C1678,Config!$A:$A,0)),0),0))</f>
        <v/>
      </c>
      <c r="N1678" s="36" t="str">
        <f t="shared" si="2"/>
        <v/>
      </c>
      <c r="O1678" s="36" t="str">
        <f t="shared" si="3"/>
        <v/>
      </c>
      <c r="P1678" s="15"/>
      <c r="Q1678" s="37" t="str">
        <f t="shared" si="4"/>
        <v/>
      </c>
      <c r="R1678" s="37" t="str">
        <f t="shared" si="5"/>
        <v/>
      </c>
      <c r="S1678" s="32" t="str">
        <f t="shared" si="6"/>
        <v/>
      </c>
      <c r="T1678" s="37" t="str">
        <f t="shared" si="7"/>
        <v/>
      </c>
      <c r="U1678" s="37" t="str">
        <f t="array" ref="U1678">IF($F1678="","",IFERROR(INDEX(Config!$F:$F,MATCH($F1678,Config!$D:$D,0)),0))</f>
        <v/>
      </c>
    </row>
    <row r="1679" ht="15.0" customHeight="1">
      <c r="A1679" s="34"/>
      <c r="B1679" s="35"/>
      <c r="C1679" s="15"/>
      <c r="D1679" s="15"/>
      <c r="E1679" s="15"/>
      <c r="F1679" s="15"/>
      <c r="G1679" s="36" t="str">
        <f t="array" ref="G1679">IF($F1679="","",IFERROR(INDEX(Config!$E:$E,MATCH($F1679,Config!$D:$D,0)),0))</f>
        <v/>
      </c>
      <c r="H1679" s="16"/>
      <c r="I1679" s="36" t="str">
        <f t="shared" si="1"/>
        <v/>
      </c>
      <c r="J1679" s="16"/>
      <c r="K1679" s="15"/>
      <c r="L1679" s="15"/>
      <c r="M1679" s="36" t="str">
        <f t="array" ref="M1679">IF($A1679="","",IF($L1679="Atendido",IFERROR($I1679*INDEX(Config!$B:$B,MATCH($C1679,Config!$A:$A,0)),0),0))</f>
        <v/>
      </c>
      <c r="N1679" s="36" t="str">
        <f t="shared" si="2"/>
        <v/>
      </c>
      <c r="O1679" s="36" t="str">
        <f t="shared" si="3"/>
        <v/>
      </c>
      <c r="P1679" s="15"/>
      <c r="Q1679" s="37" t="str">
        <f t="shared" si="4"/>
        <v/>
      </c>
      <c r="R1679" s="37" t="str">
        <f t="shared" si="5"/>
        <v/>
      </c>
      <c r="S1679" s="32" t="str">
        <f t="shared" si="6"/>
        <v/>
      </c>
      <c r="T1679" s="37" t="str">
        <f t="shared" si="7"/>
        <v/>
      </c>
      <c r="U1679" s="37" t="str">
        <f t="array" ref="U1679">IF($F1679="","",IFERROR(INDEX(Config!$F:$F,MATCH($F1679,Config!$D:$D,0)),0))</f>
        <v/>
      </c>
    </row>
    <row r="1680" ht="15.0" customHeight="1">
      <c r="A1680" s="34"/>
      <c r="B1680" s="35"/>
      <c r="C1680" s="15"/>
      <c r="D1680" s="15"/>
      <c r="E1680" s="15"/>
      <c r="F1680" s="15"/>
      <c r="G1680" s="36" t="str">
        <f t="array" ref="G1680">IF($F1680="","",IFERROR(INDEX(Config!$E:$E,MATCH($F1680,Config!$D:$D,0)),0))</f>
        <v/>
      </c>
      <c r="H1680" s="16"/>
      <c r="I1680" s="36" t="str">
        <f t="shared" si="1"/>
        <v/>
      </c>
      <c r="J1680" s="16"/>
      <c r="K1680" s="15"/>
      <c r="L1680" s="15"/>
      <c r="M1680" s="36" t="str">
        <f t="array" ref="M1680">IF($A1680="","",IF($L1680="Atendido",IFERROR($I1680*INDEX(Config!$B:$B,MATCH($C1680,Config!$A:$A,0)),0),0))</f>
        <v/>
      </c>
      <c r="N1680" s="36" t="str">
        <f t="shared" si="2"/>
        <v/>
      </c>
      <c r="O1680" s="36" t="str">
        <f t="shared" si="3"/>
        <v/>
      </c>
      <c r="P1680" s="15"/>
      <c r="Q1680" s="37" t="str">
        <f t="shared" si="4"/>
        <v/>
      </c>
      <c r="R1680" s="37" t="str">
        <f t="shared" si="5"/>
        <v/>
      </c>
      <c r="S1680" s="32" t="str">
        <f t="shared" si="6"/>
        <v/>
      </c>
      <c r="T1680" s="37" t="str">
        <f t="shared" si="7"/>
        <v/>
      </c>
      <c r="U1680" s="37" t="str">
        <f t="array" ref="U1680">IF($F1680="","",IFERROR(INDEX(Config!$F:$F,MATCH($F1680,Config!$D:$D,0)),0))</f>
        <v/>
      </c>
    </row>
    <row r="1681" ht="15.0" customHeight="1">
      <c r="A1681" s="34"/>
      <c r="B1681" s="35"/>
      <c r="C1681" s="15"/>
      <c r="D1681" s="15"/>
      <c r="E1681" s="15"/>
      <c r="F1681" s="15"/>
      <c r="G1681" s="36" t="str">
        <f t="array" ref="G1681">IF($F1681="","",IFERROR(INDEX(Config!$E:$E,MATCH($F1681,Config!$D:$D,0)),0))</f>
        <v/>
      </c>
      <c r="H1681" s="16"/>
      <c r="I1681" s="36" t="str">
        <f t="shared" si="1"/>
        <v/>
      </c>
      <c r="J1681" s="16"/>
      <c r="K1681" s="15"/>
      <c r="L1681" s="15"/>
      <c r="M1681" s="36" t="str">
        <f t="array" ref="M1681">IF($A1681="","",IF($L1681="Atendido",IFERROR($I1681*INDEX(Config!$B:$B,MATCH($C1681,Config!$A:$A,0)),0),0))</f>
        <v/>
      </c>
      <c r="N1681" s="36" t="str">
        <f t="shared" si="2"/>
        <v/>
      </c>
      <c r="O1681" s="36" t="str">
        <f t="shared" si="3"/>
        <v/>
      </c>
      <c r="P1681" s="15"/>
      <c r="Q1681" s="37" t="str">
        <f t="shared" si="4"/>
        <v/>
      </c>
      <c r="R1681" s="37" t="str">
        <f t="shared" si="5"/>
        <v/>
      </c>
      <c r="S1681" s="32" t="str">
        <f t="shared" si="6"/>
        <v/>
      </c>
      <c r="T1681" s="37" t="str">
        <f t="shared" si="7"/>
        <v/>
      </c>
      <c r="U1681" s="37" t="str">
        <f t="array" ref="U1681">IF($F1681="","",IFERROR(INDEX(Config!$F:$F,MATCH($F1681,Config!$D:$D,0)),0))</f>
        <v/>
      </c>
    </row>
    <row r="1682" ht="15.0" customHeight="1">
      <c r="A1682" s="34"/>
      <c r="B1682" s="35"/>
      <c r="C1682" s="15"/>
      <c r="D1682" s="15"/>
      <c r="E1682" s="15"/>
      <c r="F1682" s="15"/>
      <c r="G1682" s="36" t="str">
        <f t="array" ref="G1682">IF($F1682="","",IFERROR(INDEX(Config!$E:$E,MATCH($F1682,Config!$D:$D,0)),0))</f>
        <v/>
      </c>
      <c r="H1682" s="16"/>
      <c r="I1682" s="36" t="str">
        <f t="shared" si="1"/>
        <v/>
      </c>
      <c r="J1682" s="16"/>
      <c r="K1682" s="15"/>
      <c r="L1682" s="15"/>
      <c r="M1682" s="36" t="str">
        <f t="array" ref="M1682">IF($A1682="","",IF($L1682="Atendido",IFERROR($I1682*INDEX(Config!$B:$B,MATCH($C1682,Config!$A:$A,0)),0),0))</f>
        <v/>
      </c>
      <c r="N1682" s="36" t="str">
        <f t="shared" si="2"/>
        <v/>
      </c>
      <c r="O1682" s="36" t="str">
        <f t="shared" si="3"/>
        <v/>
      </c>
      <c r="P1682" s="15"/>
      <c r="Q1682" s="37" t="str">
        <f t="shared" si="4"/>
        <v/>
      </c>
      <c r="R1682" s="37" t="str">
        <f t="shared" si="5"/>
        <v/>
      </c>
      <c r="S1682" s="32" t="str">
        <f t="shared" si="6"/>
        <v/>
      </c>
      <c r="T1682" s="37" t="str">
        <f t="shared" si="7"/>
        <v/>
      </c>
      <c r="U1682" s="37" t="str">
        <f t="array" ref="U1682">IF($F1682="","",IFERROR(INDEX(Config!$F:$F,MATCH($F1682,Config!$D:$D,0)),0))</f>
        <v/>
      </c>
    </row>
    <row r="1683" ht="15.0" customHeight="1">
      <c r="A1683" s="34"/>
      <c r="B1683" s="35"/>
      <c r="C1683" s="15"/>
      <c r="D1683" s="15"/>
      <c r="E1683" s="15"/>
      <c r="F1683" s="15"/>
      <c r="G1683" s="36" t="str">
        <f t="array" ref="G1683">IF($F1683="","",IFERROR(INDEX(Config!$E:$E,MATCH($F1683,Config!$D:$D,0)),0))</f>
        <v/>
      </c>
      <c r="H1683" s="16"/>
      <c r="I1683" s="36" t="str">
        <f t="shared" si="1"/>
        <v/>
      </c>
      <c r="J1683" s="16"/>
      <c r="K1683" s="15"/>
      <c r="L1683" s="15"/>
      <c r="M1683" s="36" t="str">
        <f t="array" ref="M1683">IF($A1683="","",IF($L1683="Atendido",IFERROR($I1683*INDEX(Config!$B:$B,MATCH($C1683,Config!$A:$A,0)),0),0))</f>
        <v/>
      </c>
      <c r="N1683" s="36" t="str">
        <f t="shared" si="2"/>
        <v/>
      </c>
      <c r="O1683" s="36" t="str">
        <f t="shared" si="3"/>
        <v/>
      </c>
      <c r="P1683" s="15"/>
      <c r="Q1683" s="37" t="str">
        <f t="shared" si="4"/>
        <v/>
      </c>
      <c r="R1683" s="37" t="str">
        <f t="shared" si="5"/>
        <v/>
      </c>
      <c r="S1683" s="32" t="str">
        <f t="shared" si="6"/>
        <v/>
      </c>
      <c r="T1683" s="37" t="str">
        <f t="shared" si="7"/>
        <v/>
      </c>
      <c r="U1683" s="37" t="str">
        <f t="array" ref="U1683">IF($F1683="","",IFERROR(INDEX(Config!$F:$F,MATCH($F1683,Config!$D:$D,0)),0))</f>
        <v/>
      </c>
    </row>
    <row r="1684" ht="15.0" customHeight="1">
      <c r="A1684" s="34"/>
      <c r="B1684" s="35"/>
      <c r="C1684" s="15"/>
      <c r="D1684" s="15"/>
      <c r="E1684" s="15"/>
      <c r="F1684" s="15"/>
      <c r="G1684" s="36" t="str">
        <f t="array" ref="G1684">IF($F1684="","",IFERROR(INDEX(Config!$E:$E,MATCH($F1684,Config!$D:$D,0)),0))</f>
        <v/>
      </c>
      <c r="H1684" s="16"/>
      <c r="I1684" s="36" t="str">
        <f t="shared" si="1"/>
        <v/>
      </c>
      <c r="J1684" s="16"/>
      <c r="K1684" s="15"/>
      <c r="L1684" s="15"/>
      <c r="M1684" s="36" t="str">
        <f t="array" ref="M1684">IF($A1684="","",IF($L1684="Atendido",IFERROR($I1684*INDEX(Config!$B:$B,MATCH($C1684,Config!$A:$A,0)),0),0))</f>
        <v/>
      </c>
      <c r="N1684" s="36" t="str">
        <f t="shared" si="2"/>
        <v/>
      </c>
      <c r="O1684" s="36" t="str">
        <f t="shared" si="3"/>
        <v/>
      </c>
      <c r="P1684" s="15"/>
      <c r="Q1684" s="37" t="str">
        <f t="shared" si="4"/>
        <v/>
      </c>
      <c r="R1684" s="37" t="str">
        <f t="shared" si="5"/>
        <v/>
      </c>
      <c r="S1684" s="32" t="str">
        <f t="shared" si="6"/>
        <v/>
      </c>
      <c r="T1684" s="37" t="str">
        <f t="shared" si="7"/>
        <v/>
      </c>
      <c r="U1684" s="37" t="str">
        <f t="array" ref="U1684">IF($F1684="","",IFERROR(INDEX(Config!$F:$F,MATCH($F1684,Config!$D:$D,0)),0))</f>
        <v/>
      </c>
    </row>
    <row r="1685" ht="15.0" customHeight="1">
      <c r="A1685" s="34"/>
      <c r="B1685" s="35"/>
      <c r="C1685" s="15"/>
      <c r="D1685" s="15"/>
      <c r="E1685" s="15"/>
      <c r="F1685" s="15"/>
      <c r="G1685" s="36" t="str">
        <f t="array" ref="G1685">IF($F1685="","",IFERROR(INDEX(Config!$E:$E,MATCH($F1685,Config!$D:$D,0)),0))</f>
        <v/>
      </c>
      <c r="H1685" s="16"/>
      <c r="I1685" s="36" t="str">
        <f t="shared" si="1"/>
        <v/>
      </c>
      <c r="J1685" s="16"/>
      <c r="K1685" s="15"/>
      <c r="L1685" s="15"/>
      <c r="M1685" s="36" t="str">
        <f t="array" ref="M1685">IF($A1685="","",IF($L1685="Atendido",IFERROR($I1685*INDEX(Config!$B:$B,MATCH($C1685,Config!$A:$A,0)),0),0))</f>
        <v/>
      </c>
      <c r="N1685" s="36" t="str">
        <f t="shared" si="2"/>
        <v/>
      </c>
      <c r="O1685" s="36" t="str">
        <f t="shared" si="3"/>
        <v/>
      </c>
      <c r="P1685" s="15"/>
      <c r="Q1685" s="37" t="str">
        <f t="shared" si="4"/>
        <v/>
      </c>
      <c r="R1685" s="37" t="str">
        <f t="shared" si="5"/>
        <v/>
      </c>
      <c r="S1685" s="32" t="str">
        <f t="shared" si="6"/>
        <v/>
      </c>
      <c r="T1685" s="37" t="str">
        <f t="shared" si="7"/>
        <v/>
      </c>
      <c r="U1685" s="37" t="str">
        <f t="array" ref="U1685">IF($F1685="","",IFERROR(INDEX(Config!$F:$F,MATCH($F1685,Config!$D:$D,0)),0))</f>
        <v/>
      </c>
    </row>
    <row r="1686" ht="15.0" customHeight="1">
      <c r="A1686" s="34"/>
      <c r="B1686" s="35"/>
      <c r="C1686" s="15"/>
      <c r="D1686" s="15"/>
      <c r="E1686" s="15"/>
      <c r="F1686" s="15"/>
      <c r="G1686" s="36" t="str">
        <f t="array" ref="G1686">IF($F1686="","",IFERROR(INDEX(Config!$E:$E,MATCH($F1686,Config!$D:$D,0)),0))</f>
        <v/>
      </c>
      <c r="H1686" s="16"/>
      <c r="I1686" s="36" t="str">
        <f t="shared" si="1"/>
        <v/>
      </c>
      <c r="J1686" s="16"/>
      <c r="K1686" s="15"/>
      <c r="L1686" s="15"/>
      <c r="M1686" s="36" t="str">
        <f t="array" ref="M1686">IF($A1686="","",IF($L1686="Atendido",IFERROR($I1686*INDEX(Config!$B:$B,MATCH($C1686,Config!$A:$A,0)),0),0))</f>
        <v/>
      </c>
      <c r="N1686" s="36" t="str">
        <f t="shared" si="2"/>
        <v/>
      </c>
      <c r="O1686" s="36" t="str">
        <f t="shared" si="3"/>
        <v/>
      </c>
      <c r="P1686" s="15"/>
      <c r="Q1686" s="37" t="str">
        <f t="shared" si="4"/>
        <v/>
      </c>
      <c r="R1686" s="37" t="str">
        <f t="shared" si="5"/>
        <v/>
      </c>
      <c r="S1686" s="32" t="str">
        <f t="shared" si="6"/>
        <v/>
      </c>
      <c r="T1686" s="37" t="str">
        <f t="shared" si="7"/>
        <v/>
      </c>
      <c r="U1686" s="37" t="str">
        <f t="array" ref="U1686">IF($F1686="","",IFERROR(INDEX(Config!$F:$F,MATCH($F1686,Config!$D:$D,0)),0))</f>
        <v/>
      </c>
    </row>
    <row r="1687" ht="15.0" customHeight="1">
      <c r="A1687" s="34"/>
      <c r="B1687" s="35"/>
      <c r="C1687" s="15"/>
      <c r="D1687" s="15"/>
      <c r="E1687" s="15"/>
      <c r="F1687" s="15"/>
      <c r="G1687" s="36" t="str">
        <f t="array" ref="G1687">IF($F1687="","",IFERROR(INDEX(Config!$E:$E,MATCH($F1687,Config!$D:$D,0)),0))</f>
        <v/>
      </c>
      <c r="H1687" s="16"/>
      <c r="I1687" s="36" t="str">
        <f t="shared" si="1"/>
        <v/>
      </c>
      <c r="J1687" s="16"/>
      <c r="K1687" s="15"/>
      <c r="L1687" s="15"/>
      <c r="M1687" s="36" t="str">
        <f t="array" ref="M1687">IF($A1687="","",IF($L1687="Atendido",IFERROR($I1687*INDEX(Config!$B:$B,MATCH($C1687,Config!$A:$A,0)),0),0))</f>
        <v/>
      </c>
      <c r="N1687" s="36" t="str">
        <f t="shared" si="2"/>
        <v/>
      </c>
      <c r="O1687" s="36" t="str">
        <f t="shared" si="3"/>
        <v/>
      </c>
      <c r="P1687" s="15"/>
      <c r="Q1687" s="37" t="str">
        <f t="shared" si="4"/>
        <v/>
      </c>
      <c r="R1687" s="37" t="str">
        <f t="shared" si="5"/>
        <v/>
      </c>
      <c r="S1687" s="32" t="str">
        <f t="shared" si="6"/>
        <v/>
      </c>
      <c r="T1687" s="37" t="str">
        <f t="shared" si="7"/>
        <v/>
      </c>
      <c r="U1687" s="37" t="str">
        <f t="array" ref="U1687">IF($F1687="","",IFERROR(INDEX(Config!$F:$F,MATCH($F1687,Config!$D:$D,0)),0))</f>
        <v/>
      </c>
    </row>
    <row r="1688" ht="15.0" customHeight="1">
      <c r="A1688" s="34"/>
      <c r="B1688" s="35"/>
      <c r="C1688" s="15"/>
      <c r="D1688" s="15"/>
      <c r="E1688" s="15"/>
      <c r="F1688" s="15"/>
      <c r="G1688" s="36" t="str">
        <f t="array" ref="G1688">IF($F1688="","",IFERROR(INDEX(Config!$E:$E,MATCH($F1688,Config!$D:$D,0)),0))</f>
        <v/>
      </c>
      <c r="H1688" s="16"/>
      <c r="I1688" s="36" t="str">
        <f t="shared" si="1"/>
        <v/>
      </c>
      <c r="J1688" s="16"/>
      <c r="K1688" s="15"/>
      <c r="L1688" s="15"/>
      <c r="M1688" s="36" t="str">
        <f t="array" ref="M1688">IF($A1688="","",IF($L1688="Atendido",IFERROR($I1688*INDEX(Config!$B:$B,MATCH($C1688,Config!$A:$A,0)),0),0))</f>
        <v/>
      </c>
      <c r="N1688" s="36" t="str">
        <f t="shared" si="2"/>
        <v/>
      </c>
      <c r="O1688" s="36" t="str">
        <f t="shared" si="3"/>
        <v/>
      </c>
      <c r="P1688" s="15"/>
      <c r="Q1688" s="37" t="str">
        <f t="shared" si="4"/>
        <v/>
      </c>
      <c r="R1688" s="37" t="str">
        <f t="shared" si="5"/>
        <v/>
      </c>
      <c r="S1688" s="32" t="str">
        <f t="shared" si="6"/>
        <v/>
      </c>
      <c r="T1688" s="37" t="str">
        <f t="shared" si="7"/>
        <v/>
      </c>
      <c r="U1688" s="37" t="str">
        <f t="array" ref="U1688">IF($F1688="","",IFERROR(INDEX(Config!$F:$F,MATCH($F1688,Config!$D:$D,0)),0))</f>
        <v/>
      </c>
    </row>
    <row r="1689" ht="15.0" customHeight="1">
      <c r="A1689" s="34"/>
      <c r="B1689" s="35"/>
      <c r="C1689" s="15"/>
      <c r="D1689" s="15"/>
      <c r="E1689" s="15"/>
      <c r="F1689" s="15"/>
      <c r="G1689" s="36" t="str">
        <f t="array" ref="G1689">IF($F1689="","",IFERROR(INDEX(Config!$E:$E,MATCH($F1689,Config!$D:$D,0)),0))</f>
        <v/>
      </c>
      <c r="H1689" s="16"/>
      <c r="I1689" s="36" t="str">
        <f t="shared" si="1"/>
        <v/>
      </c>
      <c r="J1689" s="16"/>
      <c r="K1689" s="15"/>
      <c r="L1689" s="15"/>
      <c r="M1689" s="36" t="str">
        <f t="array" ref="M1689">IF($A1689="","",IF($L1689="Atendido",IFERROR($I1689*INDEX(Config!$B:$B,MATCH($C1689,Config!$A:$A,0)),0),0))</f>
        <v/>
      </c>
      <c r="N1689" s="36" t="str">
        <f t="shared" si="2"/>
        <v/>
      </c>
      <c r="O1689" s="36" t="str">
        <f t="shared" si="3"/>
        <v/>
      </c>
      <c r="P1689" s="15"/>
      <c r="Q1689" s="37" t="str">
        <f t="shared" si="4"/>
        <v/>
      </c>
      <c r="R1689" s="37" t="str">
        <f t="shared" si="5"/>
        <v/>
      </c>
      <c r="S1689" s="32" t="str">
        <f t="shared" si="6"/>
        <v/>
      </c>
      <c r="T1689" s="37" t="str">
        <f t="shared" si="7"/>
        <v/>
      </c>
      <c r="U1689" s="37" t="str">
        <f t="array" ref="U1689">IF($F1689="","",IFERROR(INDEX(Config!$F:$F,MATCH($F1689,Config!$D:$D,0)),0))</f>
        <v/>
      </c>
    </row>
    <row r="1690" ht="15.0" customHeight="1">
      <c r="A1690" s="34"/>
      <c r="B1690" s="35"/>
      <c r="C1690" s="15"/>
      <c r="D1690" s="15"/>
      <c r="E1690" s="15"/>
      <c r="F1690" s="15"/>
      <c r="G1690" s="36" t="str">
        <f t="array" ref="G1690">IF($F1690="","",IFERROR(INDEX(Config!$E:$E,MATCH($F1690,Config!$D:$D,0)),0))</f>
        <v/>
      </c>
      <c r="H1690" s="16"/>
      <c r="I1690" s="36" t="str">
        <f t="shared" si="1"/>
        <v/>
      </c>
      <c r="J1690" s="16"/>
      <c r="K1690" s="15"/>
      <c r="L1690" s="15"/>
      <c r="M1690" s="36" t="str">
        <f t="array" ref="M1690">IF($A1690="","",IF($L1690="Atendido",IFERROR($I1690*INDEX(Config!$B:$B,MATCH($C1690,Config!$A:$A,0)),0),0))</f>
        <v/>
      </c>
      <c r="N1690" s="36" t="str">
        <f t="shared" si="2"/>
        <v/>
      </c>
      <c r="O1690" s="36" t="str">
        <f t="shared" si="3"/>
        <v/>
      </c>
      <c r="P1690" s="15"/>
      <c r="Q1690" s="37" t="str">
        <f t="shared" si="4"/>
        <v/>
      </c>
      <c r="R1690" s="37" t="str">
        <f t="shared" si="5"/>
        <v/>
      </c>
      <c r="S1690" s="32" t="str">
        <f t="shared" si="6"/>
        <v/>
      </c>
      <c r="T1690" s="37" t="str">
        <f t="shared" si="7"/>
        <v/>
      </c>
      <c r="U1690" s="37" t="str">
        <f t="array" ref="U1690">IF($F1690="","",IFERROR(INDEX(Config!$F:$F,MATCH($F1690,Config!$D:$D,0)),0))</f>
        <v/>
      </c>
    </row>
    <row r="1691" ht="15.0" customHeight="1">
      <c r="A1691" s="34"/>
      <c r="B1691" s="35"/>
      <c r="C1691" s="15"/>
      <c r="D1691" s="15"/>
      <c r="E1691" s="15"/>
      <c r="F1691" s="15"/>
      <c r="G1691" s="36" t="str">
        <f t="array" ref="G1691">IF($F1691="","",IFERROR(INDEX(Config!$E:$E,MATCH($F1691,Config!$D:$D,0)),0))</f>
        <v/>
      </c>
      <c r="H1691" s="16"/>
      <c r="I1691" s="36" t="str">
        <f t="shared" si="1"/>
        <v/>
      </c>
      <c r="J1691" s="16"/>
      <c r="K1691" s="15"/>
      <c r="L1691" s="15"/>
      <c r="M1691" s="36" t="str">
        <f t="array" ref="M1691">IF($A1691="","",IF($L1691="Atendido",IFERROR($I1691*INDEX(Config!$B:$B,MATCH($C1691,Config!$A:$A,0)),0),0))</f>
        <v/>
      </c>
      <c r="N1691" s="36" t="str">
        <f t="shared" si="2"/>
        <v/>
      </c>
      <c r="O1691" s="36" t="str">
        <f t="shared" si="3"/>
        <v/>
      </c>
      <c r="P1691" s="15"/>
      <c r="Q1691" s="37" t="str">
        <f t="shared" si="4"/>
        <v/>
      </c>
      <c r="R1691" s="37" t="str">
        <f t="shared" si="5"/>
        <v/>
      </c>
      <c r="S1691" s="32" t="str">
        <f t="shared" si="6"/>
        <v/>
      </c>
      <c r="T1691" s="37" t="str">
        <f t="shared" si="7"/>
        <v/>
      </c>
      <c r="U1691" s="37" t="str">
        <f t="array" ref="U1691">IF($F1691="","",IFERROR(INDEX(Config!$F:$F,MATCH($F1691,Config!$D:$D,0)),0))</f>
        <v/>
      </c>
    </row>
    <row r="1692" ht="15.0" customHeight="1">
      <c r="A1692" s="34"/>
      <c r="B1692" s="35"/>
      <c r="C1692" s="15"/>
      <c r="D1692" s="15"/>
      <c r="E1692" s="15"/>
      <c r="F1692" s="15"/>
      <c r="G1692" s="36" t="str">
        <f t="array" ref="G1692">IF($F1692="","",IFERROR(INDEX(Config!$E:$E,MATCH($F1692,Config!$D:$D,0)),0))</f>
        <v/>
      </c>
      <c r="H1692" s="16"/>
      <c r="I1692" s="36" t="str">
        <f t="shared" si="1"/>
        <v/>
      </c>
      <c r="J1692" s="16"/>
      <c r="K1692" s="15"/>
      <c r="L1692" s="15"/>
      <c r="M1692" s="36" t="str">
        <f t="array" ref="M1692">IF($A1692="","",IF($L1692="Atendido",IFERROR($I1692*INDEX(Config!$B:$B,MATCH($C1692,Config!$A:$A,0)),0),0))</f>
        <v/>
      </c>
      <c r="N1692" s="36" t="str">
        <f t="shared" si="2"/>
        <v/>
      </c>
      <c r="O1692" s="36" t="str">
        <f t="shared" si="3"/>
        <v/>
      </c>
      <c r="P1692" s="15"/>
      <c r="Q1692" s="37" t="str">
        <f t="shared" si="4"/>
        <v/>
      </c>
      <c r="R1692" s="37" t="str">
        <f t="shared" si="5"/>
        <v/>
      </c>
      <c r="S1692" s="32" t="str">
        <f t="shared" si="6"/>
        <v/>
      </c>
      <c r="T1692" s="37" t="str">
        <f t="shared" si="7"/>
        <v/>
      </c>
      <c r="U1692" s="37" t="str">
        <f t="array" ref="U1692">IF($F1692="","",IFERROR(INDEX(Config!$F:$F,MATCH($F1692,Config!$D:$D,0)),0))</f>
        <v/>
      </c>
    </row>
    <row r="1693" ht="15.0" customHeight="1">
      <c r="A1693" s="34"/>
      <c r="B1693" s="35"/>
      <c r="C1693" s="15"/>
      <c r="D1693" s="15"/>
      <c r="E1693" s="15"/>
      <c r="F1693" s="15"/>
      <c r="G1693" s="36" t="str">
        <f t="array" ref="G1693">IF($F1693="","",IFERROR(INDEX(Config!$E:$E,MATCH($F1693,Config!$D:$D,0)),0))</f>
        <v/>
      </c>
      <c r="H1693" s="16"/>
      <c r="I1693" s="36" t="str">
        <f t="shared" si="1"/>
        <v/>
      </c>
      <c r="J1693" s="16"/>
      <c r="K1693" s="15"/>
      <c r="L1693" s="15"/>
      <c r="M1693" s="36" t="str">
        <f t="array" ref="M1693">IF($A1693="","",IF($L1693="Atendido",IFERROR($I1693*INDEX(Config!$B:$B,MATCH($C1693,Config!$A:$A,0)),0),0))</f>
        <v/>
      </c>
      <c r="N1693" s="36" t="str">
        <f t="shared" si="2"/>
        <v/>
      </c>
      <c r="O1693" s="36" t="str">
        <f t="shared" si="3"/>
        <v/>
      </c>
      <c r="P1693" s="15"/>
      <c r="Q1693" s="37" t="str">
        <f t="shared" si="4"/>
        <v/>
      </c>
      <c r="R1693" s="37" t="str">
        <f t="shared" si="5"/>
        <v/>
      </c>
      <c r="S1693" s="32" t="str">
        <f t="shared" si="6"/>
        <v/>
      </c>
      <c r="T1693" s="37" t="str">
        <f t="shared" si="7"/>
        <v/>
      </c>
      <c r="U1693" s="37" t="str">
        <f t="array" ref="U1693">IF($F1693="","",IFERROR(INDEX(Config!$F:$F,MATCH($F1693,Config!$D:$D,0)),0))</f>
        <v/>
      </c>
    </row>
    <row r="1694" ht="15.0" customHeight="1">
      <c r="A1694" s="34"/>
      <c r="B1694" s="35"/>
      <c r="C1694" s="15"/>
      <c r="D1694" s="15"/>
      <c r="E1694" s="15"/>
      <c r="F1694" s="15"/>
      <c r="G1694" s="36" t="str">
        <f t="array" ref="G1694">IF($F1694="","",IFERROR(INDEX(Config!$E:$E,MATCH($F1694,Config!$D:$D,0)),0))</f>
        <v/>
      </c>
      <c r="H1694" s="16"/>
      <c r="I1694" s="36" t="str">
        <f t="shared" si="1"/>
        <v/>
      </c>
      <c r="J1694" s="16"/>
      <c r="K1694" s="15"/>
      <c r="L1694" s="15"/>
      <c r="M1694" s="36" t="str">
        <f t="array" ref="M1694">IF($A1694="","",IF($L1694="Atendido",IFERROR($I1694*INDEX(Config!$B:$B,MATCH($C1694,Config!$A:$A,0)),0),0))</f>
        <v/>
      </c>
      <c r="N1694" s="36" t="str">
        <f t="shared" si="2"/>
        <v/>
      </c>
      <c r="O1694" s="36" t="str">
        <f t="shared" si="3"/>
        <v/>
      </c>
      <c r="P1694" s="15"/>
      <c r="Q1694" s="37" t="str">
        <f t="shared" si="4"/>
        <v/>
      </c>
      <c r="R1694" s="37" t="str">
        <f t="shared" si="5"/>
        <v/>
      </c>
      <c r="S1694" s="32" t="str">
        <f t="shared" si="6"/>
        <v/>
      </c>
      <c r="T1694" s="37" t="str">
        <f t="shared" si="7"/>
        <v/>
      </c>
      <c r="U1694" s="37" t="str">
        <f t="array" ref="U1694">IF($F1694="","",IFERROR(INDEX(Config!$F:$F,MATCH($F1694,Config!$D:$D,0)),0))</f>
        <v/>
      </c>
    </row>
    <row r="1695" ht="15.0" customHeight="1">
      <c r="A1695" s="34"/>
      <c r="B1695" s="35"/>
      <c r="C1695" s="15"/>
      <c r="D1695" s="15"/>
      <c r="E1695" s="15"/>
      <c r="F1695" s="15"/>
      <c r="G1695" s="36" t="str">
        <f t="array" ref="G1695">IF($F1695="","",IFERROR(INDEX(Config!$E:$E,MATCH($F1695,Config!$D:$D,0)),0))</f>
        <v/>
      </c>
      <c r="H1695" s="16"/>
      <c r="I1695" s="36" t="str">
        <f t="shared" si="1"/>
        <v/>
      </c>
      <c r="J1695" s="16"/>
      <c r="K1695" s="15"/>
      <c r="L1695" s="15"/>
      <c r="M1695" s="36" t="str">
        <f t="array" ref="M1695">IF($A1695="","",IF($L1695="Atendido",IFERROR($I1695*INDEX(Config!$B:$B,MATCH($C1695,Config!$A:$A,0)),0),0))</f>
        <v/>
      </c>
      <c r="N1695" s="36" t="str">
        <f t="shared" si="2"/>
        <v/>
      </c>
      <c r="O1695" s="36" t="str">
        <f t="shared" si="3"/>
        <v/>
      </c>
      <c r="P1695" s="15"/>
      <c r="Q1695" s="37" t="str">
        <f t="shared" si="4"/>
        <v/>
      </c>
      <c r="R1695" s="37" t="str">
        <f t="shared" si="5"/>
        <v/>
      </c>
      <c r="S1695" s="32" t="str">
        <f t="shared" si="6"/>
        <v/>
      </c>
      <c r="T1695" s="37" t="str">
        <f t="shared" si="7"/>
        <v/>
      </c>
      <c r="U1695" s="37" t="str">
        <f t="array" ref="U1695">IF($F1695="","",IFERROR(INDEX(Config!$F:$F,MATCH($F1695,Config!$D:$D,0)),0))</f>
        <v/>
      </c>
    </row>
    <row r="1696" ht="15.0" customHeight="1">
      <c r="A1696" s="34"/>
      <c r="B1696" s="35"/>
      <c r="C1696" s="15"/>
      <c r="D1696" s="15"/>
      <c r="E1696" s="15"/>
      <c r="F1696" s="15"/>
      <c r="G1696" s="36" t="str">
        <f t="array" ref="G1696">IF($F1696="","",IFERROR(INDEX(Config!$E:$E,MATCH($F1696,Config!$D:$D,0)),0))</f>
        <v/>
      </c>
      <c r="H1696" s="16"/>
      <c r="I1696" s="36" t="str">
        <f t="shared" si="1"/>
        <v/>
      </c>
      <c r="J1696" s="16"/>
      <c r="K1696" s="15"/>
      <c r="L1696" s="15"/>
      <c r="M1696" s="36" t="str">
        <f t="array" ref="M1696">IF($A1696="","",IF($L1696="Atendido",IFERROR($I1696*INDEX(Config!$B:$B,MATCH($C1696,Config!$A:$A,0)),0),0))</f>
        <v/>
      </c>
      <c r="N1696" s="36" t="str">
        <f t="shared" si="2"/>
        <v/>
      </c>
      <c r="O1696" s="36" t="str">
        <f t="shared" si="3"/>
        <v/>
      </c>
      <c r="P1696" s="15"/>
      <c r="Q1696" s="37" t="str">
        <f t="shared" si="4"/>
        <v/>
      </c>
      <c r="R1696" s="37" t="str">
        <f t="shared" si="5"/>
        <v/>
      </c>
      <c r="S1696" s="32" t="str">
        <f t="shared" si="6"/>
        <v/>
      </c>
      <c r="T1696" s="37" t="str">
        <f t="shared" si="7"/>
        <v/>
      </c>
      <c r="U1696" s="37" t="str">
        <f t="array" ref="U1696">IF($F1696="","",IFERROR(INDEX(Config!$F:$F,MATCH($F1696,Config!$D:$D,0)),0))</f>
        <v/>
      </c>
    </row>
    <row r="1697" ht="15.0" customHeight="1">
      <c r="A1697" s="34"/>
      <c r="B1697" s="35"/>
      <c r="C1697" s="15"/>
      <c r="D1697" s="15"/>
      <c r="E1697" s="15"/>
      <c r="F1697" s="15"/>
      <c r="G1697" s="36" t="str">
        <f t="array" ref="G1697">IF($F1697="","",IFERROR(INDEX(Config!$E:$E,MATCH($F1697,Config!$D:$D,0)),0))</f>
        <v/>
      </c>
      <c r="H1697" s="16"/>
      <c r="I1697" s="36" t="str">
        <f t="shared" si="1"/>
        <v/>
      </c>
      <c r="J1697" s="16"/>
      <c r="K1697" s="15"/>
      <c r="L1697" s="15"/>
      <c r="M1697" s="36" t="str">
        <f t="array" ref="M1697">IF($A1697="","",IF($L1697="Atendido",IFERROR($I1697*INDEX(Config!$B:$B,MATCH($C1697,Config!$A:$A,0)),0),0))</f>
        <v/>
      </c>
      <c r="N1697" s="36" t="str">
        <f t="shared" si="2"/>
        <v/>
      </c>
      <c r="O1697" s="36" t="str">
        <f t="shared" si="3"/>
        <v/>
      </c>
      <c r="P1697" s="15"/>
      <c r="Q1697" s="37" t="str">
        <f t="shared" si="4"/>
        <v/>
      </c>
      <c r="R1697" s="37" t="str">
        <f t="shared" si="5"/>
        <v/>
      </c>
      <c r="S1697" s="32" t="str">
        <f t="shared" si="6"/>
        <v/>
      </c>
      <c r="T1697" s="37" t="str">
        <f t="shared" si="7"/>
        <v/>
      </c>
      <c r="U1697" s="37" t="str">
        <f t="array" ref="U1697">IF($F1697="","",IFERROR(INDEX(Config!$F:$F,MATCH($F1697,Config!$D:$D,0)),0))</f>
        <v/>
      </c>
    </row>
    <row r="1698" ht="15.0" customHeight="1">
      <c r="A1698" s="34"/>
      <c r="B1698" s="35"/>
      <c r="C1698" s="15"/>
      <c r="D1698" s="15"/>
      <c r="E1698" s="15"/>
      <c r="F1698" s="15"/>
      <c r="G1698" s="36" t="str">
        <f t="array" ref="G1698">IF($F1698="","",IFERROR(INDEX(Config!$E:$E,MATCH($F1698,Config!$D:$D,0)),0))</f>
        <v/>
      </c>
      <c r="H1698" s="16"/>
      <c r="I1698" s="36" t="str">
        <f t="shared" si="1"/>
        <v/>
      </c>
      <c r="J1698" s="16"/>
      <c r="K1698" s="15"/>
      <c r="L1698" s="15"/>
      <c r="M1698" s="36" t="str">
        <f t="array" ref="M1698">IF($A1698="","",IF($L1698="Atendido",IFERROR($I1698*INDEX(Config!$B:$B,MATCH($C1698,Config!$A:$A,0)),0),0))</f>
        <v/>
      </c>
      <c r="N1698" s="36" t="str">
        <f t="shared" si="2"/>
        <v/>
      </c>
      <c r="O1698" s="36" t="str">
        <f t="shared" si="3"/>
        <v/>
      </c>
      <c r="P1698" s="15"/>
      <c r="Q1698" s="37" t="str">
        <f t="shared" si="4"/>
        <v/>
      </c>
      <c r="R1698" s="37" t="str">
        <f t="shared" si="5"/>
        <v/>
      </c>
      <c r="S1698" s="32" t="str">
        <f t="shared" si="6"/>
        <v/>
      </c>
      <c r="T1698" s="37" t="str">
        <f t="shared" si="7"/>
        <v/>
      </c>
      <c r="U1698" s="37" t="str">
        <f t="array" ref="U1698">IF($F1698="","",IFERROR(INDEX(Config!$F:$F,MATCH($F1698,Config!$D:$D,0)),0))</f>
        <v/>
      </c>
    </row>
    <row r="1699" ht="15.0" customHeight="1">
      <c r="A1699" s="34"/>
      <c r="B1699" s="35"/>
      <c r="C1699" s="15"/>
      <c r="D1699" s="15"/>
      <c r="E1699" s="15"/>
      <c r="F1699" s="15"/>
      <c r="G1699" s="36" t="str">
        <f t="array" ref="G1699">IF($F1699="","",IFERROR(INDEX(Config!$E:$E,MATCH($F1699,Config!$D:$D,0)),0))</f>
        <v/>
      </c>
      <c r="H1699" s="16"/>
      <c r="I1699" s="36" t="str">
        <f t="shared" si="1"/>
        <v/>
      </c>
      <c r="J1699" s="16"/>
      <c r="K1699" s="15"/>
      <c r="L1699" s="15"/>
      <c r="M1699" s="36" t="str">
        <f t="array" ref="M1699">IF($A1699="","",IF($L1699="Atendido",IFERROR($I1699*INDEX(Config!$B:$B,MATCH($C1699,Config!$A:$A,0)),0),0))</f>
        <v/>
      </c>
      <c r="N1699" s="36" t="str">
        <f t="shared" si="2"/>
        <v/>
      </c>
      <c r="O1699" s="36" t="str">
        <f t="shared" si="3"/>
        <v/>
      </c>
      <c r="P1699" s="15"/>
      <c r="Q1699" s="37" t="str">
        <f t="shared" si="4"/>
        <v/>
      </c>
      <c r="R1699" s="37" t="str">
        <f t="shared" si="5"/>
        <v/>
      </c>
      <c r="S1699" s="32" t="str">
        <f t="shared" si="6"/>
        <v/>
      </c>
      <c r="T1699" s="37" t="str">
        <f t="shared" si="7"/>
        <v/>
      </c>
      <c r="U1699" s="37" t="str">
        <f t="array" ref="U1699">IF($F1699="","",IFERROR(INDEX(Config!$F:$F,MATCH($F1699,Config!$D:$D,0)),0))</f>
        <v/>
      </c>
    </row>
    <row r="1700" ht="15.0" customHeight="1">
      <c r="A1700" s="34"/>
      <c r="B1700" s="35"/>
      <c r="C1700" s="15"/>
      <c r="D1700" s="15"/>
      <c r="E1700" s="15"/>
      <c r="F1700" s="15"/>
      <c r="G1700" s="36" t="str">
        <f t="array" ref="G1700">IF($F1700="","",IFERROR(INDEX(Config!$E:$E,MATCH($F1700,Config!$D:$D,0)),0))</f>
        <v/>
      </c>
      <c r="H1700" s="16"/>
      <c r="I1700" s="36" t="str">
        <f t="shared" si="1"/>
        <v/>
      </c>
      <c r="J1700" s="16"/>
      <c r="K1700" s="15"/>
      <c r="L1700" s="15"/>
      <c r="M1700" s="36" t="str">
        <f t="array" ref="M1700">IF($A1700="","",IF($L1700="Atendido",IFERROR($I1700*INDEX(Config!$B:$B,MATCH($C1700,Config!$A:$A,0)),0),0))</f>
        <v/>
      </c>
      <c r="N1700" s="36" t="str">
        <f t="shared" si="2"/>
        <v/>
      </c>
      <c r="O1700" s="36" t="str">
        <f t="shared" si="3"/>
        <v/>
      </c>
      <c r="P1700" s="15"/>
      <c r="Q1700" s="37" t="str">
        <f t="shared" si="4"/>
        <v/>
      </c>
      <c r="R1700" s="37" t="str">
        <f t="shared" si="5"/>
        <v/>
      </c>
      <c r="S1700" s="32" t="str">
        <f t="shared" si="6"/>
        <v/>
      </c>
      <c r="T1700" s="37" t="str">
        <f t="shared" si="7"/>
        <v/>
      </c>
      <c r="U1700" s="37" t="str">
        <f t="array" ref="U1700">IF($F1700="","",IFERROR(INDEX(Config!$F:$F,MATCH($F1700,Config!$D:$D,0)),0))</f>
        <v/>
      </c>
    </row>
    <row r="1701" ht="15.0" customHeight="1">
      <c r="A1701" s="34"/>
      <c r="B1701" s="35"/>
      <c r="C1701" s="15"/>
      <c r="D1701" s="15"/>
      <c r="E1701" s="15"/>
      <c r="F1701" s="15"/>
      <c r="G1701" s="36" t="str">
        <f t="array" ref="G1701">IF($F1701="","",IFERROR(INDEX(Config!$E:$E,MATCH($F1701,Config!$D:$D,0)),0))</f>
        <v/>
      </c>
      <c r="H1701" s="16"/>
      <c r="I1701" s="36" t="str">
        <f t="shared" si="1"/>
        <v/>
      </c>
      <c r="J1701" s="16"/>
      <c r="K1701" s="15"/>
      <c r="L1701" s="15"/>
      <c r="M1701" s="36" t="str">
        <f t="array" ref="M1701">IF($A1701="","",IF($L1701="Atendido",IFERROR($I1701*INDEX(Config!$B:$B,MATCH($C1701,Config!$A:$A,0)),0),0))</f>
        <v/>
      </c>
      <c r="N1701" s="36" t="str">
        <f t="shared" si="2"/>
        <v/>
      </c>
      <c r="O1701" s="36" t="str">
        <f t="shared" si="3"/>
        <v/>
      </c>
      <c r="P1701" s="15"/>
      <c r="Q1701" s="37" t="str">
        <f t="shared" si="4"/>
        <v/>
      </c>
      <c r="R1701" s="37" t="str">
        <f t="shared" si="5"/>
        <v/>
      </c>
      <c r="S1701" s="32" t="str">
        <f t="shared" si="6"/>
        <v/>
      </c>
      <c r="T1701" s="37" t="str">
        <f t="shared" si="7"/>
        <v/>
      </c>
      <c r="U1701" s="37" t="str">
        <f t="array" ref="U1701">IF($F1701="","",IFERROR(INDEX(Config!$F:$F,MATCH($F1701,Config!$D:$D,0)),0))</f>
        <v/>
      </c>
    </row>
    <row r="1702" ht="15.0" customHeight="1">
      <c r="A1702" s="34"/>
      <c r="B1702" s="35"/>
      <c r="C1702" s="15"/>
      <c r="D1702" s="15"/>
      <c r="E1702" s="15"/>
      <c r="F1702" s="15"/>
      <c r="G1702" s="36" t="str">
        <f t="array" ref="G1702">IF($F1702="","",IFERROR(INDEX(Config!$E:$E,MATCH($F1702,Config!$D:$D,0)),0))</f>
        <v/>
      </c>
      <c r="H1702" s="16"/>
      <c r="I1702" s="36" t="str">
        <f t="shared" si="1"/>
        <v/>
      </c>
      <c r="J1702" s="16"/>
      <c r="K1702" s="15"/>
      <c r="L1702" s="15"/>
      <c r="M1702" s="36" t="str">
        <f t="array" ref="M1702">IF($A1702="","",IF($L1702="Atendido",IFERROR($I1702*INDEX(Config!$B:$B,MATCH($C1702,Config!$A:$A,0)),0),0))</f>
        <v/>
      </c>
      <c r="N1702" s="36" t="str">
        <f t="shared" si="2"/>
        <v/>
      </c>
      <c r="O1702" s="36" t="str">
        <f t="shared" si="3"/>
        <v/>
      </c>
      <c r="P1702" s="15"/>
      <c r="Q1702" s="37" t="str">
        <f t="shared" si="4"/>
        <v/>
      </c>
      <c r="R1702" s="37" t="str">
        <f t="shared" si="5"/>
        <v/>
      </c>
      <c r="S1702" s="32" t="str">
        <f t="shared" si="6"/>
        <v/>
      </c>
      <c r="T1702" s="37" t="str">
        <f t="shared" si="7"/>
        <v/>
      </c>
      <c r="U1702" s="37" t="str">
        <f t="array" ref="U1702">IF($F1702="","",IFERROR(INDEX(Config!$F:$F,MATCH($F1702,Config!$D:$D,0)),0))</f>
        <v/>
      </c>
    </row>
    <row r="1703" ht="15.0" customHeight="1">
      <c r="A1703" s="34"/>
      <c r="B1703" s="35"/>
      <c r="C1703" s="15"/>
      <c r="D1703" s="15"/>
      <c r="E1703" s="15"/>
      <c r="F1703" s="15"/>
      <c r="G1703" s="36" t="str">
        <f t="array" ref="G1703">IF($F1703="","",IFERROR(INDEX(Config!$E:$E,MATCH($F1703,Config!$D:$D,0)),0))</f>
        <v/>
      </c>
      <c r="H1703" s="16"/>
      <c r="I1703" s="36" t="str">
        <f t="shared" si="1"/>
        <v/>
      </c>
      <c r="J1703" s="16"/>
      <c r="K1703" s="15"/>
      <c r="L1703" s="15"/>
      <c r="M1703" s="36" t="str">
        <f t="array" ref="M1703">IF($A1703="","",IF($L1703="Atendido",IFERROR($I1703*INDEX(Config!$B:$B,MATCH($C1703,Config!$A:$A,0)),0),0))</f>
        <v/>
      </c>
      <c r="N1703" s="36" t="str">
        <f t="shared" si="2"/>
        <v/>
      </c>
      <c r="O1703" s="36" t="str">
        <f t="shared" si="3"/>
        <v/>
      </c>
      <c r="P1703" s="15"/>
      <c r="Q1703" s="37" t="str">
        <f t="shared" si="4"/>
        <v/>
      </c>
      <c r="R1703" s="37" t="str">
        <f t="shared" si="5"/>
        <v/>
      </c>
      <c r="S1703" s="32" t="str">
        <f t="shared" si="6"/>
        <v/>
      </c>
      <c r="T1703" s="37" t="str">
        <f t="shared" si="7"/>
        <v/>
      </c>
      <c r="U1703" s="37" t="str">
        <f t="array" ref="U1703">IF($F1703="","",IFERROR(INDEX(Config!$F:$F,MATCH($F1703,Config!$D:$D,0)),0))</f>
        <v/>
      </c>
    </row>
    <row r="1704" ht="15.0" customHeight="1">
      <c r="A1704" s="34"/>
      <c r="B1704" s="35"/>
      <c r="C1704" s="15"/>
      <c r="D1704" s="15"/>
      <c r="E1704" s="15"/>
      <c r="F1704" s="15"/>
      <c r="G1704" s="36" t="str">
        <f t="array" ref="G1704">IF($F1704="","",IFERROR(INDEX(Config!$E:$E,MATCH($F1704,Config!$D:$D,0)),0))</f>
        <v/>
      </c>
      <c r="H1704" s="16"/>
      <c r="I1704" s="36" t="str">
        <f t="shared" si="1"/>
        <v/>
      </c>
      <c r="J1704" s="16"/>
      <c r="K1704" s="15"/>
      <c r="L1704" s="15"/>
      <c r="M1704" s="36" t="str">
        <f t="array" ref="M1704">IF($A1704="","",IF($L1704="Atendido",IFERROR($I1704*INDEX(Config!$B:$B,MATCH($C1704,Config!$A:$A,0)),0),0))</f>
        <v/>
      </c>
      <c r="N1704" s="36" t="str">
        <f t="shared" si="2"/>
        <v/>
      </c>
      <c r="O1704" s="36" t="str">
        <f t="shared" si="3"/>
        <v/>
      </c>
      <c r="P1704" s="15"/>
      <c r="Q1704" s="37" t="str">
        <f t="shared" si="4"/>
        <v/>
      </c>
      <c r="R1704" s="37" t="str">
        <f t="shared" si="5"/>
        <v/>
      </c>
      <c r="S1704" s="32" t="str">
        <f t="shared" si="6"/>
        <v/>
      </c>
      <c r="T1704" s="37" t="str">
        <f t="shared" si="7"/>
        <v/>
      </c>
      <c r="U1704" s="37" t="str">
        <f t="array" ref="U1704">IF($F1704="","",IFERROR(INDEX(Config!$F:$F,MATCH($F1704,Config!$D:$D,0)),0))</f>
        <v/>
      </c>
    </row>
    <row r="1705" ht="15.0" customHeight="1">
      <c r="A1705" s="34"/>
      <c r="B1705" s="35"/>
      <c r="C1705" s="15"/>
      <c r="D1705" s="15"/>
      <c r="E1705" s="15"/>
      <c r="F1705" s="15"/>
      <c r="G1705" s="36" t="str">
        <f t="array" ref="G1705">IF($F1705="","",IFERROR(INDEX(Config!$E:$E,MATCH($F1705,Config!$D:$D,0)),0))</f>
        <v/>
      </c>
      <c r="H1705" s="16"/>
      <c r="I1705" s="36" t="str">
        <f t="shared" si="1"/>
        <v/>
      </c>
      <c r="J1705" s="16"/>
      <c r="K1705" s="15"/>
      <c r="L1705" s="15"/>
      <c r="M1705" s="36" t="str">
        <f t="array" ref="M1705">IF($A1705="","",IF($L1705="Atendido",IFERROR($I1705*INDEX(Config!$B:$B,MATCH($C1705,Config!$A:$A,0)),0),0))</f>
        <v/>
      </c>
      <c r="N1705" s="36" t="str">
        <f t="shared" si="2"/>
        <v/>
      </c>
      <c r="O1705" s="36" t="str">
        <f t="shared" si="3"/>
        <v/>
      </c>
      <c r="P1705" s="15"/>
      <c r="Q1705" s="37" t="str">
        <f t="shared" si="4"/>
        <v/>
      </c>
      <c r="R1705" s="37" t="str">
        <f t="shared" si="5"/>
        <v/>
      </c>
      <c r="S1705" s="32" t="str">
        <f t="shared" si="6"/>
        <v/>
      </c>
      <c r="T1705" s="37" t="str">
        <f t="shared" si="7"/>
        <v/>
      </c>
      <c r="U1705" s="37" t="str">
        <f t="array" ref="U1705">IF($F1705="","",IFERROR(INDEX(Config!$F:$F,MATCH($F1705,Config!$D:$D,0)),0))</f>
        <v/>
      </c>
    </row>
    <row r="1706" ht="15.0" customHeight="1">
      <c r="A1706" s="34"/>
      <c r="B1706" s="35"/>
      <c r="C1706" s="15"/>
      <c r="D1706" s="15"/>
      <c r="E1706" s="15"/>
      <c r="F1706" s="15"/>
      <c r="G1706" s="36" t="str">
        <f t="array" ref="G1706">IF($F1706="","",IFERROR(INDEX(Config!$E:$E,MATCH($F1706,Config!$D:$D,0)),0))</f>
        <v/>
      </c>
      <c r="H1706" s="16"/>
      <c r="I1706" s="36" t="str">
        <f t="shared" si="1"/>
        <v/>
      </c>
      <c r="J1706" s="16"/>
      <c r="K1706" s="15"/>
      <c r="L1706" s="15"/>
      <c r="M1706" s="36" t="str">
        <f t="array" ref="M1706">IF($A1706="","",IF($L1706="Atendido",IFERROR($I1706*INDEX(Config!$B:$B,MATCH($C1706,Config!$A:$A,0)),0),0))</f>
        <v/>
      </c>
      <c r="N1706" s="36" t="str">
        <f t="shared" si="2"/>
        <v/>
      </c>
      <c r="O1706" s="36" t="str">
        <f t="shared" si="3"/>
        <v/>
      </c>
      <c r="P1706" s="15"/>
      <c r="Q1706" s="37" t="str">
        <f t="shared" si="4"/>
        <v/>
      </c>
      <c r="R1706" s="37" t="str">
        <f t="shared" si="5"/>
        <v/>
      </c>
      <c r="S1706" s="32" t="str">
        <f t="shared" si="6"/>
        <v/>
      </c>
      <c r="T1706" s="37" t="str">
        <f t="shared" si="7"/>
        <v/>
      </c>
      <c r="U1706" s="37" t="str">
        <f t="array" ref="U1706">IF($F1706="","",IFERROR(INDEX(Config!$F:$F,MATCH($F1706,Config!$D:$D,0)),0))</f>
        <v/>
      </c>
    </row>
    <row r="1707" ht="15.0" customHeight="1">
      <c r="A1707" s="34"/>
      <c r="B1707" s="35"/>
      <c r="C1707" s="15"/>
      <c r="D1707" s="15"/>
      <c r="E1707" s="15"/>
      <c r="F1707" s="15"/>
      <c r="G1707" s="36" t="str">
        <f t="array" ref="G1707">IF($F1707="","",IFERROR(INDEX(Config!$E:$E,MATCH($F1707,Config!$D:$D,0)),0))</f>
        <v/>
      </c>
      <c r="H1707" s="16"/>
      <c r="I1707" s="36" t="str">
        <f t="shared" si="1"/>
        <v/>
      </c>
      <c r="J1707" s="16"/>
      <c r="K1707" s="15"/>
      <c r="L1707" s="15"/>
      <c r="M1707" s="36" t="str">
        <f t="array" ref="M1707">IF($A1707="","",IF($L1707="Atendido",IFERROR($I1707*INDEX(Config!$B:$B,MATCH($C1707,Config!$A:$A,0)),0),0))</f>
        <v/>
      </c>
      <c r="N1707" s="36" t="str">
        <f t="shared" si="2"/>
        <v/>
      </c>
      <c r="O1707" s="36" t="str">
        <f t="shared" si="3"/>
        <v/>
      </c>
      <c r="P1707" s="15"/>
      <c r="Q1707" s="37" t="str">
        <f t="shared" si="4"/>
        <v/>
      </c>
      <c r="R1707" s="37" t="str">
        <f t="shared" si="5"/>
        <v/>
      </c>
      <c r="S1707" s="32" t="str">
        <f t="shared" si="6"/>
        <v/>
      </c>
      <c r="T1707" s="37" t="str">
        <f t="shared" si="7"/>
        <v/>
      </c>
      <c r="U1707" s="37" t="str">
        <f t="array" ref="U1707">IF($F1707="","",IFERROR(INDEX(Config!$F:$F,MATCH($F1707,Config!$D:$D,0)),0))</f>
        <v/>
      </c>
    </row>
    <row r="1708" ht="15.0" customHeight="1">
      <c r="A1708" s="34"/>
      <c r="B1708" s="35"/>
      <c r="C1708" s="15"/>
      <c r="D1708" s="15"/>
      <c r="E1708" s="15"/>
      <c r="F1708" s="15"/>
      <c r="G1708" s="36" t="str">
        <f t="array" ref="G1708">IF($F1708="","",IFERROR(INDEX(Config!$E:$E,MATCH($F1708,Config!$D:$D,0)),0))</f>
        <v/>
      </c>
      <c r="H1708" s="16"/>
      <c r="I1708" s="36" t="str">
        <f t="shared" si="1"/>
        <v/>
      </c>
      <c r="J1708" s="16"/>
      <c r="K1708" s="15"/>
      <c r="L1708" s="15"/>
      <c r="M1708" s="36" t="str">
        <f t="array" ref="M1708">IF($A1708="","",IF($L1708="Atendido",IFERROR($I1708*INDEX(Config!$B:$B,MATCH($C1708,Config!$A:$A,0)),0),0))</f>
        <v/>
      </c>
      <c r="N1708" s="36" t="str">
        <f t="shared" si="2"/>
        <v/>
      </c>
      <c r="O1708" s="36" t="str">
        <f t="shared" si="3"/>
        <v/>
      </c>
      <c r="P1708" s="15"/>
      <c r="Q1708" s="37" t="str">
        <f t="shared" si="4"/>
        <v/>
      </c>
      <c r="R1708" s="37" t="str">
        <f t="shared" si="5"/>
        <v/>
      </c>
      <c r="S1708" s="32" t="str">
        <f t="shared" si="6"/>
        <v/>
      </c>
      <c r="T1708" s="37" t="str">
        <f t="shared" si="7"/>
        <v/>
      </c>
      <c r="U1708" s="37" t="str">
        <f t="array" ref="U1708">IF($F1708="","",IFERROR(INDEX(Config!$F:$F,MATCH($F1708,Config!$D:$D,0)),0))</f>
        <v/>
      </c>
    </row>
    <row r="1709" ht="15.0" customHeight="1">
      <c r="A1709" s="34"/>
      <c r="B1709" s="35"/>
      <c r="C1709" s="15"/>
      <c r="D1709" s="15"/>
      <c r="E1709" s="15"/>
      <c r="F1709" s="15"/>
      <c r="G1709" s="36" t="str">
        <f t="array" ref="G1709">IF($F1709="","",IFERROR(INDEX(Config!$E:$E,MATCH($F1709,Config!$D:$D,0)),0))</f>
        <v/>
      </c>
      <c r="H1709" s="16"/>
      <c r="I1709" s="36" t="str">
        <f t="shared" si="1"/>
        <v/>
      </c>
      <c r="J1709" s="16"/>
      <c r="K1709" s="15"/>
      <c r="L1709" s="15"/>
      <c r="M1709" s="36" t="str">
        <f t="array" ref="M1709">IF($A1709="","",IF($L1709="Atendido",IFERROR($I1709*INDEX(Config!$B:$B,MATCH($C1709,Config!$A:$A,0)),0),0))</f>
        <v/>
      </c>
      <c r="N1709" s="36" t="str">
        <f t="shared" si="2"/>
        <v/>
      </c>
      <c r="O1709" s="36" t="str">
        <f t="shared" si="3"/>
        <v/>
      </c>
      <c r="P1709" s="15"/>
      <c r="Q1709" s="37" t="str">
        <f t="shared" si="4"/>
        <v/>
      </c>
      <c r="R1709" s="37" t="str">
        <f t="shared" si="5"/>
        <v/>
      </c>
      <c r="S1709" s="32" t="str">
        <f t="shared" si="6"/>
        <v/>
      </c>
      <c r="T1709" s="37" t="str">
        <f t="shared" si="7"/>
        <v/>
      </c>
      <c r="U1709" s="37" t="str">
        <f t="array" ref="U1709">IF($F1709="","",IFERROR(INDEX(Config!$F:$F,MATCH($F1709,Config!$D:$D,0)),0))</f>
        <v/>
      </c>
    </row>
    <row r="1710" ht="15.0" customHeight="1">
      <c r="A1710" s="34"/>
      <c r="B1710" s="35"/>
      <c r="C1710" s="15"/>
      <c r="D1710" s="15"/>
      <c r="E1710" s="15"/>
      <c r="F1710" s="15"/>
      <c r="G1710" s="36" t="str">
        <f t="array" ref="G1710">IF($F1710="","",IFERROR(INDEX(Config!$E:$E,MATCH($F1710,Config!$D:$D,0)),0))</f>
        <v/>
      </c>
      <c r="H1710" s="16"/>
      <c r="I1710" s="36" t="str">
        <f t="shared" si="1"/>
        <v/>
      </c>
      <c r="J1710" s="16"/>
      <c r="K1710" s="15"/>
      <c r="L1710" s="15"/>
      <c r="M1710" s="36" t="str">
        <f t="array" ref="M1710">IF($A1710="","",IF($L1710="Atendido",IFERROR($I1710*INDEX(Config!$B:$B,MATCH($C1710,Config!$A:$A,0)),0),0))</f>
        <v/>
      </c>
      <c r="N1710" s="36" t="str">
        <f t="shared" si="2"/>
        <v/>
      </c>
      <c r="O1710" s="36" t="str">
        <f t="shared" si="3"/>
        <v/>
      </c>
      <c r="P1710" s="15"/>
      <c r="Q1710" s="37" t="str">
        <f t="shared" si="4"/>
        <v/>
      </c>
      <c r="R1710" s="37" t="str">
        <f t="shared" si="5"/>
        <v/>
      </c>
      <c r="S1710" s="32" t="str">
        <f t="shared" si="6"/>
        <v/>
      </c>
      <c r="T1710" s="37" t="str">
        <f t="shared" si="7"/>
        <v/>
      </c>
      <c r="U1710" s="37" t="str">
        <f t="array" ref="U1710">IF($F1710="","",IFERROR(INDEX(Config!$F:$F,MATCH($F1710,Config!$D:$D,0)),0))</f>
        <v/>
      </c>
    </row>
    <row r="1711" ht="15.0" customHeight="1">
      <c r="A1711" s="34"/>
      <c r="B1711" s="35"/>
      <c r="C1711" s="15"/>
      <c r="D1711" s="15"/>
      <c r="E1711" s="15"/>
      <c r="F1711" s="15"/>
      <c r="G1711" s="36" t="str">
        <f t="array" ref="G1711">IF($F1711="","",IFERROR(INDEX(Config!$E:$E,MATCH($F1711,Config!$D:$D,0)),0))</f>
        <v/>
      </c>
      <c r="H1711" s="16"/>
      <c r="I1711" s="36" t="str">
        <f t="shared" si="1"/>
        <v/>
      </c>
      <c r="J1711" s="16"/>
      <c r="K1711" s="15"/>
      <c r="L1711" s="15"/>
      <c r="M1711" s="36" t="str">
        <f t="array" ref="M1711">IF($A1711="","",IF($L1711="Atendido",IFERROR($I1711*INDEX(Config!$B:$B,MATCH($C1711,Config!$A:$A,0)),0),0))</f>
        <v/>
      </c>
      <c r="N1711" s="36" t="str">
        <f t="shared" si="2"/>
        <v/>
      </c>
      <c r="O1711" s="36" t="str">
        <f t="shared" si="3"/>
        <v/>
      </c>
      <c r="P1711" s="15"/>
      <c r="Q1711" s="37" t="str">
        <f t="shared" si="4"/>
        <v/>
      </c>
      <c r="R1711" s="37" t="str">
        <f t="shared" si="5"/>
        <v/>
      </c>
      <c r="S1711" s="32" t="str">
        <f t="shared" si="6"/>
        <v/>
      </c>
      <c r="T1711" s="37" t="str">
        <f t="shared" si="7"/>
        <v/>
      </c>
      <c r="U1711" s="37" t="str">
        <f t="array" ref="U1711">IF($F1711="","",IFERROR(INDEX(Config!$F:$F,MATCH($F1711,Config!$D:$D,0)),0))</f>
        <v/>
      </c>
    </row>
    <row r="1712" ht="15.0" customHeight="1">
      <c r="A1712" s="34"/>
      <c r="B1712" s="35"/>
      <c r="C1712" s="15"/>
      <c r="D1712" s="15"/>
      <c r="E1712" s="15"/>
      <c r="F1712" s="15"/>
      <c r="G1712" s="36" t="str">
        <f t="array" ref="G1712">IF($F1712="","",IFERROR(INDEX(Config!$E:$E,MATCH($F1712,Config!$D:$D,0)),0))</f>
        <v/>
      </c>
      <c r="H1712" s="16"/>
      <c r="I1712" s="36" t="str">
        <f t="shared" si="1"/>
        <v/>
      </c>
      <c r="J1712" s="16"/>
      <c r="K1712" s="15"/>
      <c r="L1712" s="15"/>
      <c r="M1712" s="36" t="str">
        <f t="array" ref="M1712">IF($A1712="","",IF($L1712="Atendido",IFERROR($I1712*INDEX(Config!$B:$B,MATCH($C1712,Config!$A:$A,0)),0),0))</f>
        <v/>
      </c>
      <c r="N1712" s="36" t="str">
        <f t="shared" si="2"/>
        <v/>
      </c>
      <c r="O1712" s="36" t="str">
        <f t="shared" si="3"/>
        <v/>
      </c>
      <c r="P1712" s="15"/>
      <c r="Q1712" s="37" t="str">
        <f t="shared" si="4"/>
        <v/>
      </c>
      <c r="R1712" s="37" t="str">
        <f t="shared" si="5"/>
        <v/>
      </c>
      <c r="S1712" s="32" t="str">
        <f t="shared" si="6"/>
        <v/>
      </c>
      <c r="T1712" s="37" t="str">
        <f t="shared" si="7"/>
        <v/>
      </c>
      <c r="U1712" s="37" t="str">
        <f t="array" ref="U1712">IF($F1712="","",IFERROR(INDEX(Config!$F:$F,MATCH($F1712,Config!$D:$D,0)),0))</f>
        <v/>
      </c>
    </row>
    <row r="1713" ht="15.0" customHeight="1">
      <c r="A1713" s="34"/>
      <c r="B1713" s="35"/>
      <c r="C1713" s="15"/>
      <c r="D1713" s="15"/>
      <c r="E1713" s="15"/>
      <c r="F1713" s="15"/>
      <c r="G1713" s="36" t="str">
        <f t="array" ref="G1713">IF($F1713="","",IFERROR(INDEX(Config!$E:$E,MATCH($F1713,Config!$D:$D,0)),0))</f>
        <v/>
      </c>
      <c r="H1713" s="16"/>
      <c r="I1713" s="36" t="str">
        <f t="shared" si="1"/>
        <v/>
      </c>
      <c r="J1713" s="16"/>
      <c r="K1713" s="15"/>
      <c r="L1713" s="15"/>
      <c r="M1713" s="36" t="str">
        <f t="array" ref="M1713">IF($A1713="","",IF($L1713="Atendido",IFERROR($I1713*INDEX(Config!$B:$B,MATCH($C1713,Config!$A:$A,0)),0),0))</f>
        <v/>
      </c>
      <c r="N1713" s="36" t="str">
        <f t="shared" si="2"/>
        <v/>
      </c>
      <c r="O1713" s="36" t="str">
        <f t="shared" si="3"/>
        <v/>
      </c>
      <c r="P1713" s="15"/>
      <c r="Q1713" s="37" t="str">
        <f t="shared" si="4"/>
        <v/>
      </c>
      <c r="R1713" s="37" t="str">
        <f t="shared" si="5"/>
        <v/>
      </c>
      <c r="S1713" s="32" t="str">
        <f t="shared" si="6"/>
        <v/>
      </c>
      <c r="T1713" s="37" t="str">
        <f t="shared" si="7"/>
        <v/>
      </c>
      <c r="U1713" s="37" t="str">
        <f t="array" ref="U1713">IF($F1713="","",IFERROR(INDEX(Config!$F:$F,MATCH($F1713,Config!$D:$D,0)),0))</f>
        <v/>
      </c>
    </row>
    <row r="1714" ht="15.0" customHeight="1">
      <c r="A1714" s="34"/>
      <c r="B1714" s="35"/>
      <c r="C1714" s="15"/>
      <c r="D1714" s="15"/>
      <c r="E1714" s="15"/>
      <c r="F1714" s="15"/>
      <c r="G1714" s="36" t="str">
        <f t="array" ref="G1714">IF($F1714="","",IFERROR(INDEX(Config!$E:$E,MATCH($F1714,Config!$D:$D,0)),0))</f>
        <v/>
      </c>
      <c r="H1714" s="16"/>
      <c r="I1714" s="36" t="str">
        <f t="shared" si="1"/>
        <v/>
      </c>
      <c r="J1714" s="16"/>
      <c r="K1714" s="15"/>
      <c r="L1714" s="15"/>
      <c r="M1714" s="36" t="str">
        <f t="array" ref="M1714">IF($A1714="","",IF($L1714="Atendido",IFERROR($I1714*INDEX(Config!$B:$B,MATCH($C1714,Config!$A:$A,0)),0),0))</f>
        <v/>
      </c>
      <c r="N1714" s="36" t="str">
        <f t="shared" si="2"/>
        <v/>
      </c>
      <c r="O1714" s="36" t="str">
        <f t="shared" si="3"/>
        <v/>
      </c>
      <c r="P1714" s="15"/>
      <c r="Q1714" s="37" t="str">
        <f t="shared" si="4"/>
        <v/>
      </c>
      <c r="R1714" s="37" t="str">
        <f t="shared" si="5"/>
        <v/>
      </c>
      <c r="S1714" s="32" t="str">
        <f t="shared" si="6"/>
        <v/>
      </c>
      <c r="T1714" s="37" t="str">
        <f t="shared" si="7"/>
        <v/>
      </c>
      <c r="U1714" s="37" t="str">
        <f t="array" ref="U1714">IF($F1714="","",IFERROR(INDEX(Config!$F:$F,MATCH($F1714,Config!$D:$D,0)),0))</f>
        <v/>
      </c>
    </row>
    <row r="1715" ht="15.0" customHeight="1">
      <c r="A1715" s="34"/>
      <c r="B1715" s="35"/>
      <c r="C1715" s="15"/>
      <c r="D1715" s="15"/>
      <c r="E1715" s="15"/>
      <c r="F1715" s="15"/>
      <c r="G1715" s="36" t="str">
        <f t="array" ref="G1715">IF($F1715="","",IFERROR(INDEX(Config!$E:$E,MATCH($F1715,Config!$D:$D,0)),0))</f>
        <v/>
      </c>
      <c r="H1715" s="16"/>
      <c r="I1715" s="36" t="str">
        <f t="shared" si="1"/>
        <v/>
      </c>
      <c r="J1715" s="16"/>
      <c r="K1715" s="15"/>
      <c r="L1715" s="15"/>
      <c r="M1715" s="36" t="str">
        <f t="array" ref="M1715">IF($A1715="","",IF($L1715="Atendido",IFERROR($I1715*INDEX(Config!$B:$B,MATCH($C1715,Config!$A:$A,0)),0),0))</f>
        <v/>
      </c>
      <c r="N1715" s="36" t="str">
        <f t="shared" si="2"/>
        <v/>
      </c>
      <c r="O1715" s="36" t="str">
        <f t="shared" si="3"/>
        <v/>
      </c>
      <c r="P1715" s="15"/>
      <c r="Q1715" s="37" t="str">
        <f t="shared" si="4"/>
        <v/>
      </c>
      <c r="R1715" s="37" t="str">
        <f t="shared" si="5"/>
        <v/>
      </c>
      <c r="S1715" s="32" t="str">
        <f t="shared" si="6"/>
        <v/>
      </c>
      <c r="T1715" s="37" t="str">
        <f t="shared" si="7"/>
        <v/>
      </c>
      <c r="U1715" s="37" t="str">
        <f t="array" ref="U1715">IF($F1715="","",IFERROR(INDEX(Config!$F:$F,MATCH($F1715,Config!$D:$D,0)),0))</f>
        <v/>
      </c>
    </row>
    <row r="1716" ht="15.0" customHeight="1">
      <c r="A1716" s="34"/>
      <c r="B1716" s="35"/>
      <c r="C1716" s="15"/>
      <c r="D1716" s="15"/>
      <c r="E1716" s="15"/>
      <c r="F1716" s="15"/>
      <c r="G1716" s="36" t="str">
        <f t="array" ref="G1716">IF($F1716="","",IFERROR(INDEX(Config!$E:$E,MATCH($F1716,Config!$D:$D,0)),0))</f>
        <v/>
      </c>
      <c r="H1716" s="16"/>
      <c r="I1716" s="36" t="str">
        <f t="shared" si="1"/>
        <v/>
      </c>
      <c r="J1716" s="16"/>
      <c r="K1716" s="15"/>
      <c r="L1716" s="15"/>
      <c r="M1716" s="36" t="str">
        <f t="array" ref="M1716">IF($A1716="","",IF($L1716="Atendido",IFERROR($I1716*INDEX(Config!$B:$B,MATCH($C1716,Config!$A:$A,0)),0),0))</f>
        <v/>
      </c>
      <c r="N1716" s="36" t="str">
        <f t="shared" si="2"/>
        <v/>
      </c>
      <c r="O1716" s="36" t="str">
        <f t="shared" si="3"/>
        <v/>
      </c>
      <c r="P1716" s="15"/>
      <c r="Q1716" s="37" t="str">
        <f t="shared" si="4"/>
        <v/>
      </c>
      <c r="R1716" s="37" t="str">
        <f t="shared" si="5"/>
        <v/>
      </c>
      <c r="S1716" s="32" t="str">
        <f t="shared" si="6"/>
        <v/>
      </c>
      <c r="T1716" s="37" t="str">
        <f t="shared" si="7"/>
        <v/>
      </c>
      <c r="U1716" s="37" t="str">
        <f t="array" ref="U1716">IF($F1716="","",IFERROR(INDEX(Config!$F:$F,MATCH($F1716,Config!$D:$D,0)),0))</f>
        <v/>
      </c>
    </row>
    <row r="1717" ht="15.0" customHeight="1">
      <c r="A1717" s="34"/>
      <c r="B1717" s="35"/>
      <c r="C1717" s="15"/>
      <c r="D1717" s="15"/>
      <c r="E1717" s="15"/>
      <c r="F1717" s="15"/>
      <c r="G1717" s="36" t="str">
        <f t="array" ref="G1717">IF($F1717="","",IFERROR(INDEX(Config!$E:$E,MATCH($F1717,Config!$D:$D,0)),0))</f>
        <v/>
      </c>
      <c r="H1717" s="16"/>
      <c r="I1717" s="36" t="str">
        <f t="shared" si="1"/>
        <v/>
      </c>
      <c r="J1717" s="16"/>
      <c r="K1717" s="15"/>
      <c r="L1717" s="15"/>
      <c r="M1717" s="36" t="str">
        <f t="array" ref="M1717">IF($A1717="","",IF($L1717="Atendido",IFERROR($I1717*INDEX(Config!$B:$B,MATCH($C1717,Config!$A:$A,0)),0),0))</f>
        <v/>
      </c>
      <c r="N1717" s="36" t="str">
        <f t="shared" si="2"/>
        <v/>
      </c>
      <c r="O1717" s="36" t="str">
        <f t="shared" si="3"/>
        <v/>
      </c>
      <c r="P1717" s="15"/>
      <c r="Q1717" s="37" t="str">
        <f t="shared" si="4"/>
        <v/>
      </c>
      <c r="R1717" s="37" t="str">
        <f t="shared" si="5"/>
        <v/>
      </c>
      <c r="S1717" s="32" t="str">
        <f t="shared" si="6"/>
        <v/>
      </c>
      <c r="T1717" s="37" t="str">
        <f t="shared" si="7"/>
        <v/>
      </c>
      <c r="U1717" s="37" t="str">
        <f t="array" ref="U1717">IF($F1717="","",IFERROR(INDEX(Config!$F:$F,MATCH($F1717,Config!$D:$D,0)),0))</f>
        <v/>
      </c>
    </row>
    <row r="1718" ht="15.0" customHeight="1">
      <c r="A1718" s="34"/>
      <c r="B1718" s="35"/>
      <c r="C1718" s="15"/>
      <c r="D1718" s="15"/>
      <c r="E1718" s="15"/>
      <c r="F1718" s="15"/>
      <c r="G1718" s="36" t="str">
        <f t="array" ref="G1718">IF($F1718="","",IFERROR(INDEX(Config!$E:$E,MATCH($F1718,Config!$D:$D,0)),0))</f>
        <v/>
      </c>
      <c r="H1718" s="16"/>
      <c r="I1718" s="36" t="str">
        <f t="shared" si="1"/>
        <v/>
      </c>
      <c r="J1718" s="16"/>
      <c r="K1718" s="15"/>
      <c r="L1718" s="15"/>
      <c r="M1718" s="36" t="str">
        <f t="array" ref="M1718">IF($A1718="","",IF($L1718="Atendido",IFERROR($I1718*INDEX(Config!$B:$B,MATCH($C1718,Config!$A:$A,0)),0),0))</f>
        <v/>
      </c>
      <c r="N1718" s="36" t="str">
        <f t="shared" si="2"/>
        <v/>
      </c>
      <c r="O1718" s="36" t="str">
        <f t="shared" si="3"/>
        <v/>
      </c>
      <c r="P1718" s="15"/>
      <c r="Q1718" s="37" t="str">
        <f t="shared" si="4"/>
        <v/>
      </c>
      <c r="R1718" s="37" t="str">
        <f t="shared" si="5"/>
        <v/>
      </c>
      <c r="S1718" s="32" t="str">
        <f t="shared" si="6"/>
        <v/>
      </c>
      <c r="T1718" s="37" t="str">
        <f t="shared" si="7"/>
        <v/>
      </c>
      <c r="U1718" s="37" t="str">
        <f t="array" ref="U1718">IF($F1718="","",IFERROR(INDEX(Config!$F:$F,MATCH($F1718,Config!$D:$D,0)),0))</f>
        <v/>
      </c>
    </row>
    <row r="1719" ht="15.0" customHeight="1">
      <c r="A1719" s="34"/>
      <c r="B1719" s="35"/>
      <c r="C1719" s="15"/>
      <c r="D1719" s="15"/>
      <c r="E1719" s="15"/>
      <c r="F1719" s="15"/>
      <c r="G1719" s="36" t="str">
        <f t="array" ref="G1719">IF($F1719="","",IFERROR(INDEX(Config!$E:$E,MATCH($F1719,Config!$D:$D,0)),0))</f>
        <v/>
      </c>
      <c r="H1719" s="16"/>
      <c r="I1719" s="36" t="str">
        <f t="shared" si="1"/>
        <v/>
      </c>
      <c r="J1719" s="16"/>
      <c r="K1719" s="15"/>
      <c r="L1719" s="15"/>
      <c r="M1719" s="36" t="str">
        <f t="array" ref="M1719">IF($A1719="","",IF($L1719="Atendido",IFERROR($I1719*INDEX(Config!$B:$B,MATCH($C1719,Config!$A:$A,0)),0),0))</f>
        <v/>
      </c>
      <c r="N1719" s="36" t="str">
        <f t="shared" si="2"/>
        <v/>
      </c>
      <c r="O1719" s="36" t="str">
        <f t="shared" si="3"/>
        <v/>
      </c>
      <c r="P1719" s="15"/>
      <c r="Q1719" s="37" t="str">
        <f t="shared" si="4"/>
        <v/>
      </c>
      <c r="R1719" s="37" t="str">
        <f t="shared" si="5"/>
        <v/>
      </c>
      <c r="S1719" s="32" t="str">
        <f t="shared" si="6"/>
        <v/>
      </c>
      <c r="T1719" s="37" t="str">
        <f t="shared" si="7"/>
        <v/>
      </c>
      <c r="U1719" s="37" t="str">
        <f t="array" ref="U1719">IF($F1719="","",IFERROR(INDEX(Config!$F:$F,MATCH($F1719,Config!$D:$D,0)),0))</f>
        <v/>
      </c>
    </row>
    <row r="1720" ht="15.0" customHeight="1">
      <c r="A1720" s="34"/>
      <c r="B1720" s="35"/>
      <c r="C1720" s="15"/>
      <c r="D1720" s="15"/>
      <c r="E1720" s="15"/>
      <c r="F1720" s="15"/>
      <c r="G1720" s="36" t="str">
        <f t="array" ref="G1720">IF($F1720="","",IFERROR(INDEX(Config!$E:$E,MATCH($F1720,Config!$D:$D,0)),0))</f>
        <v/>
      </c>
      <c r="H1720" s="16"/>
      <c r="I1720" s="36" t="str">
        <f t="shared" si="1"/>
        <v/>
      </c>
      <c r="J1720" s="16"/>
      <c r="K1720" s="15"/>
      <c r="L1720" s="15"/>
      <c r="M1720" s="36" t="str">
        <f t="array" ref="M1720">IF($A1720="","",IF($L1720="Atendido",IFERROR($I1720*INDEX(Config!$B:$B,MATCH($C1720,Config!$A:$A,0)),0),0))</f>
        <v/>
      </c>
      <c r="N1720" s="36" t="str">
        <f t="shared" si="2"/>
        <v/>
      </c>
      <c r="O1720" s="36" t="str">
        <f t="shared" si="3"/>
        <v/>
      </c>
      <c r="P1720" s="15"/>
      <c r="Q1720" s="37" t="str">
        <f t="shared" si="4"/>
        <v/>
      </c>
      <c r="R1720" s="37" t="str">
        <f t="shared" si="5"/>
        <v/>
      </c>
      <c r="S1720" s="32" t="str">
        <f t="shared" si="6"/>
        <v/>
      </c>
      <c r="T1720" s="37" t="str">
        <f t="shared" si="7"/>
        <v/>
      </c>
      <c r="U1720" s="37" t="str">
        <f t="array" ref="U1720">IF($F1720="","",IFERROR(INDEX(Config!$F:$F,MATCH($F1720,Config!$D:$D,0)),0))</f>
        <v/>
      </c>
    </row>
    <row r="1721" ht="15.0" customHeight="1">
      <c r="A1721" s="34"/>
      <c r="B1721" s="35"/>
      <c r="C1721" s="15"/>
      <c r="D1721" s="15"/>
      <c r="E1721" s="15"/>
      <c r="F1721" s="15"/>
      <c r="G1721" s="36" t="str">
        <f t="array" ref="G1721">IF($F1721="","",IFERROR(INDEX(Config!$E:$E,MATCH($F1721,Config!$D:$D,0)),0))</f>
        <v/>
      </c>
      <c r="H1721" s="16"/>
      <c r="I1721" s="36" t="str">
        <f t="shared" si="1"/>
        <v/>
      </c>
      <c r="J1721" s="16"/>
      <c r="K1721" s="15"/>
      <c r="L1721" s="15"/>
      <c r="M1721" s="36" t="str">
        <f t="array" ref="M1721">IF($A1721="","",IF($L1721="Atendido",IFERROR($I1721*INDEX(Config!$B:$B,MATCH($C1721,Config!$A:$A,0)),0),0))</f>
        <v/>
      </c>
      <c r="N1721" s="36" t="str">
        <f t="shared" si="2"/>
        <v/>
      </c>
      <c r="O1721" s="36" t="str">
        <f t="shared" si="3"/>
        <v/>
      </c>
      <c r="P1721" s="15"/>
      <c r="Q1721" s="37" t="str">
        <f t="shared" si="4"/>
        <v/>
      </c>
      <c r="R1721" s="37" t="str">
        <f t="shared" si="5"/>
        <v/>
      </c>
      <c r="S1721" s="32" t="str">
        <f t="shared" si="6"/>
        <v/>
      </c>
      <c r="T1721" s="37" t="str">
        <f t="shared" si="7"/>
        <v/>
      </c>
      <c r="U1721" s="37" t="str">
        <f t="array" ref="U1721">IF($F1721="","",IFERROR(INDEX(Config!$F:$F,MATCH($F1721,Config!$D:$D,0)),0))</f>
        <v/>
      </c>
    </row>
    <row r="1722" ht="15.0" customHeight="1">
      <c r="A1722" s="34"/>
      <c r="B1722" s="35"/>
      <c r="C1722" s="15"/>
      <c r="D1722" s="15"/>
      <c r="E1722" s="15"/>
      <c r="F1722" s="15"/>
      <c r="G1722" s="36" t="str">
        <f t="array" ref="G1722">IF($F1722="","",IFERROR(INDEX(Config!$E:$E,MATCH($F1722,Config!$D:$D,0)),0))</f>
        <v/>
      </c>
      <c r="H1722" s="16"/>
      <c r="I1722" s="36" t="str">
        <f t="shared" si="1"/>
        <v/>
      </c>
      <c r="J1722" s="16"/>
      <c r="K1722" s="15"/>
      <c r="L1722" s="15"/>
      <c r="M1722" s="36" t="str">
        <f t="array" ref="M1722">IF($A1722="","",IF($L1722="Atendido",IFERROR($I1722*INDEX(Config!$B:$B,MATCH($C1722,Config!$A:$A,0)),0),0))</f>
        <v/>
      </c>
      <c r="N1722" s="36" t="str">
        <f t="shared" si="2"/>
        <v/>
      </c>
      <c r="O1722" s="36" t="str">
        <f t="shared" si="3"/>
        <v/>
      </c>
      <c r="P1722" s="15"/>
      <c r="Q1722" s="37" t="str">
        <f t="shared" si="4"/>
        <v/>
      </c>
      <c r="R1722" s="37" t="str">
        <f t="shared" si="5"/>
        <v/>
      </c>
      <c r="S1722" s="32" t="str">
        <f t="shared" si="6"/>
        <v/>
      </c>
      <c r="T1722" s="37" t="str">
        <f t="shared" si="7"/>
        <v/>
      </c>
      <c r="U1722" s="37" t="str">
        <f t="array" ref="U1722">IF($F1722="","",IFERROR(INDEX(Config!$F:$F,MATCH($F1722,Config!$D:$D,0)),0))</f>
        <v/>
      </c>
    </row>
    <row r="1723" ht="15.0" customHeight="1">
      <c r="A1723" s="34"/>
      <c r="B1723" s="35"/>
      <c r="C1723" s="15"/>
      <c r="D1723" s="15"/>
      <c r="E1723" s="15"/>
      <c r="F1723" s="15"/>
      <c r="G1723" s="36" t="str">
        <f t="array" ref="G1723">IF($F1723="","",IFERROR(INDEX(Config!$E:$E,MATCH($F1723,Config!$D:$D,0)),0))</f>
        <v/>
      </c>
      <c r="H1723" s="16"/>
      <c r="I1723" s="36" t="str">
        <f t="shared" si="1"/>
        <v/>
      </c>
      <c r="J1723" s="16"/>
      <c r="K1723" s="15"/>
      <c r="L1723" s="15"/>
      <c r="M1723" s="36" t="str">
        <f t="array" ref="M1723">IF($A1723="","",IF($L1723="Atendido",IFERROR($I1723*INDEX(Config!$B:$B,MATCH($C1723,Config!$A:$A,0)),0),0))</f>
        <v/>
      </c>
      <c r="N1723" s="36" t="str">
        <f t="shared" si="2"/>
        <v/>
      </c>
      <c r="O1723" s="36" t="str">
        <f t="shared" si="3"/>
        <v/>
      </c>
      <c r="P1723" s="15"/>
      <c r="Q1723" s="37" t="str">
        <f t="shared" si="4"/>
        <v/>
      </c>
      <c r="R1723" s="37" t="str">
        <f t="shared" si="5"/>
        <v/>
      </c>
      <c r="S1723" s="32" t="str">
        <f t="shared" si="6"/>
        <v/>
      </c>
      <c r="T1723" s="37" t="str">
        <f t="shared" si="7"/>
        <v/>
      </c>
      <c r="U1723" s="37" t="str">
        <f t="array" ref="U1723">IF($F1723="","",IFERROR(INDEX(Config!$F:$F,MATCH($F1723,Config!$D:$D,0)),0))</f>
        <v/>
      </c>
    </row>
    <row r="1724" ht="15.0" customHeight="1">
      <c r="A1724" s="34"/>
      <c r="B1724" s="35"/>
      <c r="C1724" s="15"/>
      <c r="D1724" s="15"/>
      <c r="E1724" s="15"/>
      <c r="F1724" s="15"/>
      <c r="G1724" s="36" t="str">
        <f t="array" ref="G1724">IF($F1724="","",IFERROR(INDEX(Config!$E:$E,MATCH($F1724,Config!$D:$D,0)),0))</f>
        <v/>
      </c>
      <c r="H1724" s="16"/>
      <c r="I1724" s="36" t="str">
        <f t="shared" si="1"/>
        <v/>
      </c>
      <c r="J1724" s="16"/>
      <c r="K1724" s="15"/>
      <c r="L1724" s="15"/>
      <c r="M1724" s="36" t="str">
        <f t="array" ref="M1724">IF($A1724="","",IF($L1724="Atendido",IFERROR($I1724*INDEX(Config!$B:$B,MATCH($C1724,Config!$A:$A,0)),0),0))</f>
        <v/>
      </c>
      <c r="N1724" s="36" t="str">
        <f t="shared" si="2"/>
        <v/>
      </c>
      <c r="O1724" s="36" t="str">
        <f t="shared" si="3"/>
        <v/>
      </c>
      <c r="P1724" s="15"/>
      <c r="Q1724" s="37" t="str">
        <f t="shared" si="4"/>
        <v/>
      </c>
      <c r="R1724" s="37" t="str">
        <f t="shared" si="5"/>
        <v/>
      </c>
      <c r="S1724" s="32" t="str">
        <f t="shared" si="6"/>
        <v/>
      </c>
      <c r="T1724" s="37" t="str">
        <f t="shared" si="7"/>
        <v/>
      </c>
      <c r="U1724" s="37" t="str">
        <f t="array" ref="U1724">IF($F1724="","",IFERROR(INDEX(Config!$F:$F,MATCH($F1724,Config!$D:$D,0)),0))</f>
        <v/>
      </c>
    </row>
    <row r="1725" ht="15.0" customHeight="1">
      <c r="A1725" s="34"/>
      <c r="B1725" s="35"/>
      <c r="C1725" s="15"/>
      <c r="D1725" s="15"/>
      <c r="E1725" s="15"/>
      <c r="F1725" s="15"/>
      <c r="G1725" s="36" t="str">
        <f t="array" ref="G1725">IF($F1725="","",IFERROR(INDEX(Config!$E:$E,MATCH($F1725,Config!$D:$D,0)),0))</f>
        <v/>
      </c>
      <c r="H1725" s="16"/>
      <c r="I1725" s="36" t="str">
        <f t="shared" si="1"/>
        <v/>
      </c>
      <c r="J1725" s="16"/>
      <c r="K1725" s="15"/>
      <c r="L1725" s="15"/>
      <c r="M1725" s="36" t="str">
        <f t="array" ref="M1725">IF($A1725="","",IF($L1725="Atendido",IFERROR($I1725*INDEX(Config!$B:$B,MATCH($C1725,Config!$A:$A,0)),0),0))</f>
        <v/>
      </c>
      <c r="N1725" s="36" t="str">
        <f t="shared" si="2"/>
        <v/>
      </c>
      <c r="O1725" s="36" t="str">
        <f t="shared" si="3"/>
        <v/>
      </c>
      <c r="P1725" s="15"/>
      <c r="Q1725" s="37" t="str">
        <f t="shared" si="4"/>
        <v/>
      </c>
      <c r="R1725" s="37" t="str">
        <f t="shared" si="5"/>
        <v/>
      </c>
      <c r="S1725" s="32" t="str">
        <f t="shared" si="6"/>
        <v/>
      </c>
      <c r="T1725" s="37" t="str">
        <f t="shared" si="7"/>
        <v/>
      </c>
      <c r="U1725" s="37" t="str">
        <f t="array" ref="U1725">IF($F1725="","",IFERROR(INDEX(Config!$F:$F,MATCH($F1725,Config!$D:$D,0)),0))</f>
        <v/>
      </c>
    </row>
    <row r="1726" ht="15.0" customHeight="1">
      <c r="A1726" s="34"/>
      <c r="B1726" s="35"/>
      <c r="C1726" s="15"/>
      <c r="D1726" s="15"/>
      <c r="E1726" s="15"/>
      <c r="F1726" s="15"/>
      <c r="G1726" s="36" t="str">
        <f t="array" ref="G1726">IF($F1726="","",IFERROR(INDEX(Config!$E:$E,MATCH($F1726,Config!$D:$D,0)),0))</f>
        <v/>
      </c>
      <c r="H1726" s="16"/>
      <c r="I1726" s="36" t="str">
        <f t="shared" si="1"/>
        <v/>
      </c>
      <c r="J1726" s="16"/>
      <c r="K1726" s="15"/>
      <c r="L1726" s="15"/>
      <c r="M1726" s="36" t="str">
        <f t="array" ref="M1726">IF($A1726="","",IF($L1726="Atendido",IFERROR($I1726*INDEX(Config!$B:$B,MATCH($C1726,Config!$A:$A,0)),0),0))</f>
        <v/>
      </c>
      <c r="N1726" s="36" t="str">
        <f t="shared" si="2"/>
        <v/>
      </c>
      <c r="O1726" s="36" t="str">
        <f t="shared" si="3"/>
        <v/>
      </c>
      <c r="P1726" s="15"/>
      <c r="Q1726" s="37" t="str">
        <f t="shared" si="4"/>
        <v/>
      </c>
      <c r="R1726" s="37" t="str">
        <f t="shared" si="5"/>
        <v/>
      </c>
      <c r="S1726" s="32" t="str">
        <f t="shared" si="6"/>
        <v/>
      </c>
      <c r="T1726" s="37" t="str">
        <f t="shared" si="7"/>
        <v/>
      </c>
      <c r="U1726" s="37" t="str">
        <f t="array" ref="U1726">IF($F1726="","",IFERROR(INDEX(Config!$F:$F,MATCH($F1726,Config!$D:$D,0)),0))</f>
        <v/>
      </c>
    </row>
    <row r="1727" ht="15.0" customHeight="1">
      <c r="A1727" s="34"/>
      <c r="B1727" s="35"/>
      <c r="C1727" s="15"/>
      <c r="D1727" s="15"/>
      <c r="E1727" s="15"/>
      <c r="F1727" s="15"/>
      <c r="G1727" s="36" t="str">
        <f t="array" ref="G1727">IF($F1727="","",IFERROR(INDEX(Config!$E:$E,MATCH($F1727,Config!$D:$D,0)),0))</f>
        <v/>
      </c>
      <c r="H1727" s="16"/>
      <c r="I1727" s="36" t="str">
        <f t="shared" si="1"/>
        <v/>
      </c>
      <c r="J1727" s="16"/>
      <c r="K1727" s="15"/>
      <c r="L1727" s="15"/>
      <c r="M1727" s="36" t="str">
        <f t="array" ref="M1727">IF($A1727="","",IF($L1727="Atendido",IFERROR($I1727*INDEX(Config!$B:$B,MATCH($C1727,Config!$A:$A,0)),0),0))</f>
        <v/>
      </c>
      <c r="N1727" s="36" t="str">
        <f t="shared" si="2"/>
        <v/>
      </c>
      <c r="O1727" s="36" t="str">
        <f t="shared" si="3"/>
        <v/>
      </c>
      <c r="P1727" s="15"/>
      <c r="Q1727" s="37" t="str">
        <f t="shared" si="4"/>
        <v/>
      </c>
      <c r="R1727" s="37" t="str">
        <f t="shared" si="5"/>
        <v/>
      </c>
      <c r="S1727" s="32" t="str">
        <f t="shared" si="6"/>
        <v/>
      </c>
      <c r="T1727" s="37" t="str">
        <f t="shared" si="7"/>
        <v/>
      </c>
      <c r="U1727" s="37" t="str">
        <f t="array" ref="U1727">IF($F1727="","",IFERROR(INDEX(Config!$F:$F,MATCH($F1727,Config!$D:$D,0)),0))</f>
        <v/>
      </c>
    </row>
    <row r="1728" ht="15.0" customHeight="1">
      <c r="A1728" s="34"/>
      <c r="B1728" s="35"/>
      <c r="C1728" s="15"/>
      <c r="D1728" s="15"/>
      <c r="E1728" s="15"/>
      <c r="F1728" s="15"/>
      <c r="G1728" s="36" t="str">
        <f t="array" ref="G1728">IF($F1728="","",IFERROR(INDEX(Config!$E:$E,MATCH($F1728,Config!$D:$D,0)),0))</f>
        <v/>
      </c>
      <c r="H1728" s="16"/>
      <c r="I1728" s="36" t="str">
        <f t="shared" si="1"/>
        <v/>
      </c>
      <c r="J1728" s="16"/>
      <c r="K1728" s="15"/>
      <c r="L1728" s="15"/>
      <c r="M1728" s="36" t="str">
        <f t="array" ref="M1728">IF($A1728="","",IF($L1728="Atendido",IFERROR($I1728*INDEX(Config!$B:$B,MATCH($C1728,Config!$A:$A,0)),0),0))</f>
        <v/>
      </c>
      <c r="N1728" s="36" t="str">
        <f t="shared" si="2"/>
        <v/>
      </c>
      <c r="O1728" s="36" t="str">
        <f t="shared" si="3"/>
        <v/>
      </c>
      <c r="P1728" s="15"/>
      <c r="Q1728" s="37" t="str">
        <f t="shared" si="4"/>
        <v/>
      </c>
      <c r="R1728" s="37" t="str">
        <f t="shared" si="5"/>
        <v/>
      </c>
      <c r="S1728" s="32" t="str">
        <f t="shared" si="6"/>
        <v/>
      </c>
      <c r="T1728" s="37" t="str">
        <f t="shared" si="7"/>
        <v/>
      </c>
      <c r="U1728" s="37" t="str">
        <f t="array" ref="U1728">IF($F1728="","",IFERROR(INDEX(Config!$F:$F,MATCH($F1728,Config!$D:$D,0)),0))</f>
        <v/>
      </c>
    </row>
    <row r="1729" ht="15.0" customHeight="1">
      <c r="A1729" s="34"/>
      <c r="B1729" s="35"/>
      <c r="C1729" s="15"/>
      <c r="D1729" s="15"/>
      <c r="E1729" s="15"/>
      <c r="F1729" s="15"/>
      <c r="G1729" s="36" t="str">
        <f t="array" ref="G1729">IF($F1729="","",IFERROR(INDEX(Config!$E:$E,MATCH($F1729,Config!$D:$D,0)),0))</f>
        <v/>
      </c>
      <c r="H1729" s="16"/>
      <c r="I1729" s="36" t="str">
        <f t="shared" si="1"/>
        <v/>
      </c>
      <c r="J1729" s="16"/>
      <c r="K1729" s="15"/>
      <c r="L1729" s="15"/>
      <c r="M1729" s="36" t="str">
        <f t="array" ref="M1729">IF($A1729="","",IF($L1729="Atendido",IFERROR($I1729*INDEX(Config!$B:$B,MATCH($C1729,Config!$A:$A,0)),0),0))</f>
        <v/>
      </c>
      <c r="N1729" s="36" t="str">
        <f t="shared" si="2"/>
        <v/>
      </c>
      <c r="O1729" s="36" t="str">
        <f t="shared" si="3"/>
        <v/>
      </c>
      <c r="P1729" s="15"/>
      <c r="Q1729" s="37" t="str">
        <f t="shared" si="4"/>
        <v/>
      </c>
      <c r="R1729" s="37" t="str">
        <f t="shared" si="5"/>
        <v/>
      </c>
      <c r="S1729" s="32" t="str">
        <f t="shared" si="6"/>
        <v/>
      </c>
      <c r="T1729" s="37" t="str">
        <f t="shared" si="7"/>
        <v/>
      </c>
      <c r="U1729" s="37" t="str">
        <f t="array" ref="U1729">IF($F1729="","",IFERROR(INDEX(Config!$F:$F,MATCH($F1729,Config!$D:$D,0)),0))</f>
        <v/>
      </c>
    </row>
    <row r="1730" ht="15.0" customHeight="1">
      <c r="A1730" s="34"/>
      <c r="B1730" s="35"/>
      <c r="C1730" s="15"/>
      <c r="D1730" s="15"/>
      <c r="E1730" s="15"/>
      <c r="F1730" s="15"/>
      <c r="G1730" s="36" t="str">
        <f t="array" ref="G1730">IF($F1730="","",IFERROR(INDEX(Config!$E:$E,MATCH($F1730,Config!$D:$D,0)),0))</f>
        <v/>
      </c>
      <c r="H1730" s="16"/>
      <c r="I1730" s="36" t="str">
        <f t="shared" si="1"/>
        <v/>
      </c>
      <c r="J1730" s="16"/>
      <c r="K1730" s="15"/>
      <c r="L1730" s="15"/>
      <c r="M1730" s="36" t="str">
        <f t="array" ref="M1730">IF($A1730="","",IF($L1730="Atendido",IFERROR($I1730*INDEX(Config!$B:$B,MATCH($C1730,Config!$A:$A,0)),0),0))</f>
        <v/>
      </c>
      <c r="N1730" s="36" t="str">
        <f t="shared" si="2"/>
        <v/>
      </c>
      <c r="O1730" s="36" t="str">
        <f t="shared" si="3"/>
        <v/>
      </c>
      <c r="P1730" s="15"/>
      <c r="Q1730" s="37" t="str">
        <f t="shared" si="4"/>
        <v/>
      </c>
      <c r="R1730" s="37" t="str">
        <f t="shared" si="5"/>
        <v/>
      </c>
      <c r="S1730" s="32" t="str">
        <f t="shared" si="6"/>
        <v/>
      </c>
      <c r="T1730" s="37" t="str">
        <f t="shared" si="7"/>
        <v/>
      </c>
      <c r="U1730" s="37" t="str">
        <f t="array" ref="U1730">IF($F1730="","",IFERROR(INDEX(Config!$F:$F,MATCH($F1730,Config!$D:$D,0)),0))</f>
        <v/>
      </c>
    </row>
    <row r="1731" ht="15.0" customHeight="1">
      <c r="A1731" s="34"/>
      <c r="B1731" s="35"/>
      <c r="C1731" s="15"/>
      <c r="D1731" s="15"/>
      <c r="E1731" s="15"/>
      <c r="F1731" s="15"/>
      <c r="G1731" s="36" t="str">
        <f t="array" ref="G1731">IF($F1731="","",IFERROR(INDEX(Config!$E:$E,MATCH($F1731,Config!$D:$D,0)),0))</f>
        <v/>
      </c>
      <c r="H1731" s="16"/>
      <c r="I1731" s="36" t="str">
        <f t="shared" si="1"/>
        <v/>
      </c>
      <c r="J1731" s="16"/>
      <c r="K1731" s="15"/>
      <c r="L1731" s="15"/>
      <c r="M1731" s="36" t="str">
        <f t="array" ref="M1731">IF($A1731="","",IF($L1731="Atendido",IFERROR($I1731*INDEX(Config!$B:$B,MATCH($C1731,Config!$A:$A,0)),0),0))</f>
        <v/>
      </c>
      <c r="N1731" s="36" t="str">
        <f t="shared" si="2"/>
        <v/>
      </c>
      <c r="O1731" s="36" t="str">
        <f t="shared" si="3"/>
        <v/>
      </c>
      <c r="P1731" s="15"/>
      <c r="Q1731" s="37" t="str">
        <f t="shared" si="4"/>
        <v/>
      </c>
      <c r="R1731" s="37" t="str">
        <f t="shared" si="5"/>
        <v/>
      </c>
      <c r="S1731" s="32" t="str">
        <f t="shared" si="6"/>
        <v/>
      </c>
      <c r="T1731" s="37" t="str">
        <f t="shared" si="7"/>
        <v/>
      </c>
      <c r="U1731" s="37" t="str">
        <f t="array" ref="U1731">IF($F1731="","",IFERROR(INDEX(Config!$F:$F,MATCH($F1731,Config!$D:$D,0)),0))</f>
        <v/>
      </c>
    </row>
    <row r="1732" ht="15.0" customHeight="1">
      <c r="A1732" s="34"/>
      <c r="B1732" s="35"/>
      <c r="C1732" s="15"/>
      <c r="D1732" s="15"/>
      <c r="E1732" s="15"/>
      <c r="F1732" s="15"/>
      <c r="G1732" s="36" t="str">
        <f t="array" ref="G1732">IF($F1732="","",IFERROR(INDEX(Config!$E:$E,MATCH($F1732,Config!$D:$D,0)),0))</f>
        <v/>
      </c>
      <c r="H1732" s="16"/>
      <c r="I1732" s="36" t="str">
        <f t="shared" si="1"/>
        <v/>
      </c>
      <c r="J1732" s="16"/>
      <c r="K1732" s="15"/>
      <c r="L1732" s="15"/>
      <c r="M1732" s="36" t="str">
        <f t="array" ref="M1732">IF($A1732="","",IF($L1732="Atendido",IFERROR($I1732*INDEX(Config!$B:$B,MATCH($C1732,Config!$A:$A,0)),0),0))</f>
        <v/>
      </c>
      <c r="N1732" s="36" t="str">
        <f t="shared" si="2"/>
        <v/>
      </c>
      <c r="O1732" s="36" t="str">
        <f t="shared" si="3"/>
        <v/>
      </c>
      <c r="P1732" s="15"/>
      <c r="Q1732" s="37" t="str">
        <f t="shared" si="4"/>
        <v/>
      </c>
      <c r="R1732" s="37" t="str">
        <f t="shared" si="5"/>
        <v/>
      </c>
      <c r="S1732" s="32" t="str">
        <f t="shared" si="6"/>
        <v/>
      </c>
      <c r="T1732" s="37" t="str">
        <f t="shared" si="7"/>
        <v/>
      </c>
      <c r="U1732" s="37" t="str">
        <f t="array" ref="U1732">IF($F1732="","",IFERROR(INDEX(Config!$F:$F,MATCH($F1732,Config!$D:$D,0)),0))</f>
        <v/>
      </c>
    </row>
    <row r="1733" ht="15.0" customHeight="1">
      <c r="A1733" s="34"/>
      <c r="B1733" s="35"/>
      <c r="C1733" s="15"/>
      <c r="D1733" s="15"/>
      <c r="E1733" s="15"/>
      <c r="F1733" s="15"/>
      <c r="G1733" s="36" t="str">
        <f t="array" ref="G1733">IF($F1733="","",IFERROR(INDEX(Config!$E:$E,MATCH($F1733,Config!$D:$D,0)),0))</f>
        <v/>
      </c>
      <c r="H1733" s="16"/>
      <c r="I1733" s="36" t="str">
        <f t="shared" si="1"/>
        <v/>
      </c>
      <c r="J1733" s="16"/>
      <c r="K1733" s="15"/>
      <c r="L1733" s="15"/>
      <c r="M1733" s="36" t="str">
        <f t="array" ref="M1733">IF($A1733="","",IF($L1733="Atendido",IFERROR($I1733*INDEX(Config!$B:$B,MATCH($C1733,Config!$A:$A,0)),0),0))</f>
        <v/>
      </c>
      <c r="N1733" s="36" t="str">
        <f t="shared" si="2"/>
        <v/>
      </c>
      <c r="O1733" s="36" t="str">
        <f t="shared" si="3"/>
        <v/>
      </c>
      <c r="P1733" s="15"/>
      <c r="Q1733" s="37" t="str">
        <f t="shared" si="4"/>
        <v/>
      </c>
      <c r="R1733" s="37" t="str">
        <f t="shared" si="5"/>
        <v/>
      </c>
      <c r="S1733" s="32" t="str">
        <f t="shared" si="6"/>
        <v/>
      </c>
      <c r="T1733" s="37" t="str">
        <f t="shared" si="7"/>
        <v/>
      </c>
      <c r="U1733" s="37" t="str">
        <f t="array" ref="U1733">IF($F1733="","",IFERROR(INDEX(Config!$F:$F,MATCH($F1733,Config!$D:$D,0)),0))</f>
        <v/>
      </c>
    </row>
    <row r="1734" ht="15.0" customHeight="1">
      <c r="A1734" s="34"/>
      <c r="B1734" s="35"/>
      <c r="C1734" s="15"/>
      <c r="D1734" s="15"/>
      <c r="E1734" s="15"/>
      <c r="F1734" s="15"/>
      <c r="G1734" s="36" t="str">
        <f t="array" ref="G1734">IF($F1734="","",IFERROR(INDEX(Config!$E:$E,MATCH($F1734,Config!$D:$D,0)),0))</f>
        <v/>
      </c>
      <c r="H1734" s="16"/>
      <c r="I1734" s="36" t="str">
        <f t="shared" si="1"/>
        <v/>
      </c>
      <c r="J1734" s="16"/>
      <c r="K1734" s="15"/>
      <c r="L1734" s="15"/>
      <c r="M1734" s="36" t="str">
        <f t="array" ref="M1734">IF($A1734="","",IF($L1734="Atendido",IFERROR($I1734*INDEX(Config!$B:$B,MATCH($C1734,Config!$A:$A,0)),0),0))</f>
        <v/>
      </c>
      <c r="N1734" s="36" t="str">
        <f t="shared" si="2"/>
        <v/>
      </c>
      <c r="O1734" s="36" t="str">
        <f t="shared" si="3"/>
        <v/>
      </c>
      <c r="P1734" s="15"/>
      <c r="Q1734" s="37" t="str">
        <f t="shared" si="4"/>
        <v/>
      </c>
      <c r="R1734" s="37" t="str">
        <f t="shared" si="5"/>
        <v/>
      </c>
      <c r="S1734" s="32" t="str">
        <f t="shared" si="6"/>
        <v/>
      </c>
      <c r="T1734" s="37" t="str">
        <f t="shared" si="7"/>
        <v/>
      </c>
      <c r="U1734" s="37" t="str">
        <f t="array" ref="U1734">IF($F1734="","",IFERROR(INDEX(Config!$F:$F,MATCH($F1734,Config!$D:$D,0)),0))</f>
        <v/>
      </c>
    </row>
    <row r="1735" ht="15.0" customHeight="1">
      <c r="A1735" s="34"/>
      <c r="B1735" s="35"/>
      <c r="C1735" s="15"/>
      <c r="D1735" s="15"/>
      <c r="E1735" s="15"/>
      <c r="F1735" s="15"/>
      <c r="G1735" s="36" t="str">
        <f t="array" ref="G1735">IF($F1735="","",IFERROR(INDEX(Config!$E:$E,MATCH($F1735,Config!$D:$D,0)),0))</f>
        <v/>
      </c>
      <c r="H1735" s="16"/>
      <c r="I1735" s="36" t="str">
        <f t="shared" si="1"/>
        <v/>
      </c>
      <c r="J1735" s="16"/>
      <c r="K1735" s="15"/>
      <c r="L1735" s="15"/>
      <c r="M1735" s="36" t="str">
        <f t="array" ref="M1735">IF($A1735="","",IF($L1735="Atendido",IFERROR($I1735*INDEX(Config!$B:$B,MATCH($C1735,Config!$A:$A,0)),0),0))</f>
        <v/>
      </c>
      <c r="N1735" s="36" t="str">
        <f t="shared" si="2"/>
        <v/>
      </c>
      <c r="O1735" s="36" t="str">
        <f t="shared" si="3"/>
        <v/>
      </c>
      <c r="P1735" s="15"/>
      <c r="Q1735" s="37" t="str">
        <f t="shared" si="4"/>
        <v/>
      </c>
      <c r="R1735" s="37" t="str">
        <f t="shared" si="5"/>
        <v/>
      </c>
      <c r="S1735" s="32" t="str">
        <f t="shared" si="6"/>
        <v/>
      </c>
      <c r="T1735" s="37" t="str">
        <f t="shared" si="7"/>
        <v/>
      </c>
      <c r="U1735" s="37" t="str">
        <f t="array" ref="U1735">IF($F1735="","",IFERROR(INDEX(Config!$F:$F,MATCH($F1735,Config!$D:$D,0)),0))</f>
        <v/>
      </c>
    </row>
    <row r="1736" ht="15.0" customHeight="1">
      <c r="A1736" s="34"/>
      <c r="B1736" s="35"/>
      <c r="C1736" s="15"/>
      <c r="D1736" s="15"/>
      <c r="E1736" s="15"/>
      <c r="F1736" s="15"/>
      <c r="G1736" s="36" t="str">
        <f t="array" ref="G1736">IF($F1736="","",IFERROR(INDEX(Config!$E:$E,MATCH($F1736,Config!$D:$D,0)),0))</f>
        <v/>
      </c>
      <c r="H1736" s="16"/>
      <c r="I1736" s="36" t="str">
        <f t="shared" si="1"/>
        <v/>
      </c>
      <c r="J1736" s="16"/>
      <c r="K1736" s="15"/>
      <c r="L1736" s="15"/>
      <c r="M1736" s="36" t="str">
        <f t="array" ref="M1736">IF($A1736="","",IF($L1736="Atendido",IFERROR($I1736*INDEX(Config!$B:$B,MATCH($C1736,Config!$A:$A,0)),0),0))</f>
        <v/>
      </c>
      <c r="N1736" s="36" t="str">
        <f t="shared" si="2"/>
        <v/>
      </c>
      <c r="O1736" s="36" t="str">
        <f t="shared" si="3"/>
        <v/>
      </c>
      <c r="P1736" s="15"/>
      <c r="Q1736" s="37" t="str">
        <f t="shared" si="4"/>
        <v/>
      </c>
      <c r="R1736" s="37" t="str">
        <f t="shared" si="5"/>
        <v/>
      </c>
      <c r="S1736" s="32" t="str">
        <f t="shared" si="6"/>
        <v/>
      </c>
      <c r="T1736" s="37" t="str">
        <f t="shared" si="7"/>
        <v/>
      </c>
      <c r="U1736" s="37" t="str">
        <f t="array" ref="U1736">IF($F1736="","",IFERROR(INDEX(Config!$F:$F,MATCH($F1736,Config!$D:$D,0)),0))</f>
        <v/>
      </c>
    </row>
    <row r="1737" ht="15.0" customHeight="1">
      <c r="A1737" s="34"/>
      <c r="B1737" s="35"/>
      <c r="C1737" s="15"/>
      <c r="D1737" s="15"/>
      <c r="E1737" s="15"/>
      <c r="F1737" s="15"/>
      <c r="G1737" s="36" t="str">
        <f t="array" ref="G1737">IF($F1737="","",IFERROR(INDEX(Config!$E:$E,MATCH($F1737,Config!$D:$D,0)),0))</f>
        <v/>
      </c>
      <c r="H1737" s="16"/>
      <c r="I1737" s="36" t="str">
        <f t="shared" si="1"/>
        <v/>
      </c>
      <c r="J1737" s="16"/>
      <c r="K1737" s="15"/>
      <c r="L1737" s="15"/>
      <c r="M1737" s="36" t="str">
        <f t="array" ref="M1737">IF($A1737="","",IF($L1737="Atendido",IFERROR($I1737*INDEX(Config!$B:$B,MATCH($C1737,Config!$A:$A,0)),0),0))</f>
        <v/>
      </c>
      <c r="N1737" s="36" t="str">
        <f t="shared" si="2"/>
        <v/>
      </c>
      <c r="O1737" s="36" t="str">
        <f t="shared" si="3"/>
        <v/>
      </c>
      <c r="P1737" s="15"/>
      <c r="Q1737" s="37" t="str">
        <f t="shared" si="4"/>
        <v/>
      </c>
      <c r="R1737" s="37" t="str">
        <f t="shared" si="5"/>
        <v/>
      </c>
      <c r="S1737" s="32" t="str">
        <f t="shared" si="6"/>
        <v/>
      </c>
      <c r="T1737" s="37" t="str">
        <f t="shared" si="7"/>
        <v/>
      </c>
      <c r="U1737" s="37" t="str">
        <f t="array" ref="U1737">IF($F1737="","",IFERROR(INDEX(Config!$F:$F,MATCH($F1737,Config!$D:$D,0)),0))</f>
        <v/>
      </c>
    </row>
    <row r="1738" ht="15.0" customHeight="1">
      <c r="A1738" s="34"/>
      <c r="B1738" s="35"/>
      <c r="C1738" s="15"/>
      <c r="D1738" s="15"/>
      <c r="E1738" s="15"/>
      <c r="F1738" s="15"/>
      <c r="G1738" s="36" t="str">
        <f t="array" ref="G1738">IF($F1738="","",IFERROR(INDEX(Config!$E:$E,MATCH($F1738,Config!$D:$D,0)),0))</f>
        <v/>
      </c>
      <c r="H1738" s="16"/>
      <c r="I1738" s="36" t="str">
        <f t="shared" si="1"/>
        <v/>
      </c>
      <c r="J1738" s="16"/>
      <c r="K1738" s="15"/>
      <c r="L1738" s="15"/>
      <c r="M1738" s="36" t="str">
        <f t="array" ref="M1738">IF($A1738="","",IF($L1738="Atendido",IFERROR($I1738*INDEX(Config!$B:$B,MATCH($C1738,Config!$A:$A,0)),0),0))</f>
        <v/>
      </c>
      <c r="N1738" s="36" t="str">
        <f t="shared" si="2"/>
        <v/>
      </c>
      <c r="O1738" s="36" t="str">
        <f t="shared" si="3"/>
        <v/>
      </c>
      <c r="P1738" s="15"/>
      <c r="Q1738" s="37" t="str">
        <f t="shared" si="4"/>
        <v/>
      </c>
      <c r="R1738" s="37" t="str">
        <f t="shared" si="5"/>
        <v/>
      </c>
      <c r="S1738" s="32" t="str">
        <f t="shared" si="6"/>
        <v/>
      </c>
      <c r="T1738" s="37" t="str">
        <f t="shared" si="7"/>
        <v/>
      </c>
      <c r="U1738" s="37" t="str">
        <f t="array" ref="U1738">IF($F1738="","",IFERROR(INDEX(Config!$F:$F,MATCH($F1738,Config!$D:$D,0)),0))</f>
        <v/>
      </c>
    </row>
    <row r="1739" ht="15.0" customHeight="1">
      <c r="A1739" s="34"/>
      <c r="B1739" s="35"/>
      <c r="C1739" s="15"/>
      <c r="D1739" s="15"/>
      <c r="E1739" s="15"/>
      <c r="F1739" s="15"/>
      <c r="G1739" s="36" t="str">
        <f t="array" ref="G1739">IF($F1739="","",IFERROR(INDEX(Config!$E:$E,MATCH($F1739,Config!$D:$D,0)),0))</f>
        <v/>
      </c>
      <c r="H1739" s="16"/>
      <c r="I1739" s="36" t="str">
        <f t="shared" si="1"/>
        <v/>
      </c>
      <c r="J1739" s="16"/>
      <c r="K1739" s="15"/>
      <c r="L1739" s="15"/>
      <c r="M1739" s="36" t="str">
        <f t="array" ref="M1739">IF($A1739="","",IF($L1739="Atendido",IFERROR($I1739*INDEX(Config!$B:$B,MATCH($C1739,Config!$A:$A,0)),0),0))</f>
        <v/>
      </c>
      <c r="N1739" s="36" t="str">
        <f t="shared" si="2"/>
        <v/>
      </c>
      <c r="O1739" s="36" t="str">
        <f t="shared" si="3"/>
        <v/>
      </c>
      <c r="P1739" s="15"/>
      <c r="Q1739" s="37" t="str">
        <f t="shared" si="4"/>
        <v/>
      </c>
      <c r="R1739" s="37" t="str">
        <f t="shared" si="5"/>
        <v/>
      </c>
      <c r="S1739" s="32" t="str">
        <f t="shared" si="6"/>
        <v/>
      </c>
      <c r="T1739" s="37" t="str">
        <f t="shared" si="7"/>
        <v/>
      </c>
      <c r="U1739" s="37" t="str">
        <f t="array" ref="U1739">IF($F1739="","",IFERROR(INDEX(Config!$F:$F,MATCH($F1739,Config!$D:$D,0)),0))</f>
        <v/>
      </c>
    </row>
    <row r="1740" ht="15.0" customHeight="1">
      <c r="A1740" s="34"/>
      <c r="B1740" s="35"/>
      <c r="C1740" s="15"/>
      <c r="D1740" s="15"/>
      <c r="E1740" s="15"/>
      <c r="F1740" s="15"/>
      <c r="G1740" s="36" t="str">
        <f t="array" ref="G1740">IF($F1740="","",IFERROR(INDEX(Config!$E:$E,MATCH($F1740,Config!$D:$D,0)),0))</f>
        <v/>
      </c>
      <c r="H1740" s="16"/>
      <c r="I1740" s="36" t="str">
        <f t="shared" si="1"/>
        <v/>
      </c>
      <c r="J1740" s="16"/>
      <c r="K1740" s="15"/>
      <c r="L1740" s="15"/>
      <c r="M1740" s="36" t="str">
        <f t="array" ref="M1740">IF($A1740="","",IF($L1740="Atendido",IFERROR($I1740*INDEX(Config!$B:$B,MATCH($C1740,Config!$A:$A,0)),0),0))</f>
        <v/>
      </c>
      <c r="N1740" s="36" t="str">
        <f t="shared" si="2"/>
        <v/>
      </c>
      <c r="O1740" s="36" t="str">
        <f t="shared" si="3"/>
        <v/>
      </c>
      <c r="P1740" s="15"/>
      <c r="Q1740" s="37" t="str">
        <f t="shared" si="4"/>
        <v/>
      </c>
      <c r="R1740" s="37" t="str">
        <f t="shared" si="5"/>
        <v/>
      </c>
      <c r="S1740" s="32" t="str">
        <f t="shared" si="6"/>
        <v/>
      </c>
      <c r="T1740" s="37" t="str">
        <f t="shared" si="7"/>
        <v/>
      </c>
      <c r="U1740" s="37" t="str">
        <f t="array" ref="U1740">IF($F1740="","",IFERROR(INDEX(Config!$F:$F,MATCH($F1740,Config!$D:$D,0)),0))</f>
        <v/>
      </c>
    </row>
    <row r="1741" ht="15.0" customHeight="1">
      <c r="A1741" s="34"/>
      <c r="B1741" s="35"/>
      <c r="C1741" s="15"/>
      <c r="D1741" s="15"/>
      <c r="E1741" s="15"/>
      <c r="F1741" s="15"/>
      <c r="G1741" s="36" t="str">
        <f t="array" ref="G1741">IF($F1741="","",IFERROR(INDEX(Config!$E:$E,MATCH($F1741,Config!$D:$D,0)),0))</f>
        <v/>
      </c>
      <c r="H1741" s="16"/>
      <c r="I1741" s="36" t="str">
        <f t="shared" si="1"/>
        <v/>
      </c>
      <c r="J1741" s="16"/>
      <c r="K1741" s="15"/>
      <c r="L1741" s="15"/>
      <c r="M1741" s="36" t="str">
        <f t="array" ref="M1741">IF($A1741="","",IF($L1741="Atendido",IFERROR($I1741*INDEX(Config!$B:$B,MATCH($C1741,Config!$A:$A,0)),0),0))</f>
        <v/>
      </c>
      <c r="N1741" s="36" t="str">
        <f t="shared" si="2"/>
        <v/>
      </c>
      <c r="O1741" s="36" t="str">
        <f t="shared" si="3"/>
        <v/>
      </c>
      <c r="P1741" s="15"/>
      <c r="Q1741" s="37" t="str">
        <f t="shared" si="4"/>
        <v/>
      </c>
      <c r="R1741" s="37" t="str">
        <f t="shared" si="5"/>
        <v/>
      </c>
      <c r="S1741" s="32" t="str">
        <f t="shared" si="6"/>
        <v/>
      </c>
      <c r="T1741" s="37" t="str">
        <f t="shared" si="7"/>
        <v/>
      </c>
      <c r="U1741" s="37" t="str">
        <f t="array" ref="U1741">IF($F1741="","",IFERROR(INDEX(Config!$F:$F,MATCH($F1741,Config!$D:$D,0)),0))</f>
        <v/>
      </c>
    </row>
    <row r="1742" ht="15.0" customHeight="1">
      <c r="A1742" s="34"/>
      <c r="B1742" s="35"/>
      <c r="C1742" s="15"/>
      <c r="D1742" s="15"/>
      <c r="E1742" s="15"/>
      <c r="F1742" s="15"/>
      <c r="G1742" s="36" t="str">
        <f t="array" ref="G1742">IF($F1742="","",IFERROR(INDEX(Config!$E:$E,MATCH($F1742,Config!$D:$D,0)),0))</f>
        <v/>
      </c>
      <c r="H1742" s="16"/>
      <c r="I1742" s="36" t="str">
        <f t="shared" si="1"/>
        <v/>
      </c>
      <c r="J1742" s="16"/>
      <c r="K1742" s="15"/>
      <c r="L1742" s="15"/>
      <c r="M1742" s="36" t="str">
        <f t="array" ref="M1742">IF($A1742="","",IF($L1742="Atendido",IFERROR($I1742*INDEX(Config!$B:$B,MATCH($C1742,Config!$A:$A,0)),0),0))</f>
        <v/>
      </c>
      <c r="N1742" s="36" t="str">
        <f t="shared" si="2"/>
        <v/>
      </c>
      <c r="O1742" s="36" t="str">
        <f t="shared" si="3"/>
        <v/>
      </c>
      <c r="P1742" s="15"/>
      <c r="Q1742" s="37" t="str">
        <f t="shared" si="4"/>
        <v/>
      </c>
      <c r="R1742" s="37" t="str">
        <f t="shared" si="5"/>
        <v/>
      </c>
      <c r="S1742" s="32" t="str">
        <f t="shared" si="6"/>
        <v/>
      </c>
      <c r="T1742" s="37" t="str">
        <f t="shared" si="7"/>
        <v/>
      </c>
      <c r="U1742" s="37" t="str">
        <f t="array" ref="U1742">IF($F1742="","",IFERROR(INDEX(Config!$F:$F,MATCH($F1742,Config!$D:$D,0)),0))</f>
        <v/>
      </c>
    </row>
    <row r="1743" ht="15.0" customHeight="1">
      <c r="A1743" s="34"/>
      <c r="B1743" s="35"/>
      <c r="C1743" s="15"/>
      <c r="D1743" s="15"/>
      <c r="E1743" s="15"/>
      <c r="F1743" s="15"/>
      <c r="G1743" s="36" t="str">
        <f t="array" ref="G1743">IF($F1743="","",IFERROR(INDEX(Config!$E:$E,MATCH($F1743,Config!$D:$D,0)),0))</f>
        <v/>
      </c>
      <c r="H1743" s="16"/>
      <c r="I1743" s="36" t="str">
        <f t="shared" si="1"/>
        <v/>
      </c>
      <c r="J1743" s="16"/>
      <c r="K1743" s="15"/>
      <c r="L1743" s="15"/>
      <c r="M1743" s="36" t="str">
        <f t="array" ref="M1743">IF($A1743="","",IF($L1743="Atendido",IFERROR($I1743*INDEX(Config!$B:$B,MATCH($C1743,Config!$A:$A,0)),0),0))</f>
        <v/>
      </c>
      <c r="N1743" s="36" t="str">
        <f t="shared" si="2"/>
        <v/>
      </c>
      <c r="O1743" s="36" t="str">
        <f t="shared" si="3"/>
        <v/>
      </c>
      <c r="P1743" s="15"/>
      <c r="Q1743" s="37" t="str">
        <f t="shared" si="4"/>
        <v/>
      </c>
      <c r="R1743" s="37" t="str">
        <f t="shared" si="5"/>
        <v/>
      </c>
      <c r="S1743" s="32" t="str">
        <f t="shared" si="6"/>
        <v/>
      </c>
      <c r="T1743" s="37" t="str">
        <f t="shared" si="7"/>
        <v/>
      </c>
      <c r="U1743" s="37" t="str">
        <f t="array" ref="U1743">IF($F1743="","",IFERROR(INDEX(Config!$F:$F,MATCH($F1743,Config!$D:$D,0)),0))</f>
        <v/>
      </c>
    </row>
    <row r="1744" ht="15.0" customHeight="1">
      <c r="A1744" s="34"/>
      <c r="B1744" s="35"/>
      <c r="C1744" s="15"/>
      <c r="D1744" s="15"/>
      <c r="E1744" s="15"/>
      <c r="F1744" s="15"/>
      <c r="G1744" s="36" t="str">
        <f t="array" ref="G1744">IF($F1744="","",IFERROR(INDEX(Config!$E:$E,MATCH($F1744,Config!$D:$D,0)),0))</f>
        <v/>
      </c>
      <c r="H1744" s="16"/>
      <c r="I1744" s="36" t="str">
        <f t="shared" si="1"/>
        <v/>
      </c>
      <c r="J1744" s="16"/>
      <c r="K1744" s="15"/>
      <c r="L1744" s="15"/>
      <c r="M1744" s="36" t="str">
        <f t="array" ref="M1744">IF($A1744="","",IF($L1744="Atendido",IFERROR($I1744*INDEX(Config!$B:$B,MATCH($C1744,Config!$A:$A,0)),0),0))</f>
        <v/>
      </c>
      <c r="N1744" s="36" t="str">
        <f t="shared" si="2"/>
        <v/>
      </c>
      <c r="O1744" s="36" t="str">
        <f t="shared" si="3"/>
        <v/>
      </c>
      <c r="P1744" s="15"/>
      <c r="Q1744" s="37" t="str">
        <f t="shared" si="4"/>
        <v/>
      </c>
      <c r="R1744" s="37" t="str">
        <f t="shared" si="5"/>
        <v/>
      </c>
      <c r="S1744" s="32" t="str">
        <f t="shared" si="6"/>
        <v/>
      </c>
      <c r="T1744" s="37" t="str">
        <f t="shared" si="7"/>
        <v/>
      </c>
      <c r="U1744" s="37" t="str">
        <f t="array" ref="U1744">IF($F1744="","",IFERROR(INDEX(Config!$F:$F,MATCH($F1744,Config!$D:$D,0)),0))</f>
        <v/>
      </c>
    </row>
    <row r="1745" ht="15.0" customHeight="1">
      <c r="A1745" s="34"/>
      <c r="B1745" s="35"/>
      <c r="C1745" s="15"/>
      <c r="D1745" s="15"/>
      <c r="E1745" s="15"/>
      <c r="F1745" s="15"/>
      <c r="G1745" s="36" t="str">
        <f t="array" ref="G1745">IF($F1745="","",IFERROR(INDEX(Config!$E:$E,MATCH($F1745,Config!$D:$D,0)),0))</f>
        <v/>
      </c>
      <c r="H1745" s="16"/>
      <c r="I1745" s="36" t="str">
        <f t="shared" si="1"/>
        <v/>
      </c>
      <c r="J1745" s="16"/>
      <c r="K1745" s="15"/>
      <c r="L1745" s="15"/>
      <c r="M1745" s="36" t="str">
        <f t="array" ref="M1745">IF($A1745="","",IF($L1745="Atendido",IFERROR($I1745*INDEX(Config!$B:$B,MATCH($C1745,Config!$A:$A,0)),0),0))</f>
        <v/>
      </c>
      <c r="N1745" s="36" t="str">
        <f t="shared" si="2"/>
        <v/>
      </c>
      <c r="O1745" s="36" t="str">
        <f t="shared" si="3"/>
        <v/>
      </c>
      <c r="P1745" s="15"/>
      <c r="Q1745" s="37" t="str">
        <f t="shared" si="4"/>
        <v/>
      </c>
      <c r="R1745" s="37" t="str">
        <f t="shared" si="5"/>
        <v/>
      </c>
      <c r="S1745" s="32" t="str">
        <f t="shared" si="6"/>
        <v/>
      </c>
      <c r="T1745" s="37" t="str">
        <f t="shared" si="7"/>
        <v/>
      </c>
      <c r="U1745" s="37" t="str">
        <f t="array" ref="U1745">IF($F1745="","",IFERROR(INDEX(Config!$F:$F,MATCH($F1745,Config!$D:$D,0)),0))</f>
        <v/>
      </c>
    </row>
    <row r="1746" ht="15.0" customHeight="1">
      <c r="A1746" s="34"/>
      <c r="B1746" s="35"/>
      <c r="C1746" s="15"/>
      <c r="D1746" s="15"/>
      <c r="E1746" s="15"/>
      <c r="F1746" s="15"/>
      <c r="G1746" s="36" t="str">
        <f t="array" ref="G1746">IF($F1746="","",IFERROR(INDEX(Config!$E:$E,MATCH($F1746,Config!$D:$D,0)),0))</f>
        <v/>
      </c>
      <c r="H1746" s="16"/>
      <c r="I1746" s="36" t="str">
        <f t="shared" si="1"/>
        <v/>
      </c>
      <c r="J1746" s="16"/>
      <c r="K1746" s="15"/>
      <c r="L1746" s="15"/>
      <c r="M1746" s="36" t="str">
        <f t="array" ref="M1746">IF($A1746="","",IF($L1746="Atendido",IFERROR($I1746*INDEX(Config!$B:$B,MATCH($C1746,Config!$A:$A,0)),0),0))</f>
        <v/>
      </c>
      <c r="N1746" s="36" t="str">
        <f t="shared" si="2"/>
        <v/>
      </c>
      <c r="O1746" s="36" t="str">
        <f t="shared" si="3"/>
        <v/>
      </c>
      <c r="P1746" s="15"/>
      <c r="Q1746" s="37" t="str">
        <f t="shared" si="4"/>
        <v/>
      </c>
      <c r="R1746" s="37" t="str">
        <f t="shared" si="5"/>
        <v/>
      </c>
      <c r="S1746" s="32" t="str">
        <f t="shared" si="6"/>
        <v/>
      </c>
      <c r="T1746" s="37" t="str">
        <f t="shared" si="7"/>
        <v/>
      </c>
      <c r="U1746" s="37" t="str">
        <f t="array" ref="U1746">IF($F1746="","",IFERROR(INDEX(Config!$F:$F,MATCH($F1746,Config!$D:$D,0)),0))</f>
        <v/>
      </c>
    </row>
    <row r="1747" ht="15.0" customHeight="1">
      <c r="A1747" s="34"/>
      <c r="B1747" s="35"/>
      <c r="C1747" s="15"/>
      <c r="D1747" s="15"/>
      <c r="E1747" s="15"/>
      <c r="F1747" s="15"/>
      <c r="G1747" s="36" t="str">
        <f t="array" ref="G1747">IF($F1747="","",IFERROR(INDEX(Config!$E:$E,MATCH($F1747,Config!$D:$D,0)),0))</f>
        <v/>
      </c>
      <c r="H1747" s="16"/>
      <c r="I1747" s="36" t="str">
        <f t="shared" si="1"/>
        <v/>
      </c>
      <c r="J1747" s="16"/>
      <c r="K1747" s="15"/>
      <c r="L1747" s="15"/>
      <c r="M1747" s="36" t="str">
        <f t="array" ref="M1747">IF($A1747="","",IF($L1747="Atendido",IFERROR($I1747*INDEX(Config!$B:$B,MATCH($C1747,Config!$A:$A,0)),0),0))</f>
        <v/>
      </c>
      <c r="N1747" s="36" t="str">
        <f t="shared" si="2"/>
        <v/>
      </c>
      <c r="O1747" s="36" t="str">
        <f t="shared" si="3"/>
        <v/>
      </c>
      <c r="P1747" s="15"/>
      <c r="Q1747" s="37" t="str">
        <f t="shared" si="4"/>
        <v/>
      </c>
      <c r="R1747" s="37" t="str">
        <f t="shared" si="5"/>
        <v/>
      </c>
      <c r="S1747" s="32" t="str">
        <f t="shared" si="6"/>
        <v/>
      </c>
      <c r="T1747" s="37" t="str">
        <f t="shared" si="7"/>
        <v/>
      </c>
      <c r="U1747" s="37" t="str">
        <f t="array" ref="U1747">IF($F1747="","",IFERROR(INDEX(Config!$F:$F,MATCH($F1747,Config!$D:$D,0)),0))</f>
        <v/>
      </c>
    </row>
    <row r="1748" ht="15.0" customHeight="1">
      <c r="A1748" s="34"/>
      <c r="B1748" s="35"/>
      <c r="C1748" s="15"/>
      <c r="D1748" s="15"/>
      <c r="E1748" s="15"/>
      <c r="F1748" s="15"/>
      <c r="G1748" s="36" t="str">
        <f t="array" ref="G1748">IF($F1748="","",IFERROR(INDEX(Config!$E:$E,MATCH($F1748,Config!$D:$D,0)),0))</f>
        <v/>
      </c>
      <c r="H1748" s="16"/>
      <c r="I1748" s="36" t="str">
        <f t="shared" si="1"/>
        <v/>
      </c>
      <c r="J1748" s="16"/>
      <c r="K1748" s="15"/>
      <c r="L1748" s="15"/>
      <c r="M1748" s="36" t="str">
        <f t="array" ref="M1748">IF($A1748="","",IF($L1748="Atendido",IFERROR($I1748*INDEX(Config!$B:$B,MATCH($C1748,Config!$A:$A,0)),0),0))</f>
        <v/>
      </c>
      <c r="N1748" s="36" t="str">
        <f t="shared" si="2"/>
        <v/>
      </c>
      <c r="O1748" s="36" t="str">
        <f t="shared" si="3"/>
        <v/>
      </c>
      <c r="P1748" s="15"/>
      <c r="Q1748" s="37" t="str">
        <f t="shared" si="4"/>
        <v/>
      </c>
      <c r="R1748" s="37" t="str">
        <f t="shared" si="5"/>
        <v/>
      </c>
      <c r="S1748" s="32" t="str">
        <f t="shared" si="6"/>
        <v/>
      </c>
      <c r="T1748" s="37" t="str">
        <f t="shared" si="7"/>
        <v/>
      </c>
      <c r="U1748" s="37" t="str">
        <f t="array" ref="U1748">IF($F1748="","",IFERROR(INDEX(Config!$F:$F,MATCH($F1748,Config!$D:$D,0)),0))</f>
        <v/>
      </c>
    </row>
    <row r="1749" ht="15.0" customHeight="1">
      <c r="A1749" s="34"/>
      <c r="B1749" s="35"/>
      <c r="C1749" s="15"/>
      <c r="D1749" s="15"/>
      <c r="E1749" s="15"/>
      <c r="F1749" s="15"/>
      <c r="G1749" s="36" t="str">
        <f t="array" ref="G1749">IF($F1749="","",IFERROR(INDEX(Config!$E:$E,MATCH($F1749,Config!$D:$D,0)),0))</f>
        <v/>
      </c>
      <c r="H1749" s="16"/>
      <c r="I1749" s="36" t="str">
        <f t="shared" si="1"/>
        <v/>
      </c>
      <c r="J1749" s="16"/>
      <c r="K1749" s="15"/>
      <c r="L1749" s="15"/>
      <c r="M1749" s="36" t="str">
        <f t="array" ref="M1749">IF($A1749="","",IF($L1749="Atendido",IFERROR($I1749*INDEX(Config!$B:$B,MATCH($C1749,Config!$A:$A,0)),0),0))</f>
        <v/>
      </c>
      <c r="N1749" s="36" t="str">
        <f t="shared" si="2"/>
        <v/>
      </c>
      <c r="O1749" s="36" t="str">
        <f t="shared" si="3"/>
        <v/>
      </c>
      <c r="P1749" s="15"/>
      <c r="Q1749" s="37" t="str">
        <f t="shared" si="4"/>
        <v/>
      </c>
      <c r="R1749" s="37" t="str">
        <f t="shared" si="5"/>
        <v/>
      </c>
      <c r="S1749" s="32" t="str">
        <f t="shared" si="6"/>
        <v/>
      </c>
      <c r="T1749" s="37" t="str">
        <f t="shared" si="7"/>
        <v/>
      </c>
      <c r="U1749" s="37" t="str">
        <f t="array" ref="U1749">IF($F1749="","",IFERROR(INDEX(Config!$F:$F,MATCH($F1749,Config!$D:$D,0)),0))</f>
        <v/>
      </c>
    </row>
    <row r="1750" ht="15.0" customHeight="1">
      <c r="A1750" s="34"/>
      <c r="B1750" s="35"/>
      <c r="C1750" s="15"/>
      <c r="D1750" s="15"/>
      <c r="E1750" s="15"/>
      <c r="F1750" s="15"/>
      <c r="G1750" s="36" t="str">
        <f t="array" ref="G1750">IF($F1750="","",IFERROR(INDEX(Config!$E:$E,MATCH($F1750,Config!$D:$D,0)),0))</f>
        <v/>
      </c>
      <c r="H1750" s="16"/>
      <c r="I1750" s="36" t="str">
        <f t="shared" si="1"/>
        <v/>
      </c>
      <c r="J1750" s="16"/>
      <c r="K1750" s="15"/>
      <c r="L1750" s="15"/>
      <c r="M1750" s="36" t="str">
        <f t="array" ref="M1750">IF($A1750="","",IF($L1750="Atendido",IFERROR($I1750*INDEX(Config!$B:$B,MATCH($C1750,Config!$A:$A,0)),0),0))</f>
        <v/>
      </c>
      <c r="N1750" s="36" t="str">
        <f t="shared" si="2"/>
        <v/>
      </c>
      <c r="O1750" s="36" t="str">
        <f t="shared" si="3"/>
        <v/>
      </c>
      <c r="P1750" s="15"/>
      <c r="Q1750" s="37" t="str">
        <f t="shared" si="4"/>
        <v/>
      </c>
      <c r="R1750" s="37" t="str">
        <f t="shared" si="5"/>
        <v/>
      </c>
      <c r="S1750" s="32" t="str">
        <f t="shared" si="6"/>
        <v/>
      </c>
      <c r="T1750" s="37" t="str">
        <f t="shared" si="7"/>
        <v/>
      </c>
      <c r="U1750" s="37" t="str">
        <f t="array" ref="U1750">IF($F1750="","",IFERROR(INDEX(Config!$F:$F,MATCH($F1750,Config!$D:$D,0)),0))</f>
        <v/>
      </c>
    </row>
    <row r="1751" ht="15.0" customHeight="1">
      <c r="A1751" s="34"/>
      <c r="B1751" s="35"/>
      <c r="C1751" s="15"/>
      <c r="D1751" s="15"/>
      <c r="E1751" s="15"/>
      <c r="F1751" s="15"/>
      <c r="G1751" s="36" t="str">
        <f t="array" ref="G1751">IF($F1751="","",IFERROR(INDEX(Config!$E:$E,MATCH($F1751,Config!$D:$D,0)),0))</f>
        <v/>
      </c>
      <c r="H1751" s="16"/>
      <c r="I1751" s="36" t="str">
        <f t="shared" si="1"/>
        <v/>
      </c>
      <c r="J1751" s="16"/>
      <c r="K1751" s="15"/>
      <c r="L1751" s="15"/>
      <c r="M1751" s="36" t="str">
        <f t="array" ref="M1751">IF($A1751="","",IF($L1751="Atendido",IFERROR($I1751*INDEX(Config!$B:$B,MATCH($C1751,Config!$A:$A,0)),0),0))</f>
        <v/>
      </c>
      <c r="N1751" s="36" t="str">
        <f t="shared" si="2"/>
        <v/>
      </c>
      <c r="O1751" s="36" t="str">
        <f t="shared" si="3"/>
        <v/>
      </c>
      <c r="P1751" s="15"/>
      <c r="Q1751" s="37" t="str">
        <f t="shared" si="4"/>
        <v/>
      </c>
      <c r="R1751" s="37" t="str">
        <f t="shared" si="5"/>
        <v/>
      </c>
      <c r="S1751" s="32" t="str">
        <f t="shared" si="6"/>
        <v/>
      </c>
      <c r="T1751" s="37" t="str">
        <f t="shared" si="7"/>
        <v/>
      </c>
      <c r="U1751" s="37" t="str">
        <f t="array" ref="U1751">IF($F1751="","",IFERROR(INDEX(Config!$F:$F,MATCH($F1751,Config!$D:$D,0)),0))</f>
        <v/>
      </c>
    </row>
    <row r="1752" ht="15.0" customHeight="1">
      <c r="A1752" s="34"/>
      <c r="B1752" s="35"/>
      <c r="C1752" s="15"/>
      <c r="D1752" s="15"/>
      <c r="E1752" s="15"/>
      <c r="F1752" s="15"/>
      <c r="G1752" s="36" t="str">
        <f t="array" ref="G1752">IF($F1752="","",IFERROR(INDEX(Config!$E:$E,MATCH($F1752,Config!$D:$D,0)),0))</f>
        <v/>
      </c>
      <c r="H1752" s="16"/>
      <c r="I1752" s="36" t="str">
        <f t="shared" si="1"/>
        <v/>
      </c>
      <c r="J1752" s="16"/>
      <c r="K1752" s="15"/>
      <c r="L1752" s="15"/>
      <c r="M1752" s="36" t="str">
        <f t="array" ref="M1752">IF($A1752="","",IF($L1752="Atendido",IFERROR($I1752*INDEX(Config!$B:$B,MATCH($C1752,Config!$A:$A,0)),0),0))</f>
        <v/>
      </c>
      <c r="N1752" s="36" t="str">
        <f t="shared" si="2"/>
        <v/>
      </c>
      <c r="O1752" s="36" t="str">
        <f t="shared" si="3"/>
        <v/>
      </c>
      <c r="P1752" s="15"/>
      <c r="Q1752" s="37" t="str">
        <f t="shared" si="4"/>
        <v/>
      </c>
      <c r="R1752" s="37" t="str">
        <f t="shared" si="5"/>
        <v/>
      </c>
      <c r="S1752" s="32" t="str">
        <f t="shared" si="6"/>
        <v/>
      </c>
      <c r="T1752" s="37" t="str">
        <f t="shared" si="7"/>
        <v/>
      </c>
      <c r="U1752" s="37" t="str">
        <f t="array" ref="U1752">IF($F1752="","",IFERROR(INDEX(Config!$F:$F,MATCH($F1752,Config!$D:$D,0)),0))</f>
        <v/>
      </c>
    </row>
    <row r="1753" ht="15.0" customHeight="1">
      <c r="A1753" s="34"/>
      <c r="B1753" s="35"/>
      <c r="C1753" s="15"/>
      <c r="D1753" s="15"/>
      <c r="E1753" s="15"/>
      <c r="F1753" s="15"/>
      <c r="G1753" s="36" t="str">
        <f t="array" ref="G1753">IF($F1753="","",IFERROR(INDEX(Config!$E:$E,MATCH($F1753,Config!$D:$D,0)),0))</f>
        <v/>
      </c>
      <c r="H1753" s="16"/>
      <c r="I1753" s="36" t="str">
        <f t="shared" si="1"/>
        <v/>
      </c>
      <c r="J1753" s="16"/>
      <c r="K1753" s="15"/>
      <c r="L1753" s="15"/>
      <c r="M1753" s="36" t="str">
        <f t="array" ref="M1753">IF($A1753="","",IF($L1753="Atendido",IFERROR($I1753*INDEX(Config!$B:$B,MATCH($C1753,Config!$A:$A,0)),0),0))</f>
        <v/>
      </c>
      <c r="N1753" s="36" t="str">
        <f t="shared" si="2"/>
        <v/>
      </c>
      <c r="O1753" s="36" t="str">
        <f t="shared" si="3"/>
        <v/>
      </c>
      <c r="P1753" s="15"/>
      <c r="Q1753" s="37" t="str">
        <f t="shared" si="4"/>
        <v/>
      </c>
      <c r="R1753" s="37" t="str">
        <f t="shared" si="5"/>
        <v/>
      </c>
      <c r="S1753" s="32" t="str">
        <f t="shared" si="6"/>
        <v/>
      </c>
      <c r="T1753" s="37" t="str">
        <f t="shared" si="7"/>
        <v/>
      </c>
      <c r="U1753" s="37" t="str">
        <f t="array" ref="U1753">IF($F1753="","",IFERROR(INDEX(Config!$F:$F,MATCH($F1753,Config!$D:$D,0)),0))</f>
        <v/>
      </c>
    </row>
    <row r="1754" ht="15.0" customHeight="1">
      <c r="A1754" s="34"/>
      <c r="B1754" s="35"/>
      <c r="C1754" s="15"/>
      <c r="D1754" s="15"/>
      <c r="E1754" s="15"/>
      <c r="F1754" s="15"/>
      <c r="G1754" s="36" t="str">
        <f t="array" ref="G1754">IF($F1754="","",IFERROR(INDEX(Config!$E:$E,MATCH($F1754,Config!$D:$D,0)),0))</f>
        <v/>
      </c>
      <c r="H1754" s="16"/>
      <c r="I1754" s="36" t="str">
        <f t="shared" si="1"/>
        <v/>
      </c>
      <c r="J1754" s="16"/>
      <c r="K1754" s="15"/>
      <c r="L1754" s="15"/>
      <c r="M1754" s="36" t="str">
        <f t="array" ref="M1754">IF($A1754="","",IF($L1754="Atendido",IFERROR($I1754*INDEX(Config!$B:$B,MATCH($C1754,Config!$A:$A,0)),0),0))</f>
        <v/>
      </c>
      <c r="N1754" s="36" t="str">
        <f t="shared" si="2"/>
        <v/>
      </c>
      <c r="O1754" s="36" t="str">
        <f t="shared" si="3"/>
        <v/>
      </c>
      <c r="P1754" s="15"/>
      <c r="Q1754" s="37" t="str">
        <f t="shared" si="4"/>
        <v/>
      </c>
      <c r="R1754" s="37" t="str">
        <f t="shared" si="5"/>
        <v/>
      </c>
      <c r="S1754" s="32" t="str">
        <f t="shared" si="6"/>
        <v/>
      </c>
      <c r="T1754" s="37" t="str">
        <f t="shared" si="7"/>
        <v/>
      </c>
      <c r="U1754" s="37" t="str">
        <f t="array" ref="U1754">IF($F1754="","",IFERROR(INDEX(Config!$F:$F,MATCH($F1754,Config!$D:$D,0)),0))</f>
        <v/>
      </c>
    </row>
    <row r="1755" ht="15.0" customHeight="1">
      <c r="A1755" s="34"/>
      <c r="B1755" s="35"/>
      <c r="C1755" s="15"/>
      <c r="D1755" s="15"/>
      <c r="E1755" s="15"/>
      <c r="F1755" s="15"/>
      <c r="G1755" s="36" t="str">
        <f t="array" ref="G1755">IF($F1755="","",IFERROR(INDEX(Config!$E:$E,MATCH($F1755,Config!$D:$D,0)),0))</f>
        <v/>
      </c>
      <c r="H1755" s="16"/>
      <c r="I1755" s="36" t="str">
        <f t="shared" si="1"/>
        <v/>
      </c>
      <c r="J1755" s="16"/>
      <c r="K1755" s="15"/>
      <c r="L1755" s="15"/>
      <c r="M1755" s="36" t="str">
        <f t="array" ref="M1755">IF($A1755="","",IF($L1755="Atendido",IFERROR($I1755*INDEX(Config!$B:$B,MATCH($C1755,Config!$A:$A,0)),0),0))</f>
        <v/>
      </c>
      <c r="N1755" s="36" t="str">
        <f t="shared" si="2"/>
        <v/>
      </c>
      <c r="O1755" s="36" t="str">
        <f t="shared" si="3"/>
        <v/>
      </c>
      <c r="P1755" s="15"/>
      <c r="Q1755" s="37" t="str">
        <f t="shared" si="4"/>
        <v/>
      </c>
      <c r="R1755" s="37" t="str">
        <f t="shared" si="5"/>
        <v/>
      </c>
      <c r="S1755" s="32" t="str">
        <f t="shared" si="6"/>
        <v/>
      </c>
      <c r="T1755" s="37" t="str">
        <f t="shared" si="7"/>
        <v/>
      </c>
      <c r="U1755" s="37" t="str">
        <f t="array" ref="U1755">IF($F1755="","",IFERROR(INDEX(Config!$F:$F,MATCH($F1755,Config!$D:$D,0)),0))</f>
        <v/>
      </c>
    </row>
    <row r="1756" ht="15.0" customHeight="1">
      <c r="A1756" s="34"/>
      <c r="B1756" s="35"/>
      <c r="C1756" s="15"/>
      <c r="D1756" s="15"/>
      <c r="E1756" s="15"/>
      <c r="F1756" s="15"/>
      <c r="G1756" s="36" t="str">
        <f t="array" ref="G1756">IF($F1756="","",IFERROR(INDEX(Config!$E:$E,MATCH($F1756,Config!$D:$D,0)),0))</f>
        <v/>
      </c>
      <c r="H1756" s="16"/>
      <c r="I1756" s="36" t="str">
        <f t="shared" si="1"/>
        <v/>
      </c>
      <c r="J1756" s="16"/>
      <c r="K1756" s="15"/>
      <c r="L1756" s="15"/>
      <c r="M1756" s="36" t="str">
        <f t="array" ref="M1756">IF($A1756="","",IF($L1756="Atendido",IFERROR($I1756*INDEX(Config!$B:$B,MATCH($C1756,Config!$A:$A,0)),0),0))</f>
        <v/>
      </c>
      <c r="N1756" s="36" t="str">
        <f t="shared" si="2"/>
        <v/>
      </c>
      <c r="O1756" s="36" t="str">
        <f t="shared" si="3"/>
        <v/>
      </c>
      <c r="P1756" s="15"/>
      <c r="Q1756" s="37" t="str">
        <f t="shared" si="4"/>
        <v/>
      </c>
      <c r="R1756" s="37" t="str">
        <f t="shared" si="5"/>
        <v/>
      </c>
      <c r="S1756" s="32" t="str">
        <f t="shared" si="6"/>
        <v/>
      </c>
      <c r="T1756" s="37" t="str">
        <f t="shared" si="7"/>
        <v/>
      </c>
      <c r="U1756" s="37" t="str">
        <f t="array" ref="U1756">IF($F1756="","",IFERROR(INDEX(Config!$F:$F,MATCH($F1756,Config!$D:$D,0)),0))</f>
        <v/>
      </c>
    </row>
    <row r="1757" ht="15.0" customHeight="1">
      <c r="A1757" s="34"/>
      <c r="B1757" s="35"/>
      <c r="C1757" s="15"/>
      <c r="D1757" s="15"/>
      <c r="E1757" s="15"/>
      <c r="F1757" s="15"/>
      <c r="G1757" s="36" t="str">
        <f t="array" ref="G1757">IF($F1757="","",IFERROR(INDEX(Config!$E:$E,MATCH($F1757,Config!$D:$D,0)),0))</f>
        <v/>
      </c>
      <c r="H1757" s="16"/>
      <c r="I1757" s="36" t="str">
        <f t="shared" si="1"/>
        <v/>
      </c>
      <c r="J1757" s="16"/>
      <c r="K1757" s="15"/>
      <c r="L1757" s="15"/>
      <c r="M1757" s="36" t="str">
        <f t="array" ref="M1757">IF($A1757="","",IF($L1757="Atendido",IFERROR($I1757*INDEX(Config!$B:$B,MATCH($C1757,Config!$A:$A,0)),0),0))</f>
        <v/>
      </c>
      <c r="N1757" s="36" t="str">
        <f t="shared" si="2"/>
        <v/>
      </c>
      <c r="O1757" s="36" t="str">
        <f t="shared" si="3"/>
        <v/>
      </c>
      <c r="P1757" s="15"/>
      <c r="Q1757" s="37" t="str">
        <f t="shared" si="4"/>
        <v/>
      </c>
      <c r="R1757" s="37" t="str">
        <f t="shared" si="5"/>
        <v/>
      </c>
      <c r="S1757" s="32" t="str">
        <f t="shared" si="6"/>
        <v/>
      </c>
      <c r="T1757" s="37" t="str">
        <f t="shared" si="7"/>
        <v/>
      </c>
      <c r="U1757" s="37" t="str">
        <f t="array" ref="U1757">IF($F1757="","",IFERROR(INDEX(Config!$F:$F,MATCH($F1757,Config!$D:$D,0)),0))</f>
        <v/>
      </c>
    </row>
    <row r="1758" ht="15.0" customHeight="1">
      <c r="A1758" s="34"/>
      <c r="B1758" s="35"/>
      <c r="C1758" s="15"/>
      <c r="D1758" s="15"/>
      <c r="E1758" s="15"/>
      <c r="F1758" s="15"/>
      <c r="G1758" s="36" t="str">
        <f t="array" ref="G1758">IF($F1758="","",IFERROR(INDEX(Config!$E:$E,MATCH($F1758,Config!$D:$D,0)),0))</f>
        <v/>
      </c>
      <c r="H1758" s="16"/>
      <c r="I1758" s="36" t="str">
        <f t="shared" si="1"/>
        <v/>
      </c>
      <c r="J1758" s="16"/>
      <c r="K1758" s="15"/>
      <c r="L1758" s="15"/>
      <c r="M1758" s="36" t="str">
        <f t="array" ref="M1758">IF($A1758="","",IF($L1758="Atendido",IFERROR($I1758*INDEX(Config!$B:$B,MATCH($C1758,Config!$A:$A,0)),0),0))</f>
        <v/>
      </c>
      <c r="N1758" s="36" t="str">
        <f t="shared" si="2"/>
        <v/>
      </c>
      <c r="O1758" s="36" t="str">
        <f t="shared" si="3"/>
        <v/>
      </c>
      <c r="P1758" s="15"/>
      <c r="Q1758" s="37" t="str">
        <f t="shared" si="4"/>
        <v/>
      </c>
      <c r="R1758" s="37" t="str">
        <f t="shared" si="5"/>
        <v/>
      </c>
      <c r="S1758" s="32" t="str">
        <f t="shared" si="6"/>
        <v/>
      </c>
      <c r="T1758" s="37" t="str">
        <f t="shared" si="7"/>
        <v/>
      </c>
      <c r="U1758" s="37" t="str">
        <f t="array" ref="U1758">IF($F1758="","",IFERROR(INDEX(Config!$F:$F,MATCH($F1758,Config!$D:$D,0)),0))</f>
        <v/>
      </c>
    </row>
    <row r="1759" ht="15.0" customHeight="1">
      <c r="A1759" s="34"/>
      <c r="B1759" s="35"/>
      <c r="C1759" s="15"/>
      <c r="D1759" s="15"/>
      <c r="E1759" s="15"/>
      <c r="F1759" s="15"/>
      <c r="G1759" s="36" t="str">
        <f t="array" ref="G1759">IF($F1759="","",IFERROR(INDEX(Config!$E:$E,MATCH($F1759,Config!$D:$D,0)),0))</f>
        <v/>
      </c>
      <c r="H1759" s="16"/>
      <c r="I1759" s="36" t="str">
        <f t="shared" si="1"/>
        <v/>
      </c>
      <c r="J1759" s="16"/>
      <c r="K1759" s="15"/>
      <c r="L1759" s="15"/>
      <c r="M1759" s="36" t="str">
        <f t="array" ref="M1759">IF($A1759="","",IF($L1759="Atendido",IFERROR($I1759*INDEX(Config!$B:$B,MATCH($C1759,Config!$A:$A,0)),0),0))</f>
        <v/>
      </c>
      <c r="N1759" s="36" t="str">
        <f t="shared" si="2"/>
        <v/>
      </c>
      <c r="O1759" s="36" t="str">
        <f t="shared" si="3"/>
        <v/>
      </c>
      <c r="P1759" s="15"/>
      <c r="Q1759" s="37" t="str">
        <f t="shared" si="4"/>
        <v/>
      </c>
      <c r="R1759" s="37" t="str">
        <f t="shared" si="5"/>
        <v/>
      </c>
      <c r="S1759" s="32" t="str">
        <f t="shared" si="6"/>
        <v/>
      </c>
      <c r="T1759" s="37" t="str">
        <f t="shared" si="7"/>
        <v/>
      </c>
      <c r="U1759" s="37" t="str">
        <f t="array" ref="U1759">IF($F1759="","",IFERROR(INDEX(Config!$F:$F,MATCH($F1759,Config!$D:$D,0)),0))</f>
        <v/>
      </c>
    </row>
    <row r="1760" ht="15.0" customHeight="1">
      <c r="A1760" s="34"/>
      <c r="B1760" s="35"/>
      <c r="C1760" s="15"/>
      <c r="D1760" s="15"/>
      <c r="E1760" s="15"/>
      <c r="F1760" s="15"/>
      <c r="G1760" s="36" t="str">
        <f t="array" ref="G1760">IF($F1760="","",IFERROR(INDEX(Config!$E:$E,MATCH($F1760,Config!$D:$D,0)),0))</f>
        <v/>
      </c>
      <c r="H1760" s="16"/>
      <c r="I1760" s="36" t="str">
        <f t="shared" si="1"/>
        <v/>
      </c>
      <c r="J1760" s="16"/>
      <c r="K1760" s="15"/>
      <c r="L1760" s="15"/>
      <c r="M1760" s="36" t="str">
        <f t="array" ref="M1760">IF($A1760="","",IF($L1760="Atendido",IFERROR($I1760*INDEX(Config!$B:$B,MATCH($C1760,Config!$A:$A,0)),0),0))</f>
        <v/>
      </c>
      <c r="N1760" s="36" t="str">
        <f t="shared" si="2"/>
        <v/>
      </c>
      <c r="O1760" s="36" t="str">
        <f t="shared" si="3"/>
        <v/>
      </c>
      <c r="P1760" s="15"/>
      <c r="Q1760" s="37" t="str">
        <f t="shared" si="4"/>
        <v/>
      </c>
      <c r="R1760" s="37" t="str">
        <f t="shared" si="5"/>
        <v/>
      </c>
      <c r="S1760" s="32" t="str">
        <f t="shared" si="6"/>
        <v/>
      </c>
      <c r="T1760" s="37" t="str">
        <f t="shared" si="7"/>
        <v/>
      </c>
      <c r="U1760" s="37" t="str">
        <f t="array" ref="U1760">IF($F1760="","",IFERROR(INDEX(Config!$F:$F,MATCH($F1760,Config!$D:$D,0)),0))</f>
        <v/>
      </c>
    </row>
    <row r="1761" ht="15.0" customHeight="1">
      <c r="A1761" s="34"/>
      <c r="B1761" s="35"/>
      <c r="C1761" s="15"/>
      <c r="D1761" s="15"/>
      <c r="E1761" s="15"/>
      <c r="F1761" s="15"/>
      <c r="G1761" s="36" t="str">
        <f t="array" ref="G1761">IF($F1761="","",IFERROR(INDEX(Config!$E:$E,MATCH($F1761,Config!$D:$D,0)),0))</f>
        <v/>
      </c>
      <c r="H1761" s="16"/>
      <c r="I1761" s="36" t="str">
        <f t="shared" si="1"/>
        <v/>
      </c>
      <c r="J1761" s="16"/>
      <c r="K1761" s="15"/>
      <c r="L1761" s="15"/>
      <c r="M1761" s="36" t="str">
        <f t="array" ref="M1761">IF($A1761="","",IF($L1761="Atendido",IFERROR($I1761*INDEX(Config!$B:$B,MATCH($C1761,Config!$A:$A,0)),0),0))</f>
        <v/>
      </c>
      <c r="N1761" s="36" t="str">
        <f t="shared" si="2"/>
        <v/>
      </c>
      <c r="O1761" s="36" t="str">
        <f t="shared" si="3"/>
        <v/>
      </c>
      <c r="P1761" s="15"/>
      <c r="Q1761" s="37" t="str">
        <f t="shared" si="4"/>
        <v/>
      </c>
      <c r="R1761" s="37" t="str">
        <f t="shared" si="5"/>
        <v/>
      </c>
      <c r="S1761" s="32" t="str">
        <f t="shared" si="6"/>
        <v/>
      </c>
      <c r="T1761" s="37" t="str">
        <f t="shared" si="7"/>
        <v/>
      </c>
      <c r="U1761" s="37" t="str">
        <f t="array" ref="U1761">IF($F1761="","",IFERROR(INDEX(Config!$F:$F,MATCH($F1761,Config!$D:$D,0)),0))</f>
        <v/>
      </c>
    </row>
    <row r="1762" ht="15.0" customHeight="1">
      <c r="A1762" s="34"/>
      <c r="B1762" s="35"/>
      <c r="C1762" s="15"/>
      <c r="D1762" s="15"/>
      <c r="E1762" s="15"/>
      <c r="F1762" s="15"/>
      <c r="G1762" s="36" t="str">
        <f t="array" ref="G1762">IF($F1762="","",IFERROR(INDEX(Config!$E:$E,MATCH($F1762,Config!$D:$D,0)),0))</f>
        <v/>
      </c>
      <c r="H1762" s="16"/>
      <c r="I1762" s="36" t="str">
        <f t="shared" si="1"/>
        <v/>
      </c>
      <c r="J1762" s="16"/>
      <c r="K1762" s="15"/>
      <c r="L1762" s="15"/>
      <c r="M1762" s="36" t="str">
        <f t="array" ref="M1762">IF($A1762="","",IF($L1762="Atendido",IFERROR($I1762*INDEX(Config!$B:$B,MATCH($C1762,Config!$A:$A,0)),0),0))</f>
        <v/>
      </c>
      <c r="N1762" s="36" t="str">
        <f t="shared" si="2"/>
        <v/>
      </c>
      <c r="O1762" s="36" t="str">
        <f t="shared" si="3"/>
        <v/>
      </c>
      <c r="P1762" s="15"/>
      <c r="Q1762" s="37" t="str">
        <f t="shared" si="4"/>
        <v/>
      </c>
      <c r="R1762" s="37" t="str">
        <f t="shared" si="5"/>
        <v/>
      </c>
      <c r="S1762" s="32" t="str">
        <f t="shared" si="6"/>
        <v/>
      </c>
      <c r="T1762" s="37" t="str">
        <f t="shared" si="7"/>
        <v/>
      </c>
      <c r="U1762" s="37" t="str">
        <f t="array" ref="U1762">IF($F1762="","",IFERROR(INDEX(Config!$F:$F,MATCH($F1762,Config!$D:$D,0)),0))</f>
        <v/>
      </c>
    </row>
    <row r="1763" ht="15.0" customHeight="1">
      <c r="A1763" s="34"/>
      <c r="B1763" s="35"/>
      <c r="C1763" s="15"/>
      <c r="D1763" s="15"/>
      <c r="E1763" s="15"/>
      <c r="F1763" s="15"/>
      <c r="G1763" s="36" t="str">
        <f t="array" ref="G1763">IF($F1763="","",IFERROR(INDEX(Config!$E:$E,MATCH($F1763,Config!$D:$D,0)),0))</f>
        <v/>
      </c>
      <c r="H1763" s="16"/>
      <c r="I1763" s="36" t="str">
        <f t="shared" si="1"/>
        <v/>
      </c>
      <c r="J1763" s="16"/>
      <c r="K1763" s="15"/>
      <c r="L1763" s="15"/>
      <c r="M1763" s="36" t="str">
        <f t="array" ref="M1763">IF($A1763="","",IF($L1763="Atendido",IFERROR($I1763*INDEX(Config!$B:$B,MATCH($C1763,Config!$A:$A,0)),0),0))</f>
        <v/>
      </c>
      <c r="N1763" s="36" t="str">
        <f t="shared" si="2"/>
        <v/>
      </c>
      <c r="O1763" s="36" t="str">
        <f t="shared" si="3"/>
        <v/>
      </c>
      <c r="P1763" s="15"/>
      <c r="Q1763" s="37" t="str">
        <f t="shared" si="4"/>
        <v/>
      </c>
      <c r="R1763" s="37" t="str">
        <f t="shared" si="5"/>
        <v/>
      </c>
      <c r="S1763" s="32" t="str">
        <f t="shared" si="6"/>
        <v/>
      </c>
      <c r="T1763" s="37" t="str">
        <f t="shared" si="7"/>
        <v/>
      </c>
      <c r="U1763" s="37" t="str">
        <f t="array" ref="U1763">IF($F1763="","",IFERROR(INDEX(Config!$F:$F,MATCH($F1763,Config!$D:$D,0)),0))</f>
        <v/>
      </c>
    </row>
    <row r="1764" ht="15.0" customHeight="1">
      <c r="A1764" s="34"/>
      <c r="B1764" s="35"/>
      <c r="C1764" s="15"/>
      <c r="D1764" s="15"/>
      <c r="E1764" s="15"/>
      <c r="F1764" s="15"/>
      <c r="G1764" s="36" t="str">
        <f t="array" ref="G1764">IF($F1764="","",IFERROR(INDEX(Config!$E:$E,MATCH($F1764,Config!$D:$D,0)),0))</f>
        <v/>
      </c>
      <c r="H1764" s="16"/>
      <c r="I1764" s="36" t="str">
        <f t="shared" si="1"/>
        <v/>
      </c>
      <c r="J1764" s="16"/>
      <c r="K1764" s="15"/>
      <c r="L1764" s="15"/>
      <c r="M1764" s="36" t="str">
        <f t="array" ref="M1764">IF($A1764="","",IF($L1764="Atendido",IFERROR($I1764*INDEX(Config!$B:$B,MATCH($C1764,Config!$A:$A,0)),0),0))</f>
        <v/>
      </c>
      <c r="N1764" s="36" t="str">
        <f t="shared" si="2"/>
        <v/>
      </c>
      <c r="O1764" s="36" t="str">
        <f t="shared" si="3"/>
        <v/>
      </c>
      <c r="P1764" s="15"/>
      <c r="Q1764" s="37" t="str">
        <f t="shared" si="4"/>
        <v/>
      </c>
      <c r="R1764" s="37" t="str">
        <f t="shared" si="5"/>
        <v/>
      </c>
      <c r="S1764" s="32" t="str">
        <f t="shared" si="6"/>
        <v/>
      </c>
      <c r="T1764" s="37" t="str">
        <f t="shared" si="7"/>
        <v/>
      </c>
      <c r="U1764" s="37" t="str">
        <f t="array" ref="U1764">IF($F1764="","",IFERROR(INDEX(Config!$F:$F,MATCH($F1764,Config!$D:$D,0)),0))</f>
        <v/>
      </c>
    </row>
    <row r="1765" ht="15.0" customHeight="1">
      <c r="A1765" s="34"/>
      <c r="B1765" s="35"/>
      <c r="C1765" s="15"/>
      <c r="D1765" s="15"/>
      <c r="E1765" s="15"/>
      <c r="F1765" s="15"/>
      <c r="G1765" s="36" t="str">
        <f t="array" ref="G1765">IF($F1765="","",IFERROR(INDEX(Config!$E:$E,MATCH($F1765,Config!$D:$D,0)),0))</f>
        <v/>
      </c>
      <c r="H1765" s="16"/>
      <c r="I1765" s="36" t="str">
        <f t="shared" si="1"/>
        <v/>
      </c>
      <c r="J1765" s="16"/>
      <c r="K1765" s="15"/>
      <c r="L1765" s="15"/>
      <c r="M1765" s="36" t="str">
        <f t="array" ref="M1765">IF($A1765="","",IF($L1765="Atendido",IFERROR($I1765*INDEX(Config!$B:$B,MATCH($C1765,Config!$A:$A,0)),0),0))</f>
        <v/>
      </c>
      <c r="N1765" s="36" t="str">
        <f t="shared" si="2"/>
        <v/>
      </c>
      <c r="O1765" s="36" t="str">
        <f t="shared" si="3"/>
        <v/>
      </c>
      <c r="P1765" s="15"/>
      <c r="Q1765" s="37" t="str">
        <f t="shared" si="4"/>
        <v/>
      </c>
      <c r="R1765" s="37" t="str">
        <f t="shared" si="5"/>
        <v/>
      </c>
      <c r="S1765" s="32" t="str">
        <f t="shared" si="6"/>
        <v/>
      </c>
      <c r="T1765" s="37" t="str">
        <f t="shared" si="7"/>
        <v/>
      </c>
      <c r="U1765" s="37" t="str">
        <f t="array" ref="U1765">IF($F1765="","",IFERROR(INDEX(Config!$F:$F,MATCH($F1765,Config!$D:$D,0)),0))</f>
        <v/>
      </c>
    </row>
    <row r="1766" ht="15.0" customHeight="1">
      <c r="A1766" s="34"/>
      <c r="B1766" s="35"/>
      <c r="C1766" s="15"/>
      <c r="D1766" s="15"/>
      <c r="E1766" s="15"/>
      <c r="F1766" s="15"/>
      <c r="G1766" s="36" t="str">
        <f t="array" ref="G1766">IF($F1766="","",IFERROR(INDEX(Config!$E:$E,MATCH($F1766,Config!$D:$D,0)),0))</f>
        <v/>
      </c>
      <c r="H1766" s="16"/>
      <c r="I1766" s="36" t="str">
        <f t="shared" si="1"/>
        <v/>
      </c>
      <c r="J1766" s="16"/>
      <c r="K1766" s="15"/>
      <c r="L1766" s="15"/>
      <c r="M1766" s="36" t="str">
        <f t="array" ref="M1766">IF($A1766="","",IF($L1766="Atendido",IFERROR($I1766*INDEX(Config!$B:$B,MATCH($C1766,Config!$A:$A,0)),0),0))</f>
        <v/>
      </c>
      <c r="N1766" s="36" t="str">
        <f t="shared" si="2"/>
        <v/>
      </c>
      <c r="O1766" s="36" t="str">
        <f t="shared" si="3"/>
        <v/>
      </c>
      <c r="P1766" s="15"/>
      <c r="Q1766" s="37" t="str">
        <f t="shared" si="4"/>
        <v/>
      </c>
      <c r="R1766" s="37" t="str">
        <f t="shared" si="5"/>
        <v/>
      </c>
      <c r="S1766" s="32" t="str">
        <f t="shared" si="6"/>
        <v/>
      </c>
      <c r="T1766" s="37" t="str">
        <f t="shared" si="7"/>
        <v/>
      </c>
      <c r="U1766" s="37" t="str">
        <f t="array" ref="U1766">IF($F1766="","",IFERROR(INDEX(Config!$F:$F,MATCH($F1766,Config!$D:$D,0)),0))</f>
        <v/>
      </c>
    </row>
    <row r="1767" ht="15.0" customHeight="1">
      <c r="A1767" s="34"/>
      <c r="B1767" s="35"/>
      <c r="C1767" s="15"/>
      <c r="D1767" s="15"/>
      <c r="E1767" s="15"/>
      <c r="F1767" s="15"/>
      <c r="G1767" s="36" t="str">
        <f t="array" ref="G1767">IF($F1767="","",IFERROR(INDEX(Config!$E:$E,MATCH($F1767,Config!$D:$D,0)),0))</f>
        <v/>
      </c>
      <c r="H1767" s="16"/>
      <c r="I1767" s="36" t="str">
        <f t="shared" si="1"/>
        <v/>
      </c>
      <c r="J1767" s="16"/>
      <c r="K1767" s="15"/>
      <c r="L1767" s="15"/>
      <c r="M1767" s="36" t="str">
        <f t="array" ref="M1767">IF($A1767="","",IF($L1767="Atendido",IFERROR($I1767*INDEX(Config!$B:$B,MATCH($C1767,Config!$A:$A,0)),0),0))</f>
        <v/>
      </c>
      <c r="N1767" s="36" t="str">
        <f t="shared" si="2"/>
        <v/>
      </c>
      <c r="O1767" s="36" t="str">
        <f t="shared" si="3"/>
        <v/>
      </c>
      <c r="P1767" s="15"/>
      <c r="Q1767" s="37" t="str">
        <f t="shared" si="4"/>
        <v/>
      </c>
      <c r="R1767" s="37" t="str">
        <f t="shared" si="5"/>
        <v/>
      </c>
      <c r="S1767" s="32" t="str">
        <f t="shared" si="6"/>
        <v/>
      </c>
      <c r="T1767" s="37" t="str">
        <f t="shared" si="7"/>
        <v/>
      </c>
      <c r="U1767" s="37" t="str">
        <f t="array" ref="U1767">IF($F1767="","",IFERROR(INDEX(Config!$F:$F,MATCH($F1767,Config!$D:$D,0)),0))</f>
        <v/>
      </c>
    </row>
    <row r="1768" ht="15.0" customHeight="1">
      <c r="A1768" s="34"/>
      <c r="B1768" s="35"/>
      <c r="C1768" s="15"/>
      <c r="D1768" s="15"/>
      <c r="E1768" s="15"/>
      <c r="F1768" s="15"/>
      <c r="G1768" s="36" t="str">
        <f t="array" ref="G1768">IF($F1768="","",IFERROR(INDEX(Config!$E:$E,MATCH($F1768,Config!$D:$D,0)),0))</f>
        <v/>
      </c>
      <c r="H1768" s="16"/>
      <c r="I1768" s="36" t="str">
        <f t="shared" si="1"/>
        <v/>
      </c>
      <c r="J1768" s="16"/>
      <c r="K1768" s="15"/>
      <c r="L1768" s="15"/>
      <c r="M1768" s="36" t="str">
        <f t="array" ref="M1768">IF($A1768="","",IF($L1768="Atendido",IFERROR($I1768*INDEX(Config!$B:$B,MATCH($C1768,Config!$A:$A,0)),0),0))</f>
        <v/>
      </c>
      <c r="N1768" s="36" t="str">
        <f t="shared" si="2"/>
        <v/>
      </c>
      <c r="O1768" s="36" t="str">
        <f t="shared" si="3"/>
        <v/>
      </c>
      <c r="P1768" s="15"/>
      <c r="Q1768" s="37" t="str">
        <f t="shared" si="4"/>
        <v/>
      </c>
      <c r="R1768" s="37" t="str">
        <f t="shared" si="5"/>
        <v/>
      </c>
      <c r="S1768" s="32" t="str">
        <f t="shared" si="6"/>
        <v/>
      </c>
      <c r="T1768" s="37" t="str">
        <f t="shared" si="7"/>
        <v/>
      </c>
      <c r="U1768" s="37" t="str">
        <f t="array" ref="U1768">IF($F1768="","",IFERROR(INDEX(Config!$F:$F,MATCH($F1768,Config!$D:$D,0)),0))</f>
        <v/>
      </c>
    </row>
    <row r="1769" ht="15.0" customHeight="1">
      <c r="A1769" s="34"/>
      <c r="B1769" s="35"/>
      <c r="C1769" s="15"/>
      <c r="D1769" s="15"/>
      <c r="E1769" s="15"/>
      <c r="F1769" s="15"/>
      <c r="G1769" s="36" t="str">
        <f t="array" ref="G1769">IF($F1769="","",IFERROR(INDEX(Config!$E:$E,MATCH($F1769,Config!$D:$D,0)),0))</f>
        <v/>
      </c>
      <c r="H1769" s="16"/>
      <c r="I1769" s="36" t="str">
        <f t="shared" si="1"/>
        <v/>
      </c>
      <c r="J1769" s="16"/>
      <c r="K1769" s="15"/>
      <c r="L1769" s="15"/>
      <c r="M1769" s="36" t="str">
        <f t="array" ref="M1769">IF($A1769="","",IF($L1769="Atendido",IFERROR($I1769*INDEX(Config!$B:$B,MATCH($C1769,Config!$A:$A,0)),0),0))</f>
        <v/>
      </c>
      <c r="N1769" s="36" t="str">
        <f t="shared" si="2"/>
        <v/>
      </c>
      <c r="O1769" s="36" t="str">
        <f t="shared" si="3"/>
        <v/>
      </c>
      <c r="P1769" s="15"/>
      <c r="Q1769" s="37" t="str">
        <f t="shared" si="4"/>
        <v/>
      </c>
      <c r="R1769" s="37" t="str">
        <f t="shared" si="5"/>
        <v/>
      </c>
      <c r="S1769" s="32" t="str">
        <f t="shared" si="6"/>
        <v/>
      </c>
      <c r="T1769" s="37" t="str">
        <f t="shared" si="7"/>
        <v/>
      </c>
      <c r="U1769" s="37" t="str">
        <f t="array" ref="U1769">IF($F1769="","",IFERROR(INDEX(Config!$F:$F,MATCH($F1769,Config!$D:$D,0)),0))</f>
        <v/>
      </c>
    </row>
    <row r="1770" ht="15.0" customHeight="1">
      <c r="A1770" s="34"/>
      <c r="B1770" s="35"/>
      <c r="C1770" s="15"/>
      <c r="D1770" s="15"/>
      <c r="E1770" s="15"/>
      <c r="F1770" s="15"/>
      <c r="G1770" s="36" t="str">
        <f t="array" ref="G1770">IF($F1770="","",IFERROR(INDEX(Config!$E:$E,MATCH($F1770,Config!$D:$D,0)),0))</f>
        <v/>
      </c>
      <c r="H1770" s="16"/>
      <c r="I1770" s="36" t="str">
        <f t="shared" si="1"/>
        <v/>
      </c>
      <c r="J1770" s="16"/>
      <c r="K1770" s="15"/>
      <c r="L1770" s="15"/>
      <c r="M1770" s="36" t="str">
        <f t="array" ref="M1770">IF($A1770="","",IF($L1770="Atendido",IFERROR($I1770*INDEX(Config!$B:$B,MATCH($C1770,Config!$A:$A,0)),0),0))</f>
        <v/>
      </c>
      <c r="N1770" s="36" t="str">
        <f t="shared" si="2"/>
        <v/>
      </c>
      <c r="O1770" s="36" t="str">
        <f t="shared" si="3"/>
        <v/>
      </c>
      <c r="P1770" s="15"/>
      <c r="Q1770" s="37" t="str">
        <f t="shared" si="4"/>
        <v/>
      </c>
      <c r="R1770" s="37" t="str">
        <f t="shared" si="5"/>
        <v/>
      </c>
      <c r="S1770" s="32" t="str">
        <f t="shared" si="6"/>
        <v/>
      </c>
      <c r="T1770" s="37" t="str">
        <f t="shared" si="7"/>
        <v/>
      </c>
      <c r="U1770" s="37" t="str">
        <f t="array" ref="U1770">IF($F1770="","",IFERROR(INDEX(Config!$F:$F,MATCH($F1770,Config!$D:$D,0)),0))</f>
        <v/>
      </c>
    </row>
    <row r="1771" ht="15.0" customHeight="1">
      <c r="A1771" s="34"/>
      <c r="B1771" s="35"/>
      <c r="C1771" s="15"/>
      <c r="D1771" s="15"/>
      <c r="E1771" s="15"/>
      <c r="F1771" s="15"/>
      <c r="G1771" s="36" t="str">
        <f t="array" ref="G1771">IF($F1771="","",IFERROR(INDEX(Config!$E:$E,MATCH($F1771,Config!$D:$D,0)),0))</f>
        <v/>
      </c>
      <c r="H1771" s="16"/>
      <c r="I1771" s="36" t="str">
        <f t="shared" si="1"/>
        <v/>
      </c>
      <c r="J1771" s="16"/>
      <c r="K1771" s="15"/>
      <c r="L1771" s="15"/>
      <c r="M1771" s="36" t="str">
        <f t="array" ref="M1771">IF($A1771="","",IF($L1771="Atendido",IFERROR($I1771*INDEX(Config!$B:$B,MATCH($C1771,Config!$A:$A,0)),0),0))</f>
        <v/>
      </c>
      <c r="N1771" s="36" t="str">
        <f t="shared" si="2"/>
        <v/>
      </c>
      <c r="O1771" s="36" t="str">
        <f t="shared" si="3"/>
        <v/>
      </c>
      <c r="P1771" s="15"/>
      <c r="Q1771" s="37" t="str">
        <f t="shared" si="4"/>
        <v/>
      </c>
      <c r="R1771" s="37" t="str">
        <f t="shared" si="5"/>
        <v/>
      </c>
      <c r="S1771" s="32" t="str">
        <f t="shared" si="6"/>
        <v/>
      </c>
      <c r="T1771" s="37" t="str">
        <f t="shared" si="7"/>
        <v/>
      </c>
      <c r="U1771" s="37" t="str">
        <f t="array" ref="U1771">IF($F1771="","",IFERROR(INDEX(Config!$F:$F,MATCH($F1771,Config!$D:$D,0)),0))</f>
        <v/>
      </c>
    </row>
    <row r="1772" ht="15.0" customHeight="1">
      <c r="A1772" s="34"/>
      <c r="B1772" s="35"/>
      <c r="C1772" s="15"/>
      <c r="D1772" s="15"/>
      <c r="E1772" s="15"/>
      <c r="F1772" s="15"/>
      <c r="G1772" s="36" t="str">
        <f t="array" ref="G1772">IF($F1772="","",IFERROR(INDEX(Config!$E:$E,MATCH($F1772,Config!$D:$D,0)),0))</f>
        <v/>
      </c>
      <c r="H1772" s="16"/>
      <c r="I1772" s="36" t="str">
        <f t="shared" si="1"/>
        <v/>
      </c>
      <c r="J1772" s="16"/>
      <c r="K1772" s="15"/>
      <c r="L1772" s="15"/>
      <c r="M1772" s="36" t="str">
        <f t="array" ref="M1772">IF($A1772="","",IF($L1772="Atendido",IFERROR($I1772*INDEX(Config!$B:$B,MATCH($C1772,Config!$A:$A,0)),0),0))</f>
        <v/>
      </c>
      <c r="N1772" s="36" t="str">
        <f t="shared" si="2"/>
        <v/>
      </c>
      <c r="O1772" s="36" t="str">
        <f t="shared" si="3"/>
        <v/>
      </c>
      <c r="P1772" s="15"/>
      <c r="Q1772" s="37" t="str">
        <f t="shared" si="4"/>
        <v/>
      </c>
      <c r="R1772" s="37" t="str">
        <f t="shared" si="5"/>
        <v/>
      </c>
      <c r="S1772" s="32" t="str">
        <f t="shared" si="6"/>
        <v/>
      </c>
      <c r="T1772" s="37" t="str">
        <f t="shared" si="7"/>
        <v/>
      </c>
      <c r="U1772" s="37" t="str">
        <f t="array" ref="U1772">IF($F1772="","",IFERROR(INDEX(Config!$F:$F,MATCH($F1772,Config!$D:$D,0)),0))</f>
        <v/>
      </c>
    </row>
    <row r="1773" ht="15.0" customHeight="1">
      <c r="A1773" s="34"/>
      <c r="B1773" s="35"/>
      <c r="C1773" s="15"/>
      <c r="D1773" s="15"/>
      <c r="E1773" s="15"/>
      <c r="F1773" s="15"/>
      <c r="G1773" s="36" t="str">
        <f t="array" ref="G1773">IF($F1773="","",IFERROR(INDEX(Config!$E:$E,MATCH($F1773,Config!$D:$D,0)),0))</f>
        <v/>
      </c>
      <c r="H1773" s="16"/>
      <c r="I1773" s="36" t="str">
        <f t="shared" si="1"/>
        <v/>
      </c>
      <c r="J1773" s="16"/>
      <c r="K1773" s="15"/>
      <c r="L1773" s="15"/>
      <c r="M1773" s="36" t="str">
        <f t="array" ref="M1773">IF($A1773="","",IF($L1773="Atendido",IFERROR($I1773*INDEX(Config!$B:$B,MATCH($C1773,Config!$A:$A,0)),0),0))</f>
        <v/>
      </c>
      <c r="N1773" s="36" t="str">
        <f t="shared" si="2"/>
        <v/>
      </c>
      <c r="O1773" s="36" t="str">
        <f t="shared" si="3"/>
        <v/>
      </c>
      <c r="P1773" s="15"/>
      <c r="Q1773" s="37" t="str">
        <f t="shared" si="4"/>
        <v/>
      </c>
      <c r="R1773" s="37" t="str">
        <f t="shared" si="5"/>
        <v/>
      </c>
      <c r="S1773" s="32" t="str">
        <f t="shared" si="6"/>
        <v/>
      </c>
      <c r="T1773" s="37" t="str">
        <f t="shared" si="7"/>
        <v/>
      </c>
      <c r="U1773" s="37" t="str">
        <f t="array" ref="U1773">IF($F1773="","",IFERROR(INDEX(Config!$F:$F,MATCH($F1773,Config!$D:$D,0)),0))</f>
        <v/>
      </c>
    </row>
    <row r="1774" ht="15.0" customHeight="1">
      <c r="A1774" s="34"/>
      <c r="B1774" s="35"/>
      <c r="C1774" s="15"/>
      <c r="D1774" s="15"/>
      <c r="E1774" s="15"/>
      <c r="F1774" s="15"/>
      <c r="G1774" s="36" t="str">
        <f t="array" ref="G1774">IF($F1774="","",IFERROR(INDEX(Config!$E:$E,MATCH($F1774,Config!$D:$D,0)),0))</f>
        <v/>
      </c>
      <c r="H1774" s="16"/>
      <c r="I1774" s="36" t="str">
        <f t="shared" si="1"/>
        <v/>
      </c>
      <c r="J1774" s="16"/>
      <c r="K1774" s="15"/>
      <c r="L1774" s="15"/>
      <c r="M1774" s="36" t="str">
        <f t="array" ref="M1774">IF($A1774="","",IF($L1774="Atendido",IFERROR($I1774*INDEX(Config!$B:$B,MATCH($C1774,Config!$A:$A,0)),0),0))</f>
        <v/>
      </c>
      <c r="N1774" s="36" t="str">
        <f t="shared" si="2"/>
        <v/>
      </c>
      <c r="O1774" s="36" t="str">
        <f t="shared" si="3"/>
        <v/>
      </c>
      <c r="P1774" s="15"/>
      <c r="Q1774" s="37" t="str">
        <f t="shared" si="4"/>
        <v/>
      </c>
      <c r="R1774" s="37" t="str">
        <f t="shared" si="5"/>
        <v/>
      </c>
      <c r="S1774" s="32" t="str">
        <f t="shared" si="6"/>
        <v/>
      </c>
      <c r="T1774" s="37" t="str">
        <f t="shared" si="7"/>
        <v/>
      </c>
      <c r="U1774" s="37" t="str">
        <f t="array" ref="U1774">IF($F1774="","",IFERROR(INDEX(Config!$F:$F,MATCH($F1774,Config!$D:$D,0)),0))</f>
        <v/>
      </c>
    </row>
    <row r="1775" ht="15.0" customHeight="1">
      <c r="A1775" s="34"/>
      <c r="B1775" s="35"/>
      <c r="C1775" s="15"/>
      <c r="D1775" s="15"/>
      <c r="E1775" s="15"/>
      <c r="F1775" s="15"/>
      <c r="G1775" s="36" t="str">
        <f t="array" ref="G1775">IF($F1775="","",IFERROR(INDEX(Config!$E:$E,MATCH($F1775,Config!$D:$D,0)),0))</f>
        <v/>
      </c>
      <c r="H1775" s="16"/>
      <c r="I1775" s="36" t="str">
        <f t="shared" si="1"/>
        <v/>
      </c>
      <c r="J1775" s="16"/>
      <c r="K1775" s="15"/>
      <c r="L1775" s="15"/>
      <c r="M1775" s="36" t="str">
        <f t="array" ref="M1775">IF($A1775="","",IF($L1775="Atendido",IFERROR($I1775*INDEX(Config!$B:$B,MATCH($C1775,Config!$A:$A,0)),0),0))</f>
        <v/>
      </c>
      <c r="N1775" s="36" t="str">
        <f t="shared" si="2"/>
        <v/>
      </c>
      <c r="O1775" s="36" t="str">
        <f t="shared" si="3"/>
        <v/>
      </c>
      <c r="P1775" s="15"/>
      <c r="Q1775" s="37" t="str">
        <f t="shared" si="4"/>
        <v/>
      </c>
      <c r="R1775" s="37" t="str">
        <f t="shared" si="5"/>
        <v/>
      </c>
      <c r="S1775" s="32" t="str">
        <f t="shared" si="6"/>
        <v/>
      </c>
      <c r="T1775" s="37" t="str">
        <f t="shared" si="7"/>
        <v/>
      </c>
      <c r="U1775" s="37" t="str">
        <f t="array" ref="U1775">IF($F1775="","",IFERROR(INDEX(Config!$F:$F,MATCH($F1775,Config!$D:$D,0)),0))</f>
        <v/>
      </c>
    </row>
    <row r="1776" ht="15.0" customHeight="1">
      <c r="A1776" s="34"/>
      <c r="B1776" s="35"/>
      <c r="C1776" s="15"/>
      <c r="D1776" s="15"/>
      <c r="E1776" s="15"/>
      <c r="F1776" s="15"/>
      <c r="G1776" s="36" t="str">
        <f t="array" ref="G1776">IF($F1776="","",IFERROR(INDEX(Config!$E:$E,MATCH($F1776,Config!$D:$D,0)),0))</f>
        <v/>
      </c>
      <c r="H1776" s="16"/>
      <c r="I1776" s="36" t="str">
        <f t="shared" si="1"/>
        <v/>
      </c>
      <c r="J1776" s="16"/>
      <c r="K1776" s="15"/>
      <c r="L1776" s="15"/>
      <c r="M1776" s="36" t="str">
        <f t="array" ref="M1776">IF($A1776="","",IF($L1776="Atendido",IFERROR($I1776*INDEX(Config!$B:$B,MATCH($C1776,Config!$A:$A,0)),0),0))</f>
        <v/>
      </c>
      <c r="N1776" s="36" t="str">
        <f t="shared" si="2"/>
        <v/>
      </c>
      <c r="O1776" s="36" t="str">
        <f t="shared" si="3"/>
        <v/>
      </c>
      <c r="P1776" s="15"/>
      <c r="Q1776" s="37" t="str">
        <f t="shared" si="4"/>
        <v/>
      </c>
      <c r="R1776" s="37" t="str">
        <f t="shared" si="5"/>
        <v/>
      </c>
      <c r="S1776" s="32" t="str">
        <f t="shared" si="6"/>
        <v/>
      </c>
      <c r="T1776" s="37" t="str">
        <f t="shared" si="7"/>
        <v/>
      </c>
      <c r="U1776" s="37" t="str">
        <f t="array" ref="U1776">IF($F1776="","",IFERROR(INDEX(Config!$F:$F,MATCH($F1776,Config!$D:$D,0)),0))</f>
        <v/>
      </c>
    </row>
    <row r="1777" ht="15.0" customHeight="1">
      <c r="A1777" s="34"/>
      <c r="B1777" s="35"/>
      <c r="C1777" s="15"/>
      <c r="D1777" s="15"/>
      <c r="E1777" s="15"/>
      <c r="F1777" s="15"/>
      <c r="G1777" s="36" t="str">
        <f t="array" ref="G1777">IF($F1777="","",IFERROR(INDEX(Config!$E:$E,MATCH($F1777,Config!$D:$D,0)),0))</f>
        <v/>
      </c>
      <c r="H1777" s="16"/>
      <c r="I1777" s="36" t="str">
        <f t="shared" si="1"/>
        <v/>
      </c>
      <c r="J1777" s="16"/>
      <c r="K1777" s="15"/>
      <c r="L1777" s="15"/>
      <c r="M1777" s="36" t="str">
        <f t="array" ref="M1777">IF($A1777="","",IF($L1777="Atendido",IFERROR($I1777*INDEX(Config!$B:$B,MATCH($C1777,Config!$A:$A,0)),0),0))</f>
        <v/>
      </c>
      <c r="N1777" s="36" t="str">
        <f t="shared" si="2"/>
        <v/>
      </c>
      <c r="O1777" s="36" t="str">
        <f t="shared" si="3"/>
        <v/>
      </c>
      <c r="P1777" s="15"/>
      <c r="Q1777" s="37" t="str">
        <f t="shared" si="4"/>
        <v/>
      </c>
      <c r="R1777" s="37" t="str">
        <f t="shared" si="5"/>
        <v/>
      </c>
      <c r="S1777" s="32" t="str">
        <f t="shared" si="6"/>
        <v/>
      </c>
      <c r="T1777" s="37" t="str">
        <f t="shared" si="7"/>
        <v/>
      </c>
      <c r="U1777" s="37" t="str">
        <f t="array" ref="U1777">IF($F1777="","",IFERROR(INDEX(Config!$F:$F,MATCH($F1777,Config!$D:$D,0)),0))</f>
        <v/>
      </c>
    </row>
    <row r="1778" ht="15.0" customHeight="1">
      <c r="A1778" s="34"/>
      <c r="B1778" s="35"/>
      <c r="C1778" s="15"/>
      <c r="D1778" s="15"/>
      <c r="E1778" s="15"/>
      <c r="F1778" s="15"/>
      <c r="G1778" s="36" t="str">
        <f t="array" ref="G1778">IF($F1778="","",IFERROR(INDEX(Config!$E:$E,MATCH($F1778,Config!$D:$D,0)),0))</f>
        <v/>
      </c>
      <c r="H1778" s="16"/>
      <c r="I1778" s="36" t="str">
        <f t="shared" si="1"/>
        <v/>
      </c>
      <c r="J1778" s="16"/>
      <c r="K1778" s="15"/>
      <c r="L1778" s="15"/>
      <c r="M1778" s="36" t="str">
        <f t="array" ref="M1778">IF($A1778="","",IF($L1778="Atendido",IFERROR($I1778*INDEX(Config!$B:$B,MATCH($C1778,Config!$A:$A,0)),0),0))</f>
        <v/>
      </c>
      <c r="N1778" s="36" t="str">
        <f t="shared" si="2"/>
        <v/>
      </c>
      <c r="O1778" s="36" t="str">
        <f t="shared" si="3"/>
        <v/>
      </c>
      <c r="P1778" s="15"/>
      <c r="Q1778" s="37" t="str">
        <f t="shared" si="4"/>
        <v/>
      </c>
      <c r="R1778" s="37" t="str">
        <f t="shared" si="5"/>
        <v/>
      </c>
      <c r="S1778" s="32" t="str">
        <f t="shared" si="6"/>
        <v/>
      </c>
      <c r="T1778" s="37" t="str">
        <f t="shared" si="7"/>
        <v/>
      </c>
      <c r="U1778" s="37" t="str">
        <f t="array" ref="U1778">IF($F1778="","",IFERROR(INDEX(Config!$F:$F,MATCH($F1778,Config!$D:$D,0)),0))</f>
        <v/>
      </c>
    </row>
    <row r="1779" ht="15.0" customHeight="1">
      <c r="A1779" s="34"/>
      <c r="B1779" s="35"/>
      <c r="C1779" s="15"/>
      <c r="D1779" s="15"/>
      <c r="E1779" s="15"/>
      <c r="F1779" s="15"/>
      <c r="G1779" s="36" t="str">
        <f t="array" ref="G1779">IF($F1779="","",IFERROR(INDEX(Config!$E:$E,MATCH($F1779,Config!$D:$D,0)),0))</f>
        <v/>
      </c>
      <c r="H1779" s="16"/>
      <c r="I1779" s="36" t="str">
        <f t="shared" si="1"/>
        <v/>
      </c>
      <c r="J1779" s="16"/>
      <c r="K1779" s="15"/>
      <c r="L1779" s="15"/>
      <c r="M1779" s="36" t="str">
        <f t="array" ref="M1779">IF($A1779="","",IF($L1779="Atendido",IFERROR($I1779*INDEX(Config!$B:$B,MATCH($C1779,Config!$A:$A,0)),0),0))</f>
        <v/>
      </c>
      <c r="N1779" s="36" t="str">
        <f t="shared" si="2"/>
        <v/>
      </c>
      <c r="O1779" s="36" t="str">
        <f t="shared" si="3"/>
        <v/>
      </c>
      <c r="P1779" s="15"/>
      <c r="Q1779" s="37" t="str">
        <f t="shared" si="4"/>
        <v/>
      </c>
      <c r="R1779" s="37" t="str">
        <f t="shared" si="5"/>
        <v/>
      </c>
      <c r="S1779" s="32" t="str">
        <f t="shared" si="6"/>
        <v/>
      </c>
      <c r="T1779" s="37" t="str">
        <f t="shared" si="7"/>
        <v/>
      </c>
      <c r="U1779" s="37" t="str">
        <f t="array" ref="U1779">IF($F1779="","",IFERROR(INDEX(Config!$F:$F,MATCH($F1779,Config!$D:$D,0)),0))</f>
        <v/>
      </c>
    </row>
    <row r="1780" ht="15.0" customHeight="1">
      <c r="A1780" s="34"/>
      <c r="B1780" s="35"/>
      <c r="C1780" s="15"/>
      <c r="D1780" s="15"/>
      <c r="E1780" s="15"/>
      <c r="F1780" s="15"/>
      <c r="G1780" s="36" t="str">
        <f t="array" ref="G1780">IF($F1780="","",IFERROR(INDEX(Config!$E:$E,MATCH($F1780,Config!$D:$D,0)),0))</f>
        <v/>
      </c>
      <c r="H1780" s="16"/>
      <c r="I1780" s="36" t="str">
        <f t="shared" si="1"/>
        <v/>
      </c>
      <c r="J1780" s="16"/>
      <c r="K1780" s="15"/>
      <c r="L1780" s="15"/>
      <c r="M1780" s="36" t="str">
        <f t="array" ref="M1780">IF($A1780="","",IF($L1780="Atendido",IFERROR($I1780*INDEX(Config!$B:$B,MATCH($C1780,Config!$A:$A,0)),0),0))</f>
        <v/>
      </c>
      <c r="N1780" s="36" t="str">
        <f t="shared" si="2"/>
        <v/>
      </c>
      <c r="O1780" s="36" t="str">
        <f t="shared" si="3"/>
        <v/>
      </c>
      <c r="P1780" s="15"/>
      <c r="Q1780" s="37" t="str">
        <f t="shared" si="4"/>
        <v/>
      </c>
      <c r="R1780" s="37" t="str">
        <f t="shared" si="5"/>
        <v/>
      </c>
      <c r="S1780" s="32" t="str">
        <f t="shared" si="6"/>
        <v/>
      </c>
      <c r="T1780" s="37" t="str">
        <f t="shared" si="7"/>
        <v/>
      </c>
      <c r="U1780" s="37" t="str">
        <f t="array" ref="U1780">IF($F1780="","",IFERROR(INDEX(Config!$F:$F,MATCH($F1780,Config!$D:$D,0)),0))</f>
        <v/>
      </c>
    </row>
    <row r="1781" ht="15.0" customHeight="1">
      <c r="A1781" s="34"/>
      <c r="B1781" s="35"/>
      <c r="C1781" s="15"/>
      <c r="D1781" s="15"/>
      <c r="E1781" s="15"/>
      <c r="F1781" s="15"/>
      <c r="G1781" s="36" t="str">
        <f t="array" ref="G1781">IF($F1781="","",IFERROR(INDEX(Config!$E:$E,MATCH($F1781,Config!$D:$D,0)),0))</f>
        <v/>
      </c>
      <c r="H1781" s="16"/>
      <c r="I1781" s="36" t="str">
        <f t="shared" si="1"/>
        <v/>
      </c>
      <c r="J1781" s="16"/>
      <c r="K1781" s="15"/>
      <c r="L1781" s="15"/>
      <c r="M1781" s="36" t="str">
        <f t="array" ref="M1781">IF($A1781="","",IF($L1781="Atendido",IFERROR($I1781*INDEX(Config!$B:$B,MATCH($C1781,Config!$A:$A,0)),0),0))</f>
        <v/>
      </c>
      <c r="N1781" s="36" t="str">
        <f t="shared" si="2"/>
        <v/>
      </c>
      <c r="O1781" s="36" t="str">
        <f t="shared" si="3"/>
        <v/>
      </c>
      <c r="P1781" s="15"/>
      <c r="Q1781" s="37" t="str">
        <f t="shared" si="4"/>
        <v/>
      </c>
      <c r="R1781" s="37" t="str">
        <f t="shared" si="5"/>
        <v/>
      </c>
      <c r="S1781" s="32" t="str">
        <f t="shared" si="6"/>
        <v/>
      </c>
      <c r="T1781" s="37" t="str">
        <f t="shared" si="7"/>
        <v/>
      </c>
      <c r="U1781" s="37" t="str">
        <f t="array" ref="U1781">IF($F1781="","",IFERROR(INDEX(Config!$F:$F,MATCH($F1781,Config!$D:$D,0)),0))</f>
        <v/>
      </c>
    </row>
    <row r="1782" ht="15.0" customHeight="1">
      <c r="A1782" s="34"/>
      <c r="B1782" s="35"/>
      <c r="C1782" s="15"/>
      <c r="D1782" s="15"/>
      <c r="E1782" s="15"/>
      <c r="F1782" s="15"/>
      <c r="G1782" s="36" t="str">
        <f t="array" ref="G1782">IF($F1782="","",IFERROR(INDEX(Config!$E:$E,MATCH($F1782,Config!$D:$D,0)),0))</f>
        <v/>
      </c>
      <c r="H1782" s="16"/>
      <c r="I1782" s="36" t="str">
        <f t="shared" si="1"/>
        <v/>
      </c>
      <c r="J1782" s="16"/>
      <c r="K1782" s="15"/>
      <c r="L1782" s="15"/>
      <c r="M1782" s="36" t="str">
        <f t="array" ref="M1782">IF($A1782="","",IF($L1782="Atendido",IFERROR($I1782*INDEX(Config!$B:$B,MATCH($C1782,Config!$A:$A,0)),0),0))</f>
        <v/>
      </c>
      <c r="N1782" s="36" t="str">
        <f t="shared" si="2"/>
        <v/>
      </c>
      <c r="O1782" s="36" t="str">
        <f t="shared" si="3"/>
        <v/>
      </c>
      <c r="P1782" s="15"/>
      <c r="Q1782" s="37" t="str">
        <f t="shared" si="4"/>
        <v/>
      </c>
      <c r="R1782" s="37" t="str">
        <f t="shared" si="5"/>
        <v/>
      </c>
      <c r="S1782" s="32" t="str">
        <f t="shared" si="6"/>
        <v/>
      </c>
      <c r="T1782" s="37" t="str">
        <f t="shared" si="7"/>
        <v/>
      </c>
      <c r="U1782" s="37" t="str">
        <f t="array" ref="U1782">IF($F1782="","",IFERROR(INDEX(Config!$F:$F,MATCH($F1782,Config!$D:$D,0)),0))</f>
        <v/>
      </c>
    </row>
    <row r="1783" ht="15.0" customHeight="1">
      <c r="A1783" s="34"/>
      <c r="B1783" s="35"/>
      <c r="C1783" s="15"/>
      <c r="D1783" s="15"/>
      <c r="E1783" s="15"/>
      <c r="F1783" s="15"/>
      <c r="G1783" s="36" t="str">
        <f t="array" ref="G1783">IF($F1783="","",IFERROR(INDEX(Config!$E:$E,MATCH($F1783,Config!$D:$D,0)),0))</f>
        <v/>
      </c>
      <c r="H1783" s="16"/>
      <c r="I1783" s="36" t="str">
        <f t="shared" si="1"/>
        <v/>
      </c>
      <c r="J1783" s="16"/>
      <c r="K1783" s="15"/>
      <c r="L1783" s="15"/>
      <c r="M1783" s="36" t="str">
        <f t="array" ref="M1783">IF($A1783="","",IF($L1783="Atendido",IFERROR($I1783*INDEX(Config!$B:$B,MATCH($C1783,Config!$A:$A,0)),0),0))</f>
        <v/>
      </c>
      <c r="N1783" s="36" t="str">
        <f t="shared" si="2"/>
        <v/>
      </c>
      <c r="O1783" s="36" t="str">
        <f t="shared" si="3"/>
        <v/>
      </c>
      <c r="P1783" s="15"/>
      <c r="Q1783" s="37" t="str">
        <f t="shared" si="4"/>
        <v/>
      </c>
      <c r="R1783" s="37" t="str">
        <f t="shared" si="5"/>
        <v/>
      </c>
      <c r="S1783" s="32" t="str">
        <f t="shared" si="6"/>
        <v/>
      </c>
      <c r="T1783" s="37" t="str">
        <f t="shared" si="7"/>
        <v/>
      </c>
      <c r="U1783" s="37" t="str">
        <f t="array" ref="U1783">IF($F1783="","",IFERROR(INDEX(Config!$F:$F,MATCH($F1783,Config!$D:$D,0)),0))</f>
        <v/>
      </c>
    </row>
    <row r="1784" ht="15.0" customHeight="1">
      <c r="A1784" s="34"/>
      <c r="B1784" s="35"/>
      <c r="C1784" s="15"/>
      <c r="D1784" s="15"/>
      <c r="E1784" s="15"/>
      <c r="F1784" s="15"/>
      <c r="G1784" s="36" t="str">
        <f t="array" ref="G1784">IF($F1784="","",IFERROR(INDEX(Config!$E:$E,MATCH($F1784,Config!$D:$D,0)),0))</f>
        <v/>
      </c>
      <c r="H1784" s="16"/>
      <c r="I1784" s="36" t="str">
        <f t="shared" si="1"/>
        <v/>
      </c>
      <c r="J1784" s="16"/>
      <c r="K1784" s="15"/>
      <c r="L1784" s="15"/>
      <c r="M1784" s="36" t="str">
        <f t="array" ref="M1784">IF($A1784="","",IF($L1784="Atendido",IFERROR($I1784*INDEX(Config!$B:$B,MATCH($C1784,Config!$A:$A,0)),0),0))</f>
        <v/>
      </c>
      <c r="N1784" s="36" t="str">
        <f t="shared" si="2"/>
        <v/>
      </c>
      <c r="O1784" s="36" t="str">
        <f t="shared" si="3"/>
        <v/>
      </c>
      <c r="P1784" s="15"/>
      <c r="Q1784" s="37" t="str">
        <f t="shared" si="4"/>
        <v/>
      </c>
      <c r="R1784" s="37" t="str">
        <f t="shared" si="5"/>
        <v/>
      </c>
      <c r="S1784" s="32" t="str">
        <f t="shared" si="6"/>
        <v/>
      </c>
      <c r="T1784" s="37" t="str">
        <f t="shared" si="7"/>
        <v/>
      </c>
      <c r="U1784" s="37" t="str">
        <f t="array" ref="U1784">IF($F1784="","",IFERROR(INDEX(Config!$F:$F,MATCH($F1784,Config!$D:$D,0)),0))</f>
        <v/>
      </c>
    </row>
    <row r="1785" ht="15.0" customHeight="1">
      <c r="A1785" s="34"/>
      <c r="B1785" s="35"/>
      <c r="C1785" s="15"/>
      <c r="D1785" s="15"/>
      <c r="E1785" s="15"/>
      <c r="F1785" s="15"/>
      <c r="G1785" s="36" t="str">
        <f t="array" ref="G1785">IF($F1785="","",IFERROR(INDEX(Config!$E:$E,MATCH($F1785,Config!$D:$D,0)),0))</f>
        <v/>
      </c>
      <c r="H1785" s="16"/>
      <c r="I1785" s="36" t="str">
        <f t="shared" si="1"/>
        <v/>
      </c>
      <c r="J1785" s="16"/>
      <c r="K1785" s="15"/>
      <c r="L1785" s="15"/>
      <c r="M1785" s="36" t="str">
        <f t="array" ref="M1785">IF($A1785="","",IF($L1785="Atendido",IFERROR($I1785*INDEX(Config!$B:$B,MATCH($C1785,Config!$A:$A,0)),0),0))</f>
        <v/>
      </c>
      <c r="N1785" s="36" t="str">
        <f t="shared" si="2"/>
        <v/>
      </c>
      <c r="O1785" s="36" t="str">
        <f t="shared" si="3"/>
        <v/>
      </c>
      <c r="P1785" s="15"/>
      <c r="Q1785" s="37" t="str">
        <f t="shared" si="4"/>
        <v/>
      </c>
      <c r="R1785" s="37" t="str">
        <f t="shared" si="5"/>
        <v/>
      </c>
      <c r="S1785" s="32" t="str">
        <f t="shared" si="6"/>
        <v/>
      </c>
      <c r="T1785" s="37" t="str">
        <f t="shared" si="7"/>
        <v/>
      </c>
      <c r="U1785" s="37" t="str">
        <f t="array" ref="U1785">IF($F1785="","",IFERROR(INDEX(Config!$F:$F,MATCH($F1785,Config!$D:$D,0)),0))</f>
        <v/>
      </c>
    </row>
    <row r="1786" ht="15.0" customHeight="1">
      <c r="A1786" s="34"/>
      <c r="B1786" s="35"/>
      <c r="C1786" s="15"/>
      <c r="D1786" s="15"/>
      <c r="E1786" s="15"/>
      <c r="F1786" s="15"/>
      <c r="G1786" s="36" t="str">
        <f t="array" ref="G1786">IF($F1786="","",IFERROR(INDEX(Config!$E:$E,MATCH($F1786,Config!$D:$D,0)),0))</f>
        <v/>
      </c>
      <c r="H1786" s="16"/>
      <c r="I1786" s="36" t="str">
        <f t="shared" si="1"/>
        <v/>
      </c>
      <c r="J1786" s="16"/>
      <c r="K1786" s="15"/>
      <c r="L1786" s="15"/>
      <c r="M1786" s="36" t="str">
        <f t="array" ref="M1786">IF($A1786="","",IF($L1786="Atendido",IFERROR($I1786*INDEX(Config!$B:$B,MATCH($C1786,Config!$A:$A,0)),0),0))</f>
        <v/>
      </c>
      <c r="N1786" s="36" t="str">
        <f t="shared" si="2"/>
        <v/>
      </c>
      <c r="O1786" s="36" t="str">
        <f t="shared" si="3"/>
        <v/>
      </c>
      <c r="P1786" s="15"/>
      <c r="Q1786" s="37" t="str">
        <f t="shared" si="4"/>
        <v/>
      </c>
      <c r="R1786" s="37" t="str">
        <f t="shared" si="5"/>
        <v/>
      </c>
      <c r="S1786" s="32" t="str">
        <f t="shared" si="6"/>
        <v/>
      </c>
      <c r="T1786" s="37" t="str">
        <f t="shared" si="7"/>
        <v/>
      </c>
      <c r="U1786" s="37" t="str">
        <f t="array" ref="U1786">IF($F1786="","",IFERROR(INDEX(Config!$F:$F,MATCH($F1786,Config!$D:$D,0)),0))</f>
        <v/>
      </c>
    </row>
    <row r="1787" ht="15.0" customHeight="1">
      <c r="A1787" s="34"/>
      <c r="B1787" s="35"/>
      <c r="C1787" s="15"/>
      <c r="D1787" s="15"/>
      <c r="E1787" s="15"/>
      <c r="F1787" s="15"/>
      <c r="G1787" s="36" t="str">
        <f t="array" ref="G1787">IF($F1787="","",IFERROR(INDEX(Config!$E:$E,MATCH($F1787,Config!$D:$D,0)),0))</f>
        <v/>
      </c>
      <c r="H1787" s="16"/>
      <c r="I1787" s="36" t="str">
        <f t="shared" si="1"/>
        <v/>
      </c>
      <c r="J1787" s="16"/>
      <c r="K1787" s="15"/>
      <c r="L1787" s="15"/>
      <c r="M1787" s="36" t="str">
        <f t="array" ref="M1787">IF($A1787="","",IF($L1787="Atendido",IFERROR($I1787*INDEX(Config!$B:$B,MATCH($C1787,Config!$A:$A,0)),0),0))</f>
        <v/>
      </c>
      <c r="N1787" s="36" t="str">
        <f t="shared" si="2"/>
        <v/>
      </c>
      <c r="O1787" s="36" t="str">
        <f t="shared" si="3"/>
        <v/>
      </c>
      <c r="P1787" s="15"/>
      <c r="Q1787" s="37" t="str">
        <f t="shared" si="4"/>
        <v/>
      </c>
      <c r="R1787" s="37" t="str">
        <f t="shared" si="5"/>
        <v/>
      </c>
      <c r="S1787" s="32" t="str">
        <f t="shared" si="6"/>
        <v/>
      </c>
      <c r="T1787" s="37" t="str">
        <f t="shared" si="7"/>
        <v/>
      </c>
      <c r="U1787" s="37" t="str">
        <f t="array" ref="U1787">IF($F1787="","",IFERROR(INDEX(Config!$F:$F,MATCH($F1787,Config!$D:$D,0)),0))</f>
        <v/>
      </c>
    </row>
    <row r="1788" ht="15.0" customHeight="1">
      <c r="A1788" s="34"/>
      <c r="B1788" s="35"/>
      <c r="C1788" s="15"/>
      <c r="D1788" s="15"/>
      <c r="E1788" s="15"/>
      <c r="F1788" s="15"/>
      <c r="G1788" s="36" t="str">
        <f t="array" ref="G1788">IF($F1788="","",IFERROR(INDEX(Config!$E:$E,MATCH($F1788,Config!$D:$D,0)),0))</f>
        <v/>
      </c>
      <c r="H1788" s="16"/>
      <c r="I1788" s="36" t="str">
        <f t="shared" si="1"/>
        <v/>
      </c>
      <c r="J1788" s="16"/>
      <c r="K1788" s="15"/>
      <c r="L1788" s="15"/>
      <c r="M1788" s="36" t="str">
        <f t="array" ref="M1788">IF($A1788="","",IF($L1788="Atendido",IFERROR($I1788*INDEX(Config!$B:$B,MATCH($C1788,Config!$A:$A,0)),0),0))</f>
        <v/>
      </c>
      <c r="N1788" s="36" t="str">
        <f t="shared" si="2"/>
        <v/>
      </c>
      <c r="O1788" s="36" t="str">
        <f t="shared" si="3"/>
        <v/>
      </c>
      <c r="P1788" s="15"/>
      <c r="Q1788" s="37" t="str">
        <f t="shared" si="4"/>
        <v/>
      </c>
      <c r="R1788" s="37" t="str">
        <f t="shared" si="5"/>
        <v/>
      </c>
      <c r="S1788" s="32" t="str">
        <f t="shared" si="6"/>
        <v/>
      </c>
      <c r="T1788" s="37" t="str">
        <f t="shared" si="7"/>
        <v/>
      </c>
      <c r="U1788" s="37" t="str">
        <f t="array" ref="U1788">IF($F1788="","",IFERROR(INDEX(Config!$F:$F,MATCH($F1788,Config!$D:$D,0)),0))</f>
        <v/>
      </c>
    </row>
    <row r="1789" ht="15.0" customHeight="1">
      <c r="A1789" s="34"/>
      <c r="B1789" s="35"/>
      <c r="C1789" s="15"/>
      <c r="D1789" s="15"/>
      <c r="E1789" s="15"/>
      <c r="F1789" s="15"/>
      <c r="G1789" s="36" t="str">
        <f t="array" ref="G1789">IF($F1789="","",IFERROR(INDEX(Config!$E:$E,MATCH($F1789,Config!$D:$D,0)),0))</f>
        <v/>
      </c>
      <c r="H1789" s="16"/>
      <c r="I1789" s="36" t="str">
        <f t="shared" si="1"/>
        <v/>
      </c>
      <c r="J1789" s="16"/>
      <c r="K1789" s="15"/>
      <c r="L1789" s="15"/>
      <c r="M1789" s="36" t="str">
        <f t="array" ref="M1789">IF($A1789="","",IF($L1789="Atendido",IFERROR($I1789*INDEX(Config!$B:$B,MATCH($C1789,Config!$A:$A,0)),0),0))</f>
        <v/>
      </c>
      <c r="N1789" s="36" t="str">
        <f t="shared" si="2"/>
        <v/>
      </c>
      <c r="O1789" s="36" t="str">
        <f t="shared" si="3"/>
        <v/>
      </c>
      <c r="P1789" s="15"/>
      <c r="Q1789" s="37" t="str">
        <f t="shared" si="4"/>
        <v/>
      </c>
      <c r="R1789" s="37" t="str">
        <f t="shared" si="5"/>
        <v/>
      </c>
      <c r="S1789" s="32" t="str">
        <f t="shared" si="6"/>
        <v/>
      </c>
      <c r="T1789" s="37" t="str">
        <f t="shared" si="7"/>
        <v/>
      </c>
      <c r="U1789" s="37" t="str">
        <f t="array" ref="U1789">IF($F1789="","",IFERROR(INDEX(Config!$F:$F,MATCH($F1789,Config!$D:$D,0)),0))</f>
        <v/>
      </c>
    </row>
    <row r="1790" ht="15.0" customHeight="1">
      <c r="A1790" s="34"/>
      <c r="B1790" s="35"/>
      <c r="C1790" s="15"/>
      <c r="D1790" s="15"/>
      <c r="E1790" s="15"/>
      <c r="F1790" s="15"/>
      <c r="G1790" s="36" t="str">
        <f t="array" ref="G1790">IF($F1790="","",IFERROR(INDEX(Config!$E:$E,MATCH($F1790,Config!$D:$D,0)),0))</f>
        <v/>
      </c>
      <c r="H1790" s="16"/>
      <c r="I1790" s="36" t="str">
        <f t="shared" si="1"/>
        <v/>
      </c>
      <c r="J1790" s="16"/>
      <c r="K1790" s="15"/>
      <c r="L1790" s="15"/>
      <c r="M1790" s="36" t="str">
        <f t="array" ref="M1790">IF($A1790="","",IF($L1790="Atendido",IFERROR($I1790*INDEX(Config!$B:$B,MATCH($C1790,Config!$A:$A,0)),0),0))</f>
        <v/>
      </c>
      <c r="N1790" s="36" t="str">
        <f t="shared" si="2"/>
        <v/>
      </c>
      <c r="O1790" s="36" t="str">
        <f t="shared" si="3"/>
        <v/>
      </c>
      <c r="P1790" s="15"/>
      <c r="Q1790" s="37" t="str">
        <f t="shared" si="4"/>
        <v/>
      </c>
      <c r="R1790" s="37" t="str">
        <f t="shared" si="5"/>
        <v/>
      </c>
      <c r="S1790" s="32" t="str">
        <f t="shared" si="6"/>
        <v/>
      </c>
      <c r="T1790" s="37" t="str">
        <f t="shared" si="7"/>
        <v/>
      </c>
      <c r="U1790" s="37" t="str">
        <f t="array" ref="U1790">IF($F1790="","",IFERROR(INDEX(Config!$F:$F,MATCH($F1790,Config!$D:$D,0)),0))</f>
        <v/>
      </c>
    </row>
    <row r="1791" ht="15.0" customHeight="1">
      <c r="A1791" s="34"/>
      <c r="B1791" s="35"/>
      <c r="C1791" s="15"/>
      <c r="D1791" s="15"/>
      <c r="E1791" s="15"/>
      <c r="F1791" s="15"/>
      <c r="G1791" s="36" t="str">
        <f t="array" ref="G1791">IF($F1791="","",IFERROR(INDEX(Config!$E:$E,MATCH($F1791,Config!$D:$D,0)),0))</f>
        <v/>
      </c>
      <c r="H1791" s="16"/>
      <c r="I1791" s="36" t="str">
        <f t="shared" si="1"/>
        <v/>
      </c>
      <c r="J1791" s="16"/>
      <c r="K1791" s="15"/>
      <c r="L1791" s="15"/>
      <c r="M1791" s="36" t="str">
        <f t="array" ref="M1791">IF($A1791="","",IF($L1791="Atendido",IFERROR($I1791*INDEX(Config!$B:$B,MATCH($C1791,Config!$A:$A,0)),0),0))</f>
        <v/>
      </c>
      <c r="N1791" s="36" t="str">
        <f t="shared" si="2"/>
        <v/>
      </c>
      <c r="O1791" s="36" t="str">
        <f t="shared" si="3"/>
        <v/>
      </c>
      <c r="P1791" s="15"/>
      <c r="Q1791" s="37" t="str">
        <f t="shared" si="4"/>
        <v/>
      </c>
      <c r="R1791" s="37" t="str">
        <f t="shared" si="5"/>
        <v/>
      </c>
      <c r="S1791" s="32" t="str">
        <f t="shared" si="6"/>
        <v/>
      </c>
      <c r="T1791" s="37" t="str">
        <f t="shared" si="7"/>
        <v/>
      </c>
      <c r="U1791" s="37" t="str">
        <f t="array" ref="U1791">IF($F1791="","",IFERROR(INDEX(Config!$F:$F,MATCH($F1791,Config!$D:$D,0)),0))</f>
        <v/>
      </c>
    </row>
    <row r="1792" ht="15.0" customHeight="1">
      <c r="A1792" s="34"/>
      <c r="B1792" s="35"/>
      <c r="C1792" s="15"/>
      <c r="D1792" s="15"/>
      <c r="E1792" s="15"/>
      <c r="F1792" s="15"/>
      <c r="G1792" s="36" t="str">
        <f t="array" ref="G1792">IF($F1792="","",IFERROR(INDEX(Config!$E:$E,MATCH($F1792,Config!$D:$D,0)),0))</f>
        <v/>
      </c>
      <c r="H1792" s="16"/>
      <c r="I1792" s="36" t="str">
        <f t="shared" si="1"/>
        <v/>
      </c>
      <c r="J1792" s="16"/>
      <c r="K1792" s="15"/>
      <c r="L1792" s="15"/>
      <c r="M1792" s="36" t="str">
        <f t="array" ref="M1792">IF($A1792="","",IF($L1792="Atendido",IFERROR($I1792*INDEX(Config!$B:$B,MATCH($C1792,Config!$A:$A,0)),0),0))</f>
        <v/>
      </c>
      <c r="N1792" s="36" t="str">
        <f t="shared" si="2"/>
        <v/>
      </c>
      <c r="O1792" s="36" t="str">
        <f t="shared" si="3"/>
        <v/>
      </c>
      <c r="P1792" s="15"/>
      <c r="Q1792" s="37" t="str">
        <f t="shared" si="4"/>
        <v/>
      </c>
      <c r="R1792" s="37" t="str">
        <f t="shared" si="5"/>
        <v/>
      </c>
      <c r="S1792" s="32" t="str">
        <f t="shared" si="6"/>
        <v/>
      </c>
      <c r="T1792" s="37" t="str">
        <f t="shared" si="7"/>
        <v/>
      </c>
      <c r="U1792" s="37" t="str">
        <f t="array" ref="U1792">IF($F1792="","",IFERROR(INDEX(Config!$F:$F,MATCH($F1792,Config!$D:$D,0)),0))</f>
        <v/>
      </c>
    </row>
    <row r="1793" ht="15.0" customHeight="1">
      <c r="A1793" s="34"/>
      <c r="B1793" s="35"/>
      <c r="C1793" s="15"/>
      <c r="D1793" s="15"/>
      <c r="E1793" s="15"/>
      <c r="F1793" s="15"/>
      <c r="G1793" s="36" t="str">
        <f t="array" ref="G1793">IF($F1793="","",IFERROR(INDEX(Config!$E:$E,MATCH($F1793,Config!$D:$D,0)),0))</f>
        <v/>
      </c>
      <c r="H1793" s="16"/>
      <c r="I1793" s="36" t="str">
        <f t="shared" si="1"/>
        <v/>
      </c>
      <c r="J1793" s="16"/>
      <c r="K1793" s="15"/>
      <c r="L1793" s="15"/>
      <c r="M1793" s="36" t="str">
        <f t="array" ref="M1793">IF($A1793="","",IF($L1793="Atendido",IFERROR($I1793*INDEX(Config!$B:$B,MATCH($C1793,Config!$A:$A,0)),0),0))</f>
        <v/>
      </c>
      <c r="N1793" s="36" t="str">
        <f t="shared" si="2"/>
        <v/>
      </c>
      <c r="O1793" s="36" t="str">
        <f t="shared" si="3"/>
        <v/>
      </c>
      <c r="P1793" s="15"/>
      <c r="Q1793" s="37" t="str">
        <f t="shared" si="4"/>
        <v/>
      </c>
      <c r="R1793" s="37" t="str">
        <f t="shared" si="5"/>
        <v/>
      </c>
      <c r="S1793" s="32" t="str">
        <f t="shared" si="6"/>
        <v/>
      </c>
      <c r="T1793" s="37" t="str">
        <f t="shared" si="7"/>
        <v/>
      </c>
      <c r="U1793" s="37" t="str">
        <f t="array" ref="U1793">IF($F1793="","",IFERROR(INDEX(Config!$F:$F,MATCH($F1793,Config!$D:$D,0)),0))</f>
        <v/>
      </c>
    </row>
    <row r="1794" ht="15.0" customHeight="1">
      <c r="A1794" s="34"/>
      <c r="B1794" s="35"/>
      <c r="C1794" s="15"/>
      <c r="D1794" s="15"/>
      <c r="E1794" s="15"/>
      <c r="F1794" s="15"/>
      <c r="G1794" s="36" t="str">
        <f t="array" ref="G1794">IF($F1794="","",IFERROR(INDEX(Config!$E:$E,MATCH($F1794,Config!$D:$D,0)),0))</f>
        <v/>
      </c>
      <c r="H1794" s="16"/>
      <c r="I1794" s="36" t="str">
        <f t="shared" si="1"/>
        <v/>
      </c>
      <c r="J1794" s="16"/>
      <c r="K1794" s="15"/>
      <c r="L1794" s="15"/>
      <c r="M1794" s="36" t="str">
        <f t="array" ref="M1794">IF($A1794="","",IF($L1794="Atendido",IFERROR($I1794*INDEX(Config!$B:$B,MATCH($C1794,Config!$A:$A,0)),0),0))</f>
        <v/>
      </c>
      <c r="N1794" s="36" t="str">
        <f t="shared" si="2"/>
        <v/>
      </c>
      <c r="O1794" s="36" t="str">
        <f t="shared" si="3"/>
        <v/>
      </c>
      <c r="P1794" s="15"/>
      <c r="Q1794" s="37" t="str">
        <f t="shared" si="4"/>
        <v/>
      </c>
      <c r="R1794" s="37" t="str">
        <f t="shared" si="5"/>
        <v/>
      </c>
      <c r="S1794" s="32" t="str">
        <f t="shared" si="6"/>
        <v/>
      </c>
      <c r="T1794" s="37" t="str">
        <f t="shared" si="7"/>
        <v/>
      </c>
      <c r="U1794" s="37" t="str">
        <f t="array" ref="U1794">IF($F1794="","",IFERROR(INDEX(Config!$F:$F,MATCH($F1794,Config!$D:$D,0)),0))</f>
        <v/>
      </c>
    </row>
    <row r="1795" ht="15.0" customHeight="1">
      <c r="A1795" s="34"/>
      <c r="B1795" s="35"/>
      <c r="C1795" s="15"/>
      <c r="D1795" s="15"/>
      <c r="E1795" s="15"/>
      <c r="F1795" s="15"/>
      <c r="G1795" s="36" t="str">
        <f t="array" ref="G1795">IF($F1795="","",IFERROR(INDEX(Config!$E:$E,MATCH($F1795,Config!$D:$D,0)),0))</f>
        <v/>
      </c>
      <c r="H1795" s="16"/>
      <c r="I1795" s="36" t="str">
        <f t="shared" si="1"/>
        <v/>
      </c>
      <c r="J1795" s="16"/>
      <c r="K1795" s="15"/>
      <c r="L1795" s="15"/>
      <c r="M1795" s="36" t="str">
        <f t="array" ref="M1795">IF($A1795="","",IF($L1795="Atendido",IFERROR($I1795*INDEX(Config!$B:$B,MATCH($C1795,Config!$A:$A,0)),0),0))</f>
        <v/>
      </c>
      <c r="N1795" s="36" t="str">
        <f t="shared" si="2"/>
        <v/>
      </c>
      <c r="O1795" s="36" t="str">
        <f t="shared" si="3"/>
        <v/>
      </c>
      <c r="P1795" s="15"/>
      <c r="Q1795" s="37" t="str">
        <f t="shared" si="4"/>
        <v/>
      </c>
      <c r="R1795" s="37" t="str">
        <f t="shared" si="5"/>
        <v/>
      </c>
      <c r="S1795" s="32" t="str">
        <f t="shared" si="6"/>
        <v/>
      </c>
      <c r="T1795" s="37" t="str">
        <f t="shared" si="7"/>
        <v/>
      </c>
      <c r="U1795" s="37" t="str">
        <f t="array" ref="U1795">IF($F1795="","",IFERROR(INDEX(Config!$F:$F,MATCH($F1795,Config!$D:$D,0)),0))</f>
        <v/>
      </c>
    </row>
    <row r="1796" ht="15.0" customHeight="1">
      <c r="A1796" s="34"/>
      <c r="B1796" s="35"/>
      <c r="C1796" s="15"/>
      <c r="D1796" s="15"/>
      <c r="E1796" s="15"/>
      <c r="F1796" s="15"/>
      <c r="G1796" s="36" t="str">
        <f t="array" ref="G1796">IF($F1796="","",IFERROR(INDEX(Config!$E:$E,MATCH($F1796,Config!$D:$D,0)),0))</f>
        <v/>
      </c>
      <c r="H1796" s="16"/>
      <c r="I1796" s="36" t="str">
        <f t="shared" si="1"/>
        <v/>
      </c>
      <c r="J1796" s="16"/>
      <c r="K1796" s="15"/>
      <c r="L1796" s="15"/>
      <c r="M1796" s="36" t="str">
        <f t="array" ref="M1796">IF($A1796="","",IF($L1796="Atendido",IFERROR($I1796*INDEX(Config!$B:$B,MATCH($C1796,Config!$A:$A,0)),0),0))</f>
        <v/>
      </c>
      <c r="N1796" s="36" t="str">
        <f t="shared" si="2"/>
        <v/>
      </c>
      <c r="O1796" s="36" t="str">
        <f t="shared" si="3"/>
        <v/>
      </c>
      <c r="P1796" s="15"/>
      <c r="Q1796" s="37" t="str">
        <f t="shared" si="4"/>
        <v/>
      </c>
      <c r="R1796" s="37" t="str">
        <f t="shared" si="5"/>
        <v/>
      </c>
      <c r="S1796" s="32" t="str">
        <f t="shared" si="6"/>
        <v/>
      </c>
      <c r="T1796" s="37" t="str">
        <f t="shared" si="7"/>
        <v/>
      </c>
      <c r="U1796" s="37" t="str">
        <f t="array" ref="U1796">IF($F1796="","",IFERROR(INDEX(Config!$F:$F,MATCH($F1796,Config!$D:$D,0)),0))</f>
        <v/>
      </c>
    </row>
    <row r="1797" ht="15.0" customHeight="1">
      <c r="A1797" s="34"/>
      <c r="B1797" s="35"/>
      <c r="C1797" s="15"/>
      <c r="D1797" s="15"/>
      <c r="E1797" s="15"/>
      <c r="F1797" s="15"/>
      <c r="G1797" s="36" t="str">
        <f t="array" ref="G1797">IF($F1797="","",IFERROR(INDEX(Config!$E:$E,MATCH($F1797,Config!$D:$D,0)),0))</f>
        <v/>
      </c>
      <c r="H1797" s="16"/>
      <c r="I1797" s="36" t="str">
        <f t="shared" si="1"/>
        <v/>
      </c>
      <c r="J1797" s="16"/>
      <c r="K1797" s="15"/>
      <c r="L1797" s="15"/>
      <c r="M1797" s="36" t="str">
        <f t="array" ref="M1797">IF($A1797="","",IF($L1797="Atendido",IFERROR($I1797*INDEX(Config!$B:$B,MATCH($C1797,Config!$A:$A,0)),0),0))</f>
        <v/>
      </c>
      <c r="N1797" s="36" t="str">
        <f t="shared" si="2"/>
        <v/>
      </c>
      <c r="O1797" s="36" t="str">
        <f t="shared" si="3"/>
        <v/>
      </c>
      <c r="P1797" s="15"/>
      <c r="Q1797" s="37" t="str">
        <f t="shared" si="4"/>
        <v/>
      </c>
      <c r="R1797" s="37" t="str">
        <f t="shared" si="5"/>
        <v/>
      </c>
      <c r="S1797" s="32" t="str">
        <f t="shared" si="6"/>
        <v/>
      </c>
      <c r="T1797" s="37" t="str">
        <f t="shared" si="7"/>
        <v/>
      </c>
      <c r="U1797" s="37" t="str">
        <f t="array" ref="U1797">IF($F1797="","",IFERROR(INDEX(Config!$F:$F,MATCH($F1797,Config!$D:$D,0)),0))</f>
        <v/>
      </c>
    </row>
    <row r="1798" ht="15.0" customHeight="1">
      <c r="A1798" s="34"/>
      <c r="B1798" s="35"/>
      <c r="C1798" s="15"/>
      <c r="D1798" s="15"/>
      <c r="E1798" s="15"/>
      <c r="F1798" s="15"/>
      <c r="G1798" s="36" t="str">
        <f t="array" ref="G1798">IF($F1798="","",IFERROR(INDEX(Config!$E:$E,MATCH($F1798,Config!$D:$D,0)),0))</f>
        <v/>
      </c>
      <c r="H1798" s="16"/>
      <c r="I1798" s="36" t="str">
        <f t="shared" si="1"/>
        <v/>
      </c>
      <c r="J1798" s="16"/>
      <c r="K1798" s="15"/>
      <c r="L1798" s="15"/>
      <c r="M1798" s="36" t="str">
        <f t="array" ref="M1798">IF($A1798="","",IF($L1798="Atendido",IFERROR($I1798*INDEX(Config!$B:$B,MATCH($C1798,Config!$A:$A,0)),0),0))</f>
        <v/>
      </c>
      <c r="N1798" s="36" t="str">
        <f t="shared" si="2"/>
        <v/>
      </c>
      <c r="O1798" s="36" t="str">
        <f t="shared" si="3"/>
        <v/>
      </c>
      <c r="P1798" s="15"/>
      <c r="Q1798" s="37" t="str">
        <f t="shared" si="4"/>
        <v/>
      </c>
      <c r="R1798" s="37" t="str">
        <f t="shared" si="5"/>
        <v/>
      </c>
      <c r="S1798" s="32" t="str">
        <f t="shared" si="6"/>
        <v/>
      </c>
      <c r="T1798" s="37" t="str">
        <f t="shared" si="7"/>
        <v/>
      </c>
      <c r="U1798" s="37" t="str">
        <f t="array" ref="U1798">IF($F1798="","",IFERROR(INDEX(Config!$F:$F,MATCH($F1798,Config!$D:$D,0)),0))</f>
        <v/>
      </c>
    </row>
    <row r="1799" ht="15.0" customHeight="1">
      <c r="A1799" s="34"/>
      <c r="B1799" s="35"/>
      <c r="C1799" s="15"/>
      <c r="D1799" s="15"/>
      <c r="E1799" s="15"/>
      <c r="F1799" s="15"/>
      <c r="G1799" s="36" t="str">
        <f t="array" ref="G1799">IF($F1799="","",IFERROR(INDEX(Config!$E:$E,MATCH($F1799,Config!$D:$D,0)),0))</f>
        <v/>
      </c>
      <c r="H1799" s="16"/>
      <c r="I1799" s="36" t="str">
        <f t="shared" si="1"/>
        <v/>
      </c>
      <c r="J1799" s="16"/>
      <c r="K1799" s="15"/>
      <c r="L1799" s="15"/>
      <c r="M1799" s="36" t="str">
        <f t="array" ref="M1799">IF($A1799="","",IF($L1799="Atendido",IFERROR($I1799*INDEX(Config!$B:$B,MATCH($C1799,Config!$A:$A,0)),0),0))</f>
        <v/>
      </c>
      <c r="N1799" s="36" t="str">
        <f t="shared" si="2"/>
        <v/>
      </c>
      <c r="O1799" s="36" t="str">
        <f t="shared" si="3"/>
        <v/>
      </c>
      <c r="P1799" s="15"/>
      <c r="Q1799" s="37" t="str">
        <f t="shared" si="4"/>
        <v/>
      </c>
      <c r="R1799" s="37" t="str">
        <f t="shared" si="5"/>
        <v/>
      </c>
      <c r="S1799" s="32" t="str">
        <f t="shared" si="6"/>
        <v/>
      </c>
      <c r="T1799" s="37" t="str">
        <f t="shared" si="7"/>
        <v/>
      </c>
      <c r="U1799" s="37" t="str">
        <f t="array" ref="U1799">IF($F1799="","",IFERROR(INDEX(Config!$F:$F,MATCH($F1799,Config!$D:$D,0)),0))</f>
        <v/>
      </c>
    </row>
    <row r="1800" ht="15.0" customHeight="1">
      <c r="A1800" s="34"/>
      <c r="B1800" s="35"/>
      <c r="C1800" s="15"/>
      <c r="D1800" s="15"/>
      <c r="E1800" s="15"/>
      <c r="F1800" s="15"/>
      <c r="G1800" s="36" t="str">
        <f t="array" ref="G1800">IF($F1800="","",IFERROR(INDEX(Config!$E:$E,MATCH($F1800,Config!$D:$D,0)),0))</f>
        <v/>
      </c>
      <c r="H1800" s="16"/>
      <c r="I1800" s="36" t="str">
        <f t="shared" si="1"/>
        <v/>
      </c>
      <c r="J1800" s="16"/>
      <c r="K1800" s="15"/>
      <c r="L1800" s="15"/>
      <c r="M1800" s="36" t="str">
        <f t="array" ref="M1800">IF($A1800="","",IF($L1800="Atendido",IFERROR($I1800*INDEX(Config!$B:$B,MATCH($C1800,Config!$A:$A,0)),0),0))</f>
        <v/>
      </c>
      <c r="N1800" s="36" t="str">
        <f t="shared" si="2"/>
        <v/>
      </c>
      <c r="O1800" s="36" t="str">
        <f t="shared" si="3"/>
        <v/>
      </c>
      <c r="P1800" s="15"/>
      <c r="Q1800" s="37" t="str">
        <f t="shared" si="4"/>
        <v/>
      </c>
      <c r="R1800" s="37" t="str">
        <f t="shared" si="5"/>
        <v/>
      </c>
      <c r="S1800" s="32" t="str">
        <f t="shared" si="6"/>
        <v/>
      </c>
      <c r="T1800" s="37" t="str">
        <f t="shared" si="7"/>
        <v/>
      </c>
      <c r="U1800" s="37" t="str">
        <f t="array" ref="U1800">IF($F1800="","",IFERROR(INDEX(Config!$F:$F,MATCH($F1800,Config!$D:$D,0)),0))</f>
        <v/>
      </c>
    </row>
    <row r="1801" ht="15.0" customHeight="1">
      <c r="A1801" s="34"/>
      <c r="B1801" s="35"/>
      <c r="C1801" s="15"/>
      <c r="D1801" s="15"/>
      <c r="E1801" s="15"/>
      <c r="F1801" s="15"/>
      <c r="G1801" s="36" t="str">
        <f t="array" ref="G1801">IF($F1801="","",IFERROR(INDEX(Config!$E:$E,MATCH($F1801,Config!$D:$D,0)),0))</f>
        <v/>
      </c>
      <c r="H1801" s="16"/>
      <c r="I1801" s="36" t="str">
        <f t="shared" si="1"/>
        <v/>
      </c>
      <c r="J1801" s="16"/>
      <c r="K1801" s="15"/>
      <c r="L1801" s="15"/>
      <c r="M1801" s="36" t="str">
        <f t="array" ref="M1801">IF($A1801="","",IF($L1801="Atendido",IFERROR($I1801*INDEX(Config!$B:$B,MATCH($C1801,Config!$A:$A,0)),0),0))</f>
        <v/>
      </c>
      <c r="N1801" s="36" t="str">
        <f t="shared" si="2"/>
        <v/>
      </c>
      <c r="O1801" s="36" t="str">
        <f t="shared" si="3"/>
        <v/>
      </c>
      <c r="P1801" s="15"/>
      <c r="Q1801" s="37" t="str">
        <f t="shared" si="4"/>
        <v/>
      </c>
      <c r="R1801" s="37" t="str">
        <f t="shared" si="5"/>
        <v/>
      </c>
      <c r="S1801" s="32" t="str">
        <f t="shared" si="6"/>
        <v/>
      </c>
      <c r="T1801" s="37" t="str">
        <f t="shared" si="7"/>
        <v/>
      </c>
      <c r="U1801" s="37" t="str">
        <f t="array" ref="U1801">IF($F1801="","",IFERROR(INDEX(Config!$F:$F,MATCH($F1801,Config!$D:$D,0)),0))</f>
        <v/>
      </c>
    </row>
    <row r="1802" ht="15.0" customHeight="1">
      <c r="A1802" s="34"/>
      <c r="B1802" s="35"/>
      <c r="C1802" s="15"/>
      <c r="D1802" s="15"/>
      <c r="E1802" s="15"/>
      <c r="F1802" s="15"/>
      <c r="G1802" s="36" t="str">
        <f t="array" ref="G1802">IF($F1802="","",IFERROR(INDEX(Config!$E:$E,MATCH($F1802,Config!$D:$D,0)),0))</f>
        <v/>
      </c>
      <c r="H1802" s="16"/>
      <c r="I1802" s="36" t="str">
        <f t="shared" si="1"/>
        <v/>
      </c>
      <c r="J1802" s="16"/>
      <c r="K1802" s="15"/>
      <c r="L1802" s="15"/>
      <c r="M1802" s="36" t="str">
        <f t="array" ref="M1802">IF($A1802="","",IF($L1802="Atendido",IFERROR($I1802*INDEX(Config!$B:$B,MATCH($C1802,Config!$A:$A,0)),0),0))</f>
        <v/>
      </c>
      <c r="N1802" s="36" t="str">
        <f t="shared" si="2"/>
        <v/>
      </c>
      <c r="O1802" s="36" t="str">
        <f t="shared" si="3"/>
        <v/>
      </c>
      <c r="P1802" s="15"/>
      <c r="Q1802" s="37" t="str">
        <f t="shared" si="4"/>
        <v/>
      </c>
      <c r="R1802" s="37" t="str">
        <f t="shared" si="5"/>
        <v/>
      </c>
      <c r="S1802" s="32" t="str">
        <f t="shared" si="6"/>
        <v/>
      </c>
      <c r="T1802" s="37" t="str">
        <f t="shared" si="7"/>
        <v/>
      </c>
      <c r="U1802" s="37" t="str">
        <f t="array" ref="U1802">IF($F1802="","",IFERROR(INDEX(Config!$F:$F,MATCH($F1802,Config!$D:$D,0)),0))</f>
        <v/>
      </c>
    </row>
    <row r="1803" ht="15.0" customHeight="1">
      <c r="A1803" s="34"/>
      <c r="B1803" s="35"/>
      <c r="C1803" s="15"/>
      <c r="D1803" s="15"/>
      <c r="E1803" s="15"/>
      <c r="F1803" s="15"/>
      <c r="G1803" s="36" t="str">
        <f t="array" ref="G1803">IF($F1803="","",IFERROR(INDEX(Config!$E:$E,MATCH($F1803,Config!$D:$D,0)),0))</f>
        <v/>
      </c>
      <c r="H1803" s="16"/>
      <c r="I1803" s="36" t="str">
        <f t="shared" si="1"/>
        <v/>
      </c>
      <c r="J1803" s="16"/>
      <c r="K1803" s="15"/>
      <c r="L1803" s="15"/>
      <c r="M1803" s="36" t="str">
        <f t="array" ref="M1803">IF($A1803="","",IF($L1803="Atendido",IFERROR($I1803*INDEX(Config!$B:$B,MATCH($C1803,Config!$A:$A,0)),0),0))</f>
        <v/>
      </c>
      <c r="N1803" s="36" t="str">
        <f t="shared" si="2"/>
        <v/>
      </c>
      <c r="O1803" s="36" t="str">
        <f t="shared" si="3"/>
        <v/>
      </c>
      <c r="P1803" s="15"/>
      <c r="Q1803" s="37" t="str">
        <f t="shared" si="4"/>
        <v/>
      </c>
      <c r="R1803" s="37" t="str">
        <f t="shared" si="5"/>
        <v/>
      </c>
      <c r="S1803" s="32" t="str">
        <f t="shared" si="6"/>
        <v/>
      </c>
      <c r="T1803" s="37" t="str">
        <f t="shared" si="7"/>
        <v/>
      </c>
      <c r="U1803" s="37" t="str">
        <f t="array" ref="U1803">IF($F1803="","",IFERROR(INDEX(Config!$F:$F,MATCH($F1803,Config!$D:$D,0)),0))</f>
        <v/>
      </c>
    </row>
    <row r="1804" ht="15.0" customHeight="1">
      <c r="A1804" s="34"/>
      <c r="B1804" s="35"/>
      <c r="C1804" s="15"/>
      <c r="D1804" s="15"/>
      <c r="E1804" s="15"/>
      <c r="F1804" s="15"/>
      <c r="G1804" s="36" t="str">
        <f t="array" ref="G1804">IF($F1804="","",IFERROR(INDEX(Config!$E:$E,MATCH($F1804,Config!$D:$D,0)),0))</f>
        <v/>
      </c>
      <c r="H1804" s="16"/>
      <c r="I1804" s="36" t="str">
        <f t="shared" si="1"/>
        <v/>
      </c>
      <c r="J1804" s="16"/>
      <c r="K1804" s="15"/>
      <c r="L1804" s="15"/>
      <c r="M1804" s="36" t="str">
        <f t="array" ref="M1804">IF($A1804="","",IF($L1804="Atendido",IFERROR($I1804*INDEX(Config!$B:$B,MATCH($C1804,Config!$A:$A,0)),0),0))</f>
        <v/>
      </c>
      <c r="N1804" s="36" t="str">
        <f t="shared" si="2"/>
        <v/>
      </c>
      <c r="O1804" s="36" t="str">
        <f t="shared" si="3"/>
        <v/>
      </c>
      <c r="P1804" s="15"/>
      <c r="Q1804" s="37" t="str">
        <f t="shared" si="4"/>
        <v/>
      </c>
      <c r="R1804" s="37" t="str">
        <f t="shared" si="5"/>
        <v/>
      </c>
      <c r="S1804" s="32" t="str">
        <f t="shared" si="6"/>
        <v/>
      </c>
      <c r="T1804" s="37" t="str">
        <f t="shared" si="7"/>
        <v/>
      </c>
      <c r="U1804" s="37" t="str">
        <f t="array" ref="U1804">IF($F1804="","",IFERROR(INDEX(Config!$F:$F,MATCH($F1804,Config!$D:$D,0)),0))</f>
        <v/>
      </c>
    </row>
    <row r="1805" ht="15.0" customHeight="1">
      <c r="A1805" s="34"/>
      <c r="B1805" s="35"/>
      <c r="C1805" s="15"/>
      <c r="D1805" s="15"/>
      <c r="E1805" s="15"/>
      <c r="F1805" s="15"/>
      <c r="G1805" s="36" t="str">
        <f t="array" ref="G1805">IF($F1805="","",IFERROR(INDEX(Config!$E:$E,MATCH($F1805,Config!$D:$D,0)),0))</f>
        <v/>
      </c>
      <c r="H1805" s="16"/>
      <c r="I1805" s="36" t="str">
        <f t="shared" si="1"/>
        <v/>
      </c>
      <c r="J1805" s="16"/>
      <c r="K1805" s="15"/>
      <c r="L1805" s="15"/>
      <c r="M1805" s="36" t="str">
        <f t="array" ref="M1805">IF($A1805="","",IF($L1805="Atendido",IFERROR($I1805*INDEX(Config!$B:$B,MATCH($C1805,Config!$A:$A,0)),0),0))</f>
        <v/>
      </c>
      <c r="N1805" s="36" t="str">
        <f t="shared" si="2"/>
        <v/>
      </c>
      <c r="O1805" s="36" t="str">
        <f t="shared" si="3"/>
        <v/>
      </c>
      <c r="P1805" s="15"/>
      <c r="Q1805" s="37" t="str">
        <f t="shared" si="4"/>
        <v/>
      </c>
      <c r="R1805" s="37" t="str">
        <f t="shared" si="5"/>
        <v/>
      </c>
      <c r="S1805" s="32" t="str">
        <f t="shared" si="6"/>
        <v/>
      </c>
      <c r="T1805" s="37" t="str">
        <f t="shared" si="7"/>
        <v/>
      </c>
      <c r="U1805" s="37" t="str">
        <f t="array" ref="U1805">IF($F1805="","",IFERROR(INDEX(Config!$F:$F,MATCH($F1805,Config!$D:$D,0)),0))</f>
        <v/>
      </c>
    </row>
    <row r="1806" ht="15.0" customHeight="1">
      <c r="A1806" s="34"/>
      <c r="B1806" s="35"/>
      <c r="C1806" s="15"/>
      <c r="D1806" s="15"/>
      <c r="E1806" s="15"/>
      <c r="F1806" s="15"/>
      <c r="G1806" s="36" t="str">
        <f t="array" ref="G1806">IF($F1806="","",IFERROR(INDEX(Config!$E:$E,MATCH($F1806,Config!$D:$D,0)),0))</f>
        <v/>
      </c>
      <c r="H1806" s="16"/>
      <c r="I1806" s="36" t="str">
        <f t="shared" si="1"/>
        <v/>
      </c>
      <c r="J1806" s="16"/>
      <c r="K1806" s="15"/>
      <c r="L1806" s="15"/>
      <c r="M1806" s="36" t="str">
        <f t="array" ref="M1806">IF($A1806="","",IF($L1806="Atendido",IFERROR($I1806*INDEX(Config!$B:$B,MATCH($C1806,Config!$A:$A,0)),0),0))</f>
        <v/>
      </c>
      <c r="N1806" s="36" t="str">
        <f t="shared" si="2"/>
        <v/>
      </c>
      <c r="O1806" s="36" t="str">
        <f t="shared" si="3"/>
        <v/>
      </c>
      <c r="P1806" s="15"/>
      <c r="Q1806" s="37" t="str">
        <f t="shared" si="4"/>
        <v/>
      </c>
      <c r="R1806" s="37" t="str">
        <f t="shared" si="5"/>
        <v/>
      </c>
      <c r="S1806" s="32" t="str">
        <f t="shared" si="6"/>
        <v/>
      </c>
      <c r="T1806" s="37" t="str">
        <f t="shared" si="7"/>
        <v/>
      </c>
      <c r="U1806" s="37" t="str">
        <f t="array" ref="U1806">IF($F1806="","",IFERROR(INDEX(Config!$F:$F,MATCH($F1806,Config!$D:$D,0)),0))</f>
        <v/>
      </c>
    </row>
    <row r="1807" ht="15.0" customHeight="1">
      <c r="A1807" s="34"/>
      <c r="B1807" s="35"/>
      <c r="C1807" s="15"/>
      <c r="D1807" s="15"/>
      <c r="E1807" s="15"/>
      <c r="F1807" s="15"/>
      <c r="G1807" s="36" t="str">
        <f t="array" ref="G1807">IF($F1807="","",IFERROR(INDEX(Config!$E:$E,MATCH($F1807,Config!$D:$D,0)),0))</f>
        <v/>
      </c>
      <c r="H1807" s="16"/>
      <c r="I1807" s="36" t="str">
        <f t="shared" si="1"/>
        <v/>
      </c>
      <c r="J1807" s="16"/>
      <c r="K1807" s="15"/>
      <c r="L1807" s="15"/>
      <c r="M1807" s="36" t="str">
        <f t="array" ref="M1807">IF($A1807="","",IF($L1807="Atendido",IFERROR($I1807*INDEX(Config!$B:$B,MATCH($C1807,Config!$A:$A,0)),0),0))</f>
        <v/>
      </c>
      <c r="N1807" s="36" t="str">
        <f t="shared" si="2"/>
        <v/>
      </c>
      <c r="O1807" s="36" t="str">
        <f t="shared" si="3"/>
        <v/>
      </c>
      <c r="P1807" s="15"/>
      <c r="Q1807" s="37" t="str">
        <f t="shared" si="4"/>
        <v/>
      </c>
      <c r="R1807" s="37" t="str">
        <f t="shared" si="5"/>
        <v/>
      </c>
      <c r="S1807" s="32" t="str">
        <f t="shared" si="6"/>
        <v/>
      </c>
      <c r="T1807" s="37" t="str">
        <f t="shared" si="7"/>
        <v/>
      </c>
      <c r="U1807" s="37" t="str">
        <f t="array" ref="U1807">IF($F1807="","",IFERROR(INDEX(Config!$F:$F,MATCH($F1807,Config!$D:$D,0)),0))</f>
        <v/>
      </c>
    </row>
    <row r="1808" ht="15.0" customHeight="1">
      <c r="A1808" s="34"/>
      <c r="B1808" s="35"/>
      <c r="C1808" s="15"/>
      <c r="D1808" s="15"/>
      <c r="E1808" s="15"/>
      <c r="F1808" s="15"/>
      <c r="G1808" s="36" t="str">
        <f t="array" ref="G1808">IF($F1808="","",IFERROR(INDEX(Config!$E:$E,MATCH($F1808,Config!$D:$D,0)),0))</f>
        <v/>
      </c>
      <c r="H1808" s="16"/>
      <c r="I1808" s="36" t="str">
        <f t="shared" si="1"/>
        <v/>
      </c>
      <c r="J1808" s="16"/>
      <c r="K1808" s="15"/>
      <c r="L1808" s="15"/>
      <c r="M1808" s="36" t="str">
        <f t="array" ref="M1808">IF($A1808="","",IF($L1808="Atendido",IFERROR($I1808*INDEX(Config!$B:$B,MATCH($C1808,Config!$A:$A,0)),0),0))</f>
        <v/>
      </c>
      <c r="N1808" s="36" t="str">
        <f t="shared" si="2"/>
        <v/>
      </c>
      <c r="O1808" s="36" t="str">
        <f t="shared" si="3"/>
        <v/>
      </c>
      <c r="P1808" s="15"/>
      <c r="Q1808" s="37" t="str">
        <f t="shared" si="4"/>
        <v/>
      </c>
      <c r="R1808" s="37" t="str">
        <f t="shared" si="5"/>
        <v/>
      </c>
      <c r="S1808" s="32" t="str">
        <f t="shared" si="6"/>
        <v/>
      </c>
      <c r="T1808" s="37" t="str">
        <f t="shared" si="7"/>
        <v/>
      </c>
      <c r="U1808" s="37" t="str">
        <f t="array" ref="U1808">IF($F1808="","",IFERROR(INDEX(Config!$F:$F,MATCH($F1808,Config!$D:$D,0)),0))</f>
        <v/>
      </c>
    </row>
    <row r="1809" ht="15.0" customHeight="1">
      <c r="A1809" s="34"/>
      <c r="B1809" s="35"/>
      <c r="C1809" s="15"/>
      <c r="D1809" s="15"/>
      <c r="E1809" s="15"/>
      <c r="F1809" s="15"/>
      <c r="G1809" s="36" t="str">
        <f t="array" ref="G1809">IF($F1809="","",IFERROR(INDEX(Config!$E:$E,MATCH($F1809,Config!$D:$D,0)),0))</f>
        <v/>
      </c>
      <c r="H1809" s="16"/>
      <c r="I1809" s="36" t="str">
        <f t="shared" si="1"/>
        <v/>
      </c>
      <c r="J1809" s="16"/>
      <c r="K1809" s="15"/>
      <c r="L1809" s="15"/>
      <c r="M1809" s="36" t="str">
        <f t="array" ref="M1809">IF($A1809="","",IF($L1809="Atendido",IFERROR($I1809*INDEX(Config!$B:$B,MATCH($C1809,Config!$A:$A,0)),0),0))</f>
        <v/>
      </c>
      <c r="N1809" s="36" t="str">
        <f t="shared" si="2"/>
        <v/>
      </c>
      <c r="O1809" s="36" t="str">
        <f t="shared" si="3"/>
        <v/>
      </c>
      <c r="P1809" s="15"/>
      <c r="Q1809" s="37" t="str">
        <f t="shared" si="4"/>
        <v/>
      </c>
      <c r="R1809" s="37" t="str">
        <f t="shared" si="5"/>
        <v/>
      </c>
      <c r="S1809" s="32" t="str">
        <f t="shared" si="6"/>
        <v/>
      </c>
      <c r="T1809" s="37" t="str">
        <f t="shared" si="7"/>
        <v/>
      </c>
      <c r="U1809" s="37" t="str">
        <f t="array" ref="U1809">IF($F1809="","",IFERROR(INDEX(Config!$F:$F,MATCH($F1809,Config!$D:$D,0)),0))</f>
        <v/>
      </c>
    </row>
    <row r="1810" ht="15.0" customHeight="1">
      <c r="A1810" s="34"/>
      <c r="B1810" s="35"/>
      <c r="C1810" s="15"/>
      <c r="D1810" s="15"/>
      <c r="E1810" s="15"/>
      <c r="F1810" s="15"/>
      <c r="G1810" s="36" t="str">
        <f t="array" ref="G1810">IF($F1810="","",IFERROR(INDEX(Config!$E:$E,MATCH($F1810,Config!$D:$D,0)),0))</f>
        <v/>
      </c>
      <c r="H1810" s="16"/>
      <c r="I1810" s="36" t="str">
        <f t="shared" si="1"/>
        <v/>
      </c>
      <c r="J1810" s="16"/>
      <c r="K1810" s="15"/>
      <c r="L1810" s="15"/>
      <c r="M1810" s="36" t="str">
        <f t="array" ref="M1810">IF($A1810="","",IF($L1810="Atendido",IFERROR($I1810*INDEX(Config!$B:$B,MATCH($C1810,Config!$A:$A,0)),0),0))</f>
        <v/>
      </c>
      <c r="N1810" s="36" t="str">
        <f t="shared" si="2"/>
        <v/>
      </c>
      <c r="O1810" s="36" t="str">
        <f t="shared" si="3"/>
        <v/>
      </c>
      <c r="P1810" s="15"/>
      <c r="Q1810" s="37" t="str">
        <f t="shared" si="4"/>
        <v/>
      </c>
      <c r="R1810" s="37" t="str">
        <f t="shared" si="5"/>
        <v/>
      </c>
      <c r="S1810" s="32" t="str">
        <f t="shared" si="6"/>
        <v/>
      </c>
      <c r="T1810" s="37" t="str">
        <f t="shared" si="7"/>
        <v/>
      </c>
      <c r="U1810" s="37" t="str">
        <f t="array" ref="U1810">IF($F1810="","",IFERROR(INDEX(Config!$F:$F,MATCH($F1810,Config!$D:$D,0)),0))</f>
        <v/>
      </c>
    </row>
    <row r="1811" ht="15.0" customHeight="1">
      <c r="A1811" s="34"/>
      <c r="B1811" s="35"/>
      <c r="C1811" s="15"/>
      <c r="D1811" s="15"/>
      <c r="E1811" s="15"/>
      <c r="F1811" s="15"/>
      <c r="G1811" s="36" t="str">
        <f t="array" ref="G1811">IF($F1811="","",IFERROR(INDEX(Config!$E:$E,MATCH($F1811,Config!$D:$D,0)),0))</f>
        <v/>
      </c>
      <c r="H1811" s="16"/>
      <c r="I1811" s="36" t="str">
        <f t="shared" si="1"/>
        <v/>
      </c>
      <c r="J1811" s="16"/>
      <c r="K1811" s="15"/>
      <c r="L1811" s="15"/>
      <c r="M1811" s="36" t="str">
        <f t="array" ref="M1811">IF($A1811="","",IF($L1811="Atendido",IFERROR($I1811*INDEX(Config!$B:$B,MATCH($C1811,Config!$A:$A,0)),0),0))</f>
        <v/>
      </c>
      <c r="N1811" s="36" t="str">
        <f t="shared" si="2"/>
        <v/>
      </c>
      <c r="O1811" s="36" t="str">
        <f t="shared" si="3"/>
        <v/>
      </c>
      <c r="P1811" s="15"/>
      <c r="Q1811" s="37" t="str">
        <f t="shared" si="4"/>
        <v/>
      </c>
      <c r="R1811" s="37" t="str">
        <f t="shared" si="5"/>
        <v/>
      </c>
      <c r="S1811" s="32" t="str">
        <f t="shared" si="6"/>
        <v/>
      </c>
      <c r="T1811" s="37" t="str">
        <f t="shared" si="7"/>
        <v/>
      </c>
      <c r="U1811" s="37" t="str">
        <f t="array" ref="U1811">IF($F1811="","",IFERROR(INDEX(Config!$F:$F,MATCH($F1811,Config!$D:$D,0)),0))</f>
        <v/>
      </c>
    </row>
    <row r="1812" ht="15.0" customHeight="1">
      <c r="A1812" s="34"/>
      <c r="B1812" s="35"/>
      <c r="C1812" s="15"/>
      <c r="D1812" s="15"/>
      <c r="E1812" s="15"/>
      <c r="F1812" s="15"/>
      <c r="G1812" s="36" t="str">
        <f t="array" ref="G1812">IF($F1812="","",IFERROR(INDEX(Config!$E:$E,MATCH($F1812,Config!$D:$D,0)),0))</f>
        <v/>
      </c>
      <c r="H1812" s="16"/>
      <c r="I1812" s="36" t="str">
        <f t="shared" si="1"/>
        <v/>
      </c>
      <c r="J1812" s="16"/>
      <c r="K1812" s="15"/>
      <c r="L1812" s="15"/>
      <c r="M1812" s="36" t="str">
        <f t="array" ref="M1812">IF($A1812="","",IF($L1812="Atendido",IFERROR($I1812*INDEX(Config!$B:$B,MATCH($C1812,Config!$A:$A,0)),0),0))</f>
        <v/>
      </c>
      <c r="N1812" s="36" t="str">
        <f t="shared" si="2"/>
        <v/>
      </c>
      <c r="O1812" s="36" t="str">
        <f t="shared" si="3"/>
        <v/>
      </c>
      <c r="P1812" s="15"/>
      <c r="Q1812" s="37" t="str">
        <f t="shared" si="4"/>
        <v/>
      </c>
      <c r="R1812" s="37" t="str">
        <f t="shared" si="5"/>
        <v/>
      </c>
      <c r="S1812" s="32" t="str">
        <f t="shared" si="6"/>
        <v/>
      </c>
      <c r="T1812" s="37" t="str">
        <f t="shared" si="7"/>
        <v/>
      </c>
      <c r="U1812" s="37" t="str">
        <f t="array" ref="U1812">IF($F1812="","",IFERROR(INDEX(Config!$F:$F,MATCH($F1812,Config!$D:$D,0)),0))</f>
        <v/>
      </c>
    </row>
    <row r="1813" ht="15.0" customHeight="1">
      <c r="A1813" s="34"/>
      <c r="B1813" s="35"/>
      <c r="C1813" s="15"/>
      <c r="D1813" s="15"/>
      <c r="E1813" s="15"/>
      <c r="F1813" s="15"/>
      <c r="G1813" s="36" t="str">
        <f t="array" ref="G1813">IF($F1813="","",IFERROR(INDEX(Config!$E:$E,MATCH($F1813,Config!$D:$D,0)),0))</f>
        <v/>
      </c>
      <c r="H1813" s="16"/>
      <c r="I1813" s="36" t="str">
        <f t="shared" si="1"/>
        <v/>
      </c>
      <c r="J1813" s="16"/>
      <c r="K1813" s="15"/>
      <c r="L1813" s="15"/>
      <c r="M1813" s="36" t="str">
        <f t="array" ref="M1813">IF($A1813="","",IF($L1813="Atendido",IFERROR($I1813*INDEX(Config!$B:$B,MATCH($C1813,Config!$A:$A,0)),0),0))</f>
        <v/>
      </c>
      <c r="N1813" s="36" t="str">
        <f t="shared" si="2"/>
        <v/>
      </c>
      <c r="O1813" s="36" t="str">
        <f t="shared" si="3"/>
        <v/>
      </c>
      <c r="P1813" s="15"/>
      <c r="Q1813" s="37" t="str">
        <f t="shared" si="4"/>
        <v/>
      </c>
      <c r="R1813" s="37" t="str">
        <f t="shared" si="5"/>
        <v/>
      </c>
      <c r="S1813" s="32" t="str">
        <f t="shared" si="6"/>
        <v/>
      </c>
      <c r="T1813" s="37" t="str">
        <f t="shared" si="7"/>
        <v/>
      </c>
      <c r="U1813" s="37" t="str">
        <f t="array" ref="U1813">IF($F1813="","",IFERROR(INDEX(Config!$F:$F,MATCH($F1813,Config!$D:$D,0)),0))</f>
        <v/>
      </c>
    </row>
    <row r="1814" ht="15.0" customHeight="1">
      <c r="A1814" s="34"/>
      <c r="B1814" s="35"/>
      <c r="C1814" s="15"/>
      <c r="D1814" s="15"/>
      <c r="E1814" s="15"/>
      <c r="F1814" s="15"/>
      <c r="G1814" s="36" t="str">
        <f t="array" ref="G1814">IF($F1814="","",IFERROR(INDEX(Config!$E:$E,MATCH($F1814,Config!$D:$D,0)),0))</f>
        <v/>
      </c>
      <c r="H1814" s="16"/>
      <c r="I1814" s="36" t="str">
        <f t="shared" si="1"/>
        <v/>
      </c>
      <c r="J1814" s="16"/>
      <c r="K1814" s="15"/>
      <c r="L1814" s="15"/>
      <c r="M1814" s="36" t="str">
        <f t="array" ref="M1814">IF($A1814="","",IF($L1814="Atendido",IFERROR($I1814*INDEX(Config!$B:$B,MATCH($C1814,Config!$A:$A,0)),0),0))</f>
        <v/>
      </c>
      <c r="N1814" s="36" t="str">
        <f t="shared" si="2"/>
        <v/>
      </c>
      <c r="O1814" s="36" t="str">
        <f t="shared" si="3"/>
        <v/>
      </c>
      <c r="P1814" s="15"/>
      <c r="Q1814" s="37" t="str">
        <f t="shared" si="4"/>
        <v/>
      </c>
      <c r="R1814" s="37" t="str">
        <f t="shared" si="5"/>
        <v/>
      </c>
      <c r="S1814" s="32" t="str">
        <f t="shared" si="6"/>
        <v/>
      </c>
      <c r="T1814" s="37" t="str">
        <f t="shared" si="7"/>
        <v/>
      </c>
      <c r="U1814" s="37" t="str">
        <f t="array" ref="U1814">IF($F1814="","",IFERROR(INDEX(Config!$F:$F,MATCH($F1814,Config!$D:$D,0)),0))</f>
        <v/>
      </c>
    </row>
    <row r="1815" ht="15.0" customHeight="1">
      <c r="A1815" s="34"/>
      <c r="B1815" s="35"/>
      <c r="C1815" s="15"/>
      <c r="D1815" s="15"/>
      <c r="E1815" s="15"/>
      <c r="F1815" s="15"/>
      <c r="G1815" s="36" t="str">
        <f t="array" ref="G1815">IF($F1815="","",IFERROR(INDEX(Config!$E:$E,MATCH($F1815,Config!$D:$D,0)),0))</f>
        <v/>
      </c>
      <c r="H1815" s="16"/>
      <c r="I1815" s="36" t="str">
        <f t="shared" si="1"/>
        <v/>
      </c>
      <c r="J1815" s="16"/>
      <c r="K1815" s="15"/>
      <c r="L1815" s="15"/>
      <c r="M1815" s="36" t="str">
        <f t="array" ref="M1815">IF($A1815="","",IF($L1815="Atendido",IFERROR($I1815*INDEX(Config!$B:$B,MATCH($C1815,Config!$A:$A,0)),0),0))</f>
        <v/>
      </c>
      <c r="N1815" s="36" t="str">
        <f t="shared" si="2"/>
        <v/>
      </c>
      <c r="O1815" s="36" t="str">
        <f t="shared" si="3"/>
        <v/>
      </c>
      <c r="P1815" s="15"/>
      <c r="Q1815" s="37" t="str">
        <f t="shared" si="4"/>
        <v/>
      </c>
      <c r="R1815" s="37" t="str">
        <f t="shared" si="5"/>
        <v/>
      </c>
      <c r="S1815" s="32" t="str">
        <f t="shared" si="6"/>
        <v/>
      </c>
      <c r="T1815" s="37" t="str">
        <f t="shared" si="7"/>
        <v/>
      </c>
      <c r="U1815" s="37" t="str">
        <f t="array" ref="U1815">IF($F1815="","",IFERROR(INDEX(Config!$F:$F,MATCH($F1815,Config!$D:$D,0)),0))</f>
        <v/>
      </c>
    </row>
    <row r="1816" ht="15.0" customHeight="1">
      <c r="A1816" s="34"/>
      <c r="B1816" s="35"/>
      <c r="C1816" s="15"/>
      <c r="D1816" s="15"/>
      <c r="E1816" s="15"/>
      <c r="F1816" s="15"/>
      <c r="G1816" s="36" t="str">
        <f t="array" ref="G1816">IF($F1816="","",IFERROR(INDEX(Config!$E:$E,MATCH($F1816,Config!$D:$D,0)),0))</f>
        <v/>
      </c>
      <c r="H1816" s="16"/>
      <c r="I1816" s="36" t="str">
        <f t="shared" si="1"/>
        <v/>
      </c>
      <c r="J1816" s="16"/>
      <c r="K1816" s="15"/>
      <c r="L1816" s="15"/>
      <c r="M1816" s="36" t="str">
        <f t="array" ref="M1816">IF($A1816="","",IF($L1816="Atendido",IFERROR($I1816*INDEX(Config!$B:$B,MATCH($C1816,Config!$A:$A,0)),0),0))</f>
        <v/>
      </c>
      <c r="N1816" s="36" t="str">
        <f t="shared" si="2"/>
        <v/>
      </c>
      <c r="O1816" s="36" t="str">
        <f t="shared" si="3"/>
        <v/>
      </c>
      <c r="P1816" s="15"/>
      <c r="Q1816" s="37" t="str">
        <f t="shared" si="4"/>
        <v/>
      </c>
      <c r="R1816" s="37" t="str">
        <f t="shared" si="5"/>
        <v/>
      </c>
      <c r="S1816" s="32" t="str">
        <f t="shared" si="6"/>
        <v/>
      </c>
      <c r="T1816" s="37" t="str">
        <f t="shared" si="7"/>
        <v/>
      </c>
      <c r="U1816" s="37" t="str">
        <f t="array" ref="U1816">IF($F1816="","",IFERROR(INDEX(Config!$F:$F,MATCH($F1816,Config!$D:$D,0)),0))</f>
        <v/>
      </c>
    </row>
    <row r="1817" ht="15.0" customHeight="1">
      <c r="A1817" s="34"/>
      <c r="B1817" s="35"/>
      <c r="C1817" s="15"/>
      <c r="D1817" s="15"/>
      <c r="E1817" s="15"/>
      <c r="F1817" s="15"/>
      <c r="G1817" s="36" t="str">
        <f t="array" ref="G1817">IF($F1817="","",IFERROR(INDEX(Config!$E:$E,MATCH($F1817,Config!$D:$D,0)),0))</f>
        <v/>
      </c>
      <c r="H1817" s="16"/>
      <c r="I1817" s="36" t="str">
        <f t="shared" si="1"/>
        <v/>
      </c>
      <c r="J1817" s="16"/>
      <c r="K1817" s="15"/>
      <c r="L1817" s="15"/>
      <c r="M1817" s="36" t="str">
        <f t="array" ref="M1817">IF($A1817="","",IF($L1817="Atendido",IFERROR($I1817*INDEX(Config!$B:$B,MATCH($C1817,Config!$A:$A,0)),0),0))</f>
        <v/>
      </c>
      <c r="N1817" s="36" t="str">
        <f t="shared" si="2"/>
        <v/>
      </c>
      <c r="O1817" s="36" t="str">
        <f t="shared" si="3"/>
        <v/>
      </c>
      <c r="P1817" s="15"/>
      <c r="Q1817" s="37" t="str">
        <f t="shared" si="4"/>
        <v/>
      </c>
      <c r="R1817" s="37" t="str">
        <f t="shared" si="5"/>
        <v/>
      </c>
      <c r="S1817" s="32" t="str">
        <f t="shared" si="6"/>
        <v/>
      </c>
      <c r="T1817" s="37" t="str">
        <f t="shared" si="7"/>
        <v/>
      </c>
      <c r="U1817" s="37" t="str">
        <f t="array" ref="U1817">IF($F1817="","",IFERROR(INDEX(Config!$F:$F,MATCH($F1817,Config!$D:$D,0)),0))</f>
        <v/>
      </c>
    </row>
    <row r="1818" ht="15.0" customHeight="1">
      <c r="A1818" s="34"/>
      <c r="B1818" s="35"/>
      <c r="C1818" s="15"/>
      <c r="D1818" s="15"/>
      <c r="E1818" s="15"/>
      <c r="F1818" s="15"/>
      <c r="G1818" s="36" t="str">
        <f t="array" ref="G1818">IF($F1818="","",IFERROR(INDEX(Config!$E:$E,MATCH($F1818,Config!$D:$D,0)),0))</f>
        <v/>
      </c>
      <c r="H1818" s="16"/>
      <c r="I1818" s="36" t="str">
        <f t="shared" si="1"/>
        <v/>
      </c>
      <c r="J1818" s="16"/>
      <c r="K1818" s="15"/>
      <c r="L1818" s="15"/>
      <c r="M1818" s="36" t="str">
        <f t="array" ref="M1818">IF($A1818="","",IF($L1818="Atendido",IFERROR($I1818*INDEX(Config!$B:$B,MATCH($C1818,Config!$A:$A,0)),0),0))</f>
        <v/>
      </c>
      <c r="N1818" s="36" t="str">
        <f t="shared" si="2"/>
        <v/>
      </c>
      <c r="O1818" s="36" t="str">
        <f t="shared" si="3"/>
        <v/>
      </c>
      <c r="P1818" s="15"/>
      <c r="Q1818" s="37" t="str">
        <f t="shared" si="4"/>
        <v/>
      </c>
      <c r="R1818" s="37" t="str">
        <f t="shared" si="5"/>
        <v/>
      </c>
      <c r="S1818" s="32" t="str">
        <f t="shared" si="6"/>
        <v/>
      </c>
      <c r="T1818" s="37" t="str">
        <f t="shared" si="7"/>
        <v/>
      </c>
      <c r="U1818" s="37" t="str">
        <f t="array" ref="U1818">IF($F1818="","",IFERROR(INDEX(Config!$F:$F,MATCH($F1818,Config!$D:$D,0)),0))</f>
        <v/>
      </c>
    </row>
    <row r="1819" ht="15.0" customHeight="1">
      <c r="A1819" s="34"/>
      <c r="B1819" s="35"/>
      <c r="C1819" s="15"/>
      <c r="D1819" s="15"/>
      <c r="E1819" s="15"/>
      <c r="F1819" s="15"/>
      <c r="G1819" s="36" t="str">
        <f t="array" ref="G1819">IF($F1819="","",IFERROR(INDEX(Config!$E:$E,MATCH($F1819,Config!$D:$D,0)),0))</f>
        <v/>
      </c>
      <c r="H1819" s="16"/>
      <c r="I1819" s="36" t="str">
        <f t="shared" si="1"/>
        <v/>
      </c>
      <c r="J1819" s="16"/>
      <c r="K1819" s="15"/>
      <c r="L1819" s="15"/>
      <c r="M1819" s="36" t="str">
        <f t="array" ref="M1819">IF($A1819="","",IF($L1819="Atendido",IFERROR($I1819*INDEX(Config!$B:$B,MATCH($C1819,Config!$A:$A,0)),0),0))</f>
        <v/>
      </c>
      <c r="N1819" s="36" t="str">
        <f t="shared" si="2"/>
        <v/>
      </c>
      <c r="O1819" s="36" t="str">
        <f t="shared" si="3"/>
        <v/>
      </c>
      <c r="P1819" s="15"/>
      <c r="Q1819" s="37" t="str">
        <f t="shared" si="4"/>
        <v/>
      </c>
      <c r="R1819" s="37" t="str">
        <f t="shared" si="5"/>
        <v/>
      </c>
      <c r="S1819" s="32" t="str">
        <f t="shared" si="6"/>
        <v/>
      </c>
      <c r="T1819" s="37" t="str">
        <f t="shared" si="7"/>
        <v/>
      </c>
      <c r="U1819" s="37" t="str">
        <f t="array" ref="U1819">IF($F1819="","",IFERROR(INDEX(Config!$F:$F,MATCH($F1819,Config!$D:$D,0)),0))</f>
        <v/>
      </c>
    </row>
    <row r="1820" ht="15.0" customHeight="1">
      <c r="A1820" s="34"/>
      <c r="B1820" s="35"/>
      <c r="C1820" s="15"/>
      <c r="D1820" s="15"/>
      <c r="E1820" s="15"/>
      <c r="F1820" s="15"/>
      <c r="G1820" s="36" t="str">
        <f t="array" ref="G1820">IF($F1820="","",IFERROR(INDEX(Config!$E:$E,MATCH($F1820,Config!$D:$D,0)),0))</f>
        <v/>
      </c>
      <c r="H1820" s="16"/>
      <c r="I1820" s="36" t="str">
        <f t="shared" si="1"/>
        <v/>
      </c>
      <c r="J1820" s="16"/>
      <c r="K1820" s="15"/>
      <c r="L1820" s="15"/>
      <c r="M1820" s="36" t="str">
        <f t="array" ref="M1820">IF($A1820="","",IF($L1820="Atendido",IFERROR($I1820*INDEX(Config!$B:$B,MATCH($C1820,Config!$A:$A,0)),0),0))</f>
        <v/>
      </c>
      <c r="N1820" s="36" t="str">
        <f t="shared" si="2"/>
        <v/>
      </c>
      <c r="O1820" s="36" t="str">
        <f t="shared" si="3"/>
        <v/>
      </c>
      <c r="P1820" s="15"/>
      <c r="Q1820" s="37" t="str">
        <f t="shared" si="4"/>
        <v/>
      </c>
      <c r="R1820" s="37" t="str">
        <f t="shared" si="5"/>
        <v/>
      </c>
      <c r="S1820" s="32" t="str">
        <f t="shared" si="6"/>
        <v/>
      </c>
      <c r="T1820" s="37" t="str">
        <f t="shared" si="7"/>
        <v/>
      </c>
      <c r="U1820" s="37" t="str">
        <f t="array" ref="U1820">IF($F1820="","",IFERROR(INDEX(Config!$F:$F,MATCH($F1820,Config!$D:$D,0)),0))</f>
        <v/>
      </c>
    </row>
    <row r="1821" ht="15.0" customHeight="1">
      <c r="A1821" s="34"/>
      <c r="B1821" s="35"/>
      <c r="C1821" s="15"/>
      <c r="D1821" s="15"/>
      <c r="E1821" s="15"/>
      <c r="F1821" s="15"/>
      <c r="G1821" s="36" t="str">
        <f t="array" ref="G1821">IF($F1821="","",IFERROR(INDEX(Config!$E:$E,MATCH($F1821,Config!$D:$D,0)),0))</f>
        <v/>
      </c>
      <c r="H1821" s="16"/>
      <c r="I1821" s="36" t="str">
        <f t="shared" si="1"/>
        <v/>
      </c>
      <c r="J1821" s="16"/>
      <c r="K1821" s="15"/>
      <c r="L1821" s="15"/>
      <c r="M1821" s="36" t="str">
        <f t="array" ref="M1821">IF($A1821="","",IF($L1821="Atendido",IFERROR($I1821*INDEX(Config!$B:$B,MATCH($C1821,Config!$A:$A,0)),0),0))</f>
        <v/>
      </c>
      <c r="N1821" s="36" t="str">
        <f t="shared" si="2"/>
        <v/>
      </c>
      <c r="O1821" s="36" t="str">
        <f t="shared" si="3"/>
        <v/>
      </c>
      <c r="P1821" s="15"/>
      <c r="Q1821" s="37" t="str">
        <f t="shared" si="4"/>
        <v/>
      </c>
      <c r="R1821" s="37" t="str">
        <f t="shared" si="5"/>
        <v/>
      </c>
      <c r="S1821" s="32" t="str">
        <f t="shared" si="6"/>
        <v/>
      </c>
      <c r="T1821" s="37" t="str">
        <f t="shared" si="7"/>
        <v/>
      </c>
      <c r="U1821" s="37" t="str">
        <f t="array" ref="U1821">IF($F1821="","",IFERROR(INDEX(Config!$F:$F,MATCH($F1821,Config!$D:$D,0)),0))</f>
        <v/>
      </c>
    </row>
    <row r="1822" ht="15.0" customHeight="1">
      <c r="A1822" s="34"/>
      <c r="B1822" s="35"/>
      <c r="C1822" s="15"/>
      <c r="D1822" s="15"/>
      <c r="E1822" s="15"/>
      <c r="F1822" s="15"/>
      <c r="G1822" s="36" t="str">
        <f t="array" ref="G1822">IF($F1822="","",IFERROR(INDEX(Config!$E:$E,MATCH($F1822,Config!$D:$D,0)),0))</f>
        <v/>
      </c>
      <c r="H1822" s="16"/>
      <c r="I1822" s="36" t="str">
        <f t="shared" si="1"/>
        <v/>
      </c>
      <c r="J1822" s="16"/>
      <c r="K1822" s="15"/>
      <c r="L1822" s="15"/>
      <c r="M1822" s="36" t="str">
        <f t="array" ref="M1822">IF($A1822="","",IF($L1822="Atendido",IFERROR($I1822*INDEX(Config!$B:$B,MATCH($C1822,Config!$A:$A,0)),0),0))</f>
        <v/>
      </c>
      <c r="N1822" s="36" t="str">
        <f t="shared" si="2"/>
        <v/>
      </c>
      <c r="O1822" s="36" t="str">
        <f t="shared" si="3"/>
        <v/>
      </c>
      <c r="P1822" s="15"/>
      <c r="Q1822" s="37" t="str">
        <f t="shared" si="4"/>
        <v/>
      </c>
      <c r="R1822" s="37" t="str">
        <f t="shared" si="5"/>
        <v/>
      </c>
      <c r="S1822" s="32" t="str">
        <f t="shared" si="6"/>
        <v/>
      </c>
      <c r="T1822" s="37" t="str">
        <f t="shared" si="7"/>
        <v/>
      </c>
      <c r="U1822" s="37" t="str">
        <f t="array" ref="U1822">IF($F1822="","",IFERROR(INDEX(Config!$F:$F,MATCH($F1822,Config!$D:$D,0)),0))</f>
        <v/>
      </c>
    </row>
    <row r="1823" ht="15.0" customHeight="1">
      <c r="A1823" s="34"/>
      <c r="B1823" s="35"/>
      <c r="C1823" s="15"/>
      <c r="D1823" s="15"/>
      <c r="E1823" s="15"/>
      <c r="F1823" s="15"/>
      <c r="G1823" s="36" t="str">
        <f t="array" ref="G1823">IF($F1823="","",IFERROR(INDEX(Config!$E:$E,MATCH($F1823,Config!$D:$D,0)),0))</f>
        <v/>
      </c>
      <c r="H1823" s="16"/>
      <c r="I1823" s="36" t="str">
        <f t="shared" si="1"/>
        <v/>
      </c>
      <c r="J1823" s="16"/>
      <c r="K1823" s="15"/>
      <c r="L1823" s="15"/>
      <c r="M1823" s="36" t="str">
        <f t="array" ref="M1823">IF($A1823="","",IF($L1823="Atendido",IFERROR($I1823*INDEX(Config!$B:$B,MATCH($C1823,Config!$A:$A,0)),0),0))</f>
        <v/>
      </c>
      <c r="N1823" s="36" t="str">
        <f t="shared" si="2"/>
        <v/>
      </c>
      <c r="O1823" s="36" t="str">
        <f t="shared" si="3"/>
        <v/>
      </c>
      <c r="P1823" s="15"/>
      <c r="Q1823" s="37" t="str">
        <f t="shared" si="4"/>
        <v/>
      </c>
      <c r="R1823" s="37" t="str">
        <f t="shared" si="5"/>
        <v/>
      </c>
      <c r="S1823" s="32" t="str">
        <f t="shared" si="6"/>
        <v/>
      </c>
      <c r="T1823" s="37" t="str">
        <f t="shared" si="7"/>
        <v/>
      </c>
      <c r="U1823" s="37" t="str">
        <f t="array" ref="U1823">IF($F1823="","",IFERROR(INDEX(Config!$F:$F,MATCH($F1823,Config!$D:$D,0)),0))</f>
        <v/>
      </c>
    </row>
    <row r="1824" ht="15.0" customHeight="1">
      <c r="A1824" s="34"/>
      <c r="B1824" s="35"/>
      <c r="C1824" s="15"/>
      <c r="D1824" s="15"/>
      <c r="E1824" s="15"/>
      <c r="F1824" s="15"/>
      <c r="G1824" s="36" t="str">
        <f t="array" ref="G1824">IF($F1824="","",IFERROR(INDEX(Config!$E:$E,MATCH($F1824,Config!$D:$D,0)),0))</f>
        <v/>
      </c>
      <c r="H1824" s="16"/>
      <c r="I1824" s="36" t="str">
        <f t="shared" si="1"/>
        <v/>
      </c>
      <c r="J1824" s="16"/>
      <c r="K1824" s="15"/>
      <c r="L1824" s="15"/>
      <c r="M1824" s="36" t="str">
        <f t="array" ref="M1824">IF($A1824="","",IF($L1824="Atendido",IFERROR($I1824*INDEX(Config!$B:$B,MATCH($C1824,Config!$A:$A,0)),0),0))</f>
        <v/>
      </c>
      <c r="N1824" s="36" t="str">
        <f t="shared" si="2"/>
        <v/>
      </c>
      <c r="O1824" s="36" t="str">
        <f t="shared" si="3"/>
        <v/>
      </c>
      <c r="P1824" s="15"/>
      <c r="Q1824" s="37" t="str">
        <f t="shared" si="4"/>
        <v/>
      </c>
      <c r="R1824" s="37" t="str">
        <f t="shared" si="5"/>
        <v/>
      </c>
      <c r="S1824" s="32" t="str">
        <f t="shared" si="6"/>
        <v/>
      </c>
      <c r="T1824" s="37" t="str">
        <f t="shared" si="7"/>
        <v/>
      </c>
      <c r="U1824" s="37" t="str">
        <f t="array" ref="U1824">IF($F1824="","",IFERROR(INDEX(Config!$F:$F,MATCH($F1824,Config!$D:$D,0)),0))</f>
        <v/>
      </c>
    </row>
    <row r="1825" ht="15.0" customHeight="1">
      <c r="A1825" s="34"/>
      <c r="B1825" s="35"/>
      <c r="C1825" s="15"/>
      <c r="D1825" s="15"/>
      <c r="E1825" s="15"/>
      <c r="F1825" s="15"/>
      <c r="G1825" s="36" t="str">
        <f t="array" ref="G1825">IF($F1825="","",IFERROR(INDEX(Config!$E:$E,MATCH($F1825,Config!$D:$D,0)),0))</f>
        <v/>
      </c>
      <c r="H1825" s="16"/>
      <c r="I1825" s="36" t="str">
        <f t="shared" si="1"/>
        <v/>
      </c>
      <c r="J1825" s="16"/>
      <c r="K1825" s="15"/>
      <c r="L1825" s="15"/>
      <c r="M1825" s="36" t="str">
        <f t="array" ref="M1825">IF($A1825="","",IF($L1825="Atendido",IFERROR($I1825*INDEX(Config!$B:$B,MATCH($C1825,Config!$A:$A,0)),0),0))</f>
        <v/>
      </c>
      <c r="N1825" s="36" t="str">
        <f t="shared" si="2"/>
        <v/>
      </c>
      <c r="O1825" s="36" t="str">
        <f t="shared" si="3"/>
        <v/>
      </c>
      <c r="P1825" s="15"/>
      <c r="Q1825" s="37" t="str">
        <f t="shared" si="4"/>
        <v/>
      </c>
      <c r="R1825" s="37" t="str">
        <f t="shared" si="5"/>
        <v/>
      </c>
      <c r="S1825" s="32" t="str">
        <f t="shared" si="6"/>
        <v/>
      </c>
      <c r="T1825" s="37" t="str">
        <f t="shared" si="7"/>
        <v/>
      </c>
      <c r="U1825" s="37" t="str">
        <f t="array" ref="U1825">IF($F1825="","",IFERROR(INDEX(Config!$F:$F,MATCH($F1825,Config!$D:$D,0)),0))</f>
        <v/>
      </c>
    </row>
    <row r="1826" ht="15.0" customHeight="1">
      <c r="A1826" s="34"/>
      <c r="B1826" s="35"/>
      <c r="C1826" s="15"/>
      <c r="D1826" s="15"/>
      <c r="E1826" s="15"/>
      <c r="F1826" s="15"/>
      <c r="G1826" s="36" t="str">
        <f t="array" ref="G1826">IF($F1826="","",IFERROR(INDEX(Config!$E:$E,MATCH($F1826,Config!$D:$D,0)),0))</f>
        <v/>
      </c>
      <c r="H1826" s="16"/>
      <c r="I1826" s="36" t="str">
        <f t="shared" si="1"/>
        <v/>
      </c>
      <c r="J1826" s="16"/>
      <c r="K1826" s="15"/>
      <c r="L1826" s="15"/>
      <c r="M1826" s="36" t="str">
        <f t="array" ref="M1826">IF($A1826="","",IF($L1826="Atendido",IFERROR($I1826*INDEX(Config!$B:$B,MATCH($C1826,Config!$A:$A,0)),0),0))</f>
        <v/>
      </c>
      <c r="N1826" s="36" t="str">
        <f t="shared" si="2"/>
        <v/>
      </c>
      <c r="O1826" s="36" t="str">
        <f t="shared" si="3"/>
        <v/>
      </c>
      <c r="P1826" s="15"/>
      <c r="Q1826" s="37" t="str">
        <f t="shared" si="4"/>
        <v/>
      </c>
      <c r="R1826" s="37" t="str">
        <f t="shared" si="5"/>
        <v/>
      </c>
      <c r="S1826" s="32" t="str">
        <f t="shared" si="6"/>
        <v/>
      </c>
      <c r="T1826" s="37" t="str">
        <f t="shared" si="7"/>
        <v/>
      </c>
      <c r="U1826" s="37" t="str">
        <f t="array" ref="U1826">IF($F1826="","",IFERROR(INDEX(Config!$F:$F,MATCH($F1826,Config!$D:$D,0)),0))</f>
        <v/>
      </c>
    </row>
    <row r="1827" ht="15.0" customHeight="1">
      <c r="A1827" s="34"/>
      <c r="B1827" s="35"/>
      <c r="C1827" s="15"/>
      <c r="D1827" s="15"/>
      <c r="E1827" s="15"/>
      <c r="F1827" s="15"/>
      <c r="G1827" s="36" t="str">
        <f t="array" ref="G1827">IF($F1827="","",IFERROR(INDEX(Config!$E:$E,MATCH($F1827,Config!$D:$D,0)),0))</f>
        <v/>
      </c>
      <c r="H1827" s="16"/>
      <c r="I1827" s="36" t="str">
        <f t="shared" si="1"/>
        <v/>
      </c>
      <c r="J1827" s="16"/>
      <c r="K1827" s="15"/>
      <c r="L1827" s="15"/>
      <c r="M1827" s="36" t="str">
        <f t="array" ref="M1827">IF($A1827="","",IF($L1827="Atendido",IFERROR($I1827*INDEX(Config!$B:$B,MATCH($C1827,Config!$A:$A,0)),0),0))</f>
        <v/>
      </c>
      <c r="N1827" s="36" t="str">
        <f t="shared" si="2"/>
        <v/>
      </c>
      <c r="O1827" s="36" t="str">
        <f t="shared" si="3"/>
        <v/>
      </c>
      <c r="P1827" s="15"/>
      <c r="Q1827" s="37" t="str">
        <f t="shared" si="4"/>
        <v/>
      </c>
      <c r="R1827" s="37" t="str">
        <f t="shared" si="5"/>
        <v/>
      </c>
      <c r="S1827" s="32" t="str">
        <f t="shared" si="6"/>
        <v/>
      </c>
      <c r="T1827" s="37" t="str">
        <f t="shared" si="7"/>
        <v/>
      </c>
      <c r="U1827" s="37" t="str">
        <f t="array" ref="U1827">IF($F1827="","",IFERROR(INDEX(Config!$F:$F,MATCH($F1827,Config!$D:$D,0)),0))</f>
        <v/>
      </c>
    </row>
    <row r="1828" ht="15.0" customHeight="1">
      <c r="A1828" s="34"/>
      <c r="B1828" s="35"/>
      <c r="C1828" s="15"/>
      <c r="D1828" s="15"/>
      <c r="E1828" s="15"/>
      <c r="F1828" s="15"/>
      <c r="G1828" s="36" t="str">
        <f t="array" ref="G1828">IF($F1828="","",IFERROR(INDEX(Config!$E:$E,MATCH($F1828,Config!$D:$D,0)),0))</f>
        <v/>
      </c>
      <c r="H1828" s="16"/>
      <c r="I1828" s="36" t="str">
        <f t="shared" si="1"/>
        <v/>
      </c>
      <c r="J1828" s="16"/>
      <c r="K1828" s="15"/>
      <c r="L1828" s="15"/>
      <c r="M1828" s="36" t="str">
        <f t="array" ref="M1828">IF($A1828="","",IF($L1828="Atendido",IFERROR($I1828*INDEX(Config!$B:$B,MATCH($C1828,Config!$A:$A,0)),0),0))</f>
        <v/>
      </c>
      <c r="N1828" s="36" t="str">
        <f t="shared" si="2"/>
        <v/>
      </c>
      <c r="O1828" s="36" t="str">
        <f t="shared" si="3"/>
        <v/>
      </c>
      <c r="P1828" s="15"/>
      <c r="Q1828" s="37" t="str">
        <f t="shared" si="4"/>
        <v/>
      </c>
      <c r="R1828" s="37" t="str">
        <f t="shared" si="5"/>
        <v/>
      </c>
      <c r="S1828" s="32" t="str">
        <f t="shared" si="6"/>
        <v/>
      </c>
      <c r="T1828" s="37" t="str">
        <f t="shared" si="7"/>
        <v/>
      </c>
      <c r="U1828" s="37" t="str">
        <f t="array" ref="U1828">IF($F1828="","",IFERROR(INDEX(Config!$F:$F,MATCH($F1828,Config!$D:$D,0)),0))</f>
        <v/>
      </c>
    </row>
    <row r="1829" ht="15.0" customHeight="1">
      <c r="A1829" s="34"/>
      <c r="B1829" s="35"/>
      <c r="C1829" s="15"/>
      <c r="D1829" s="15"/>
      <c r="E1829" s="15"/>
      <c r="F1829" s="15"/>
      <c r="G1829" s="36" t="str">
        <f t="array" ref="G1829">IF($F1829="","",IFERROR(INDEX(Config!$E:$E,MATCH($F1829,Config!$D:$D,0)),0))</f>
        <v/>
      </c>
      <c r="H1829" s="16"/>
      <c r="I1829" s="36" t="str">
        <f t="shared" si="1"/>
        <v/>
      </c>
      <c r="J1829" s="16"/>
      <c r="K1829" s="15"/>
      <c r="L1829" s="15"/>
      <c r="M1829" s="36" t="str">
        <f t="array" ref="M1829">IF($A1829="","",IF($L1829="Atendido",IFERROR($I1829*INDEX(Config!$B:$B,MATCH($C1829,Config!$A:$A,0)),0),0))</f>
        <v/>
      </c>
      <c r="N1829" s="36" t="str">
        <f t="shared" si="2"/>
        <v/>
      </c>
      <c r="O1829" s="36" t="str">
        <f t="shared" si="3"/>
        <v/>
      </c>
      <c r="P1829" s="15"/>
      <c r="Q1829" s="37" t="str">
        <f t="shared" si="4"/>
        <v/>
      </c>
      <c r="R1829" s="37" t="str">
        <f t="shared" si="5"/>
        <v/>
      </c>
      <c r="S1829" s="32" t="str">
        <f t="shared" si="6"/>
        <v/>
      </c>
      <c r="T1829" s="37" t="str">
        <f t="shared" si="7"/>
        <v/>
      </c>
      <c r="U1829" s="37" t="str">
        <f t="array" ref="U1829">IF($F1829="","",IFERROR(INDEX(Config!$F:$F,MATCH($F1829,Config!$D:$D,0)),0))</f>
        <v/>
      </c>
    </row>
    <row r="1830" ht="15.0" customHeight="1">
      <c r="A1830" s="34"/>
      <c r="B1830" s="35"/>
      <c r="C1830" s="15"/>
      <c r="D1830" s="15"/>
      <c r="E1830" s="15"/>
      <c r="F1830" s="15"/>
      <c r="G1830" s="36" t="str">
        <f t="array" ref="G1830">IF($F1830="","",IFERROR(INDEX(Config!$E:$E,MATCH($F1830,Config!$D:$D,0)),0))</f>
        <v/>
      </c>
      <c r="H1830" s="16"/>
      <c r="I1830" s="36" t="str">
        <f t="shared" si="1"/>
        <v/>
      </c>
      <c r="J1830" s="16"/>
      <c r="K1830" s="15"/>
      <c r="L1830" s="15"/>
      <c r="M1830" s="36" t="str">
        <f t="array" ref="M1830">IF($A1830="","",IF($L1830="Atendido",IFERROR($I1830*INDEX(Config!$B:$B,MATCH($C1830,Config!$A:$A,0)),0),0))</f>
        <v/>
      </c>
      <c r="N1830" s="36" t="str">
        <f t="shared" si="2"/>
        <v/>
      </c>
      <c r="O1830" s="36" t="str">
        <f t="shared" si="3"/>
        <v/>
      </c>
      <c r="P1830" s="15"/>
      <c r="Q1830" s="37" t="str">
        <f t="shared" si="4"/>
        <v/>
      </c>
      <c r="R1830" s="37" t="str">
        <f t="shared" si="5"/>
        <v/>
      </c>
      <c r="S1830" s="32" t="str">
        <f t="shared" si="6"/>
        <v/>
      </c>
      <c r="T1830" s="37" t="str">
        <f t="shared" si="7"/>
        <v/>
      </c>
      <c r="U1830" s="37" t="str">
        <f t="array" ref="U1830">IF($F1830="","",IFERROR(INDEX(Config!$F:$F,MATCH($F1830,Config!$D:$D,0)),0))</f>
        <v/>
      </c>
    </row>
    <row r="1831" ht="15.0" customHeight="1">
      <c r="A1831" s="34"/>
      <c r="B1831" s="35"/>
      <c r="C1831" s="15"/>
      <c r="D1831" s="15"/>
      <c r="E1831" s="15"/>
      <c r="F1831" s="15"/>
      <c r="G1831" s="36" t="str">
        <f t="array" ref="G1831">IF($F1831="","",IFERROR(INDEX(Config!$E:$E,MATCH($F1831,Config!$D:$D,0)),0))</f>
        <v/>
      </c>
      <c r="H1831" s="16"/>
      <c r="I1831" s="36" t="str">
        <f t="shared" si="1"/>
        <v/>
      </c>
      <c r="J1831" s="16"/>
      <c r="K1831" s="15"/>
      <c r="L1831" s="15"/>
      <c r="M1831" s="36" t="str">
        <f t="array" ref="M1831">IF($A1831="","",IF($L1831="Atendido",IFERROR($I1831*INDEX(Config!$B:$B,MATCH($C1831,Config!$A:$A,0)),0),0))</f>
        <v/>
      </c>
      <c r="N1831" s="36" t="str">
        <f t="shared" si="2"/>
        <v/>
      </c>
      <c r="O1831" s="36" t="str">
        <f t="shared" si="3"/>
        <v/>
      </c>
      <c r="P1831" s="15"/>
      <c r="Q1831" s="37" t="str">
        <f t="shared" si="4"/>
        <v/>
      </c>
      <c r="R1831" s="37" t="str">
        <f t="shared" si="5"/>
        <v/>
      </c>
      <c r="S1831" s="32" t="str">
        <f t="shared" si="6"/>
        <v/>
      </c>
      <c r="T1831" s="37" t="str">
        <f t="shared" si="7"/>
        <v/>
      </c>
      <c r="U1831" s="37" t="str">
        <f t="array" ref="U1831">IF($F1831="","",IFERROR(INDEX(Config!$F:$F,MATCH($F1831,Config!$D:$D,0)),0))</f>
        <v/>
      </c>
    </row>
    <row r="1832" ht="15.0" customHeight="1">
      <c r="A1832" s="34"/>
      <c r="B1832" s="35"/>
      <c r="C1832" s="15"/>
      <c r="D1832" s="15"/>
      <c r="E1832" s="15"/>
      <c r="F1832" s="15"/>
      <c r="G1832" s="36" t="str">
        <f t="array" ref="G1832">IF($F1832="","",IFERROR(INDEX(Config!$E:$E,MATCH($F1832,Config!$D:$D,0)),0))</f>
        <v/>
      </c>
      <c r="H1832" s="16"/>
      <c r="I1832" s="36" t="str">
        <f t="shared" si="1"/>
        <v/>
      </c>
      <c r="J1832" s="16"/>
      <c r="K1832" s="15"/>
      <c r="L1832" s="15"/>
      <c r="M1832" s="36" t="str">
        <f t="array" ref="M1832">IF($A1832="","",IF($L1832="Atendido",IFERROR($I1832*INDEX(Config!$B:$B,MATCH($C1832,Config!$A:$A,0)),0),0))</f>
        <v/>
      </c>
      <c r="N1832" s="36" t="str">
        <f t="shared" si="2"/>
        <v/>
      </c>
      <c r="O1832" s="36" t="str">
        <f t="shared" si="3"/>
        <v/>
      </c>
      <c r="P1832" s="15"/>
      <c r="Q1832" s="37" t="str">
        <f t="shared" si="4"/>
        <v/>
      </c>
      <c r="R1832" s="37" t="str">
        <f t="shared" si="5"/>
        <v/>
      </c>
      <c r="S1832" s="32" t="str">
        <f t="shared" si="6"/>
        <v/>
      </c>
      <c r="T1832" s="37" t="str">
        <f t="shared" si="7"/>
        <v/>
      </c>
      <c r="U1832" s="37" t="str">
        <f t="array" ref="U1832">IF($F1832="","",IFERROR(INDEX(Config!$F:$F,MATCH($F1832,Config!$D:$D,0)),0))</f>
        <v/>
      </c>
    </row>
    <row r="1833" ht="15.0" customHeight="1">
      <c r="A1833" s="34"/>
      <c r="B1833" s="35"/>
      <c r="C1833" s="15"/>
      <c r="D1833" s="15"/>
      <c r="E1833" s="15"/>
      <c r="F1833" s="15"/>
      <c r="G1833" s="36" t="str">
        <f t="array" ref="G1833">IF($F1833="","",IFERROR(INDEX(Config!$E:$E,MATCH($F1833,Config!$D:$D,0)),0))</f>
        <v/>
      </c>
      <c r="H1833" s="16"/>
      <c r="I1833" s="36" t="str">
        <f t="shared" si="1"/>
        <v/>
      </c>
      <c r="J1833" s="16"/>
      <c r="K1833" s="15"/>
      <c r="L1833" s="15"/>
      <c r="M1833" s="36" t="str">
        <f t="array" ref="M1833">IF($A1833="","",IF($L1833="Atendido",IFERROR($I1833*INDEX(Config!$B:$B,MATCH($C1833,Config!$A:$A,0)),0),0))</f>
        <v/>
      </c>
      <c r="N1833" s="36" t="str">
        <f t="shared" si="2"/>
        <v/>
      </c>
      <c r="O1833" s="36" t="str">
        <f t="shared" si="3"/>
        <v/>
      </c>
      <c r="P1833" s="15"/>
      <c r="Q1833" s="37" t="str">
        <f t="shared" si="4"/>
        <v/>
      </c>
      <c r="R1833" s="37" t="str">
        <f t="shared" si="5"/>
        <v/>
      </c>
      <c r="S1833" s="32" t="str">
        <f t="shared" si="6"/>
        <v/>
      </c>
      <c r="T1833" s="37" t="str">
        <f t="shared" si="7"/>
        <v/>
      </c>
      <c r="U1833" s="37" t="str">
        <f t="array" ref="U1833">IF($F1833="","",IFERROR(INDEX(Config!$F:$F,MATCH($F1833,Config!$D:$D,0)),0))</f>
        <v/>
      </c>
    </row>
    <row r="1834" ht="15.0" customHeight="1">
      <c r="A1834" s="34"/>
      <c r="B1834" s="35"/>
      <c r="C1834" s="15"/>
      <c r="D1834" s="15"/>
      <c r="E1834" s="15"/>
      <c r="F1834" s="15"/>
      <c r="G1834" s="36" t="str">
        <f t="array" ref="G1834">IF($F1834="","",IFERROR(INDEX(Config!$E:$E,MATCH($F1834,Config!$D:$D,0)),0))</f>
        <v/>
      </c>
      <c r="H1834" s="16"/>
      <c r="I1834" s="36" t="str">
        <f t="shared" si="1"/>
        <v/>
      </c>
      <c r="J1834" s="16"/>
      <c r="K1834" s="15"/>
      <c r="L1834" s="15"/>
      <c r="M1834" s="36" t="str">
        <f t="array" ref="M1834">IF($A1834="","",IF($L1834="Atendido",IFERROR($I1834*INDEX(Config!$B:$B,MATCH($C1834,Config!$A:$A,0)),0),0))</f>
        <v/>
      </c>
      <c r="N1834" s="36" t="str">
        <f t="shared" si="2"/>
        <v/>
      </c>
      <c r="O1834" s="36" t="str">
        <f t="shared" si="3"/>
        <v/>
      </c>
      <c r="P1834" s="15"/>
      <c r="Q1834" s="37" t="str">
        <f t="shared" si="4"/>
        <v/>
      </c>
      <c r="R1834" s="37" t="str">
        <f t="shared" si="5"/>
        <v/>
      </c>
      <c r="S1834" s="32" t="str">
        <f t="shared" si="6"/>
        <v/>
      </c>
      <c r="T1834" s="37" t="str">
        <f t="shared" si="7"/>
        <v/>
      </c>
      <c r="U1834" s="37" t="str">
        <f t="array" ref="U1834">IF($F1834="","",IFERROR(INDEX(Config!$F:$F,MATCH($F1834,Config!$D:$D,0)),0))</f>
        <v/>
      </c>
    </row>
    <row r="1835" ht="15.0" customHeight="1">
      <c r="A1835" s="34"/>
      <c r="B1835" s="35"/>
      <c r="C1835" s="15"/>
      <c r="D1835" s="15"/>
      <c r="E1835" s="15"/>
      <c r="F1835" s="15"/>
      <c r="G1835" s="36" t="str">
        <f t="array" ref="G1835">IF($F1835="","",IFERROR(INDEX(Config!$E:$E,MATCH($F1835,Config!$D:$D,0)),0))</f>
        <v/>
      </c>
      <c r="H1835" s="16"/>
      <c r="I1835" s="36" t="str">
        <f t="shared" si="1"/>
        <v/>
      </c>
      <c r="J1835" s="16"/>
      <c r="K1835" s="15"/>
      <c r="L1835" s="15"/>
      <c r="M1835" s="36" t="str">
        <f t="array" ref="M1835">IF($A1835="","",IF($L1835="Atendido",IFERROR($I1835*INDEX(Config!$B:$B,MATCH($C1835,Config!$A:$A,0)),0),0))</f>
        <v/>
      </c>
      <c r="N1835" s="36" t="str">
        <f t="shared" si="2"/>
        <v/>
      </c>
      <c r="O1835" s="36" t="str">
        <f t="shared" si="3"/>
        <v/>
      </c>
      <c r="P1835" s="15"/>
      <c r="Q1835" s="37" t="str">
        <f t="shared" si="4"/>
        <v/>
      </c>
      <c r="R1835" s="37" t="str">
        <f t="shared" si="5"/>
        <v/>
      </c>
      <c r="S1835" s="32" t="str">
        <f t="shared" si="6"/>
        <v/>
      </c>
      <c r="T1835" s="37" t="str">
        <f t="shared" si="7"/>
        <v/>
      </c>
      <c r="U1835" s="37" t="str">
        <f t="array" ref="U1835">IF($F1835="","",IFERROR(INDEX(Config!$F:$F,MATCH($F1835,Config!$D:$D,0)),0))</f>
        <v/>
      </c>
    </row>
    <row r="1836" ht="15.0" customHeight="1">
      <c r="A1836" s="34"/>
      <c r="B1836" s="35"/>
      <c r="C1836" s="15"/>
      <c r="D1836" s="15"/>
      <c r="E1836" s="15"/>
      <c r="F1836" s="15"/>
      <c r="G1836" s="36" t="str">
        <f t="array" ref="G1836">IF($F1836="","",IFERROR(INDEX(Config!$E:$E,MATCH($F1836,Config!$D:$D,0)),0))</f>
        <v/>
      </c>
      <c r="H1836" s="16"/>
      <c r="I1836" s="36" t="str">
        <f t="shared" si="1"/>
        <v/>
      </c>
      <c r="J1836" s="16"/>
      <c r="K1836" s="15"/>
      <c r="L1836" s="15"/>
      <c r="M1836" s="36" t="str">
        <f t="array" ref="M1836">IF($A1836="","",IF($L1836="Atendido",IFERROR($I1836*INDEX(Config!$B:$B,MATCH($C1836,Config!$A:$A,0)),0),0))</f>
        <v/>
      </c>
      <c r="N1836" s="36" t="str">
        <f t="shared" si="2"/>
        <v/>
      </c>
      <c r="O1836" s="36" t="str">
        <f t="shared" si="3"/>
        <v/>
      </c>
      <c r="P1836" s="15"/>
      <c r="Q1836" s="37" t="str">
        <f t="shared" si="4"/>
        <v/>
      </c>
      <c r="R1836" s="37" t="str">
        <f t="shared" si="5"/>
        <v/>
      </c>
      <c r="S1836" s="32" t="str">
        <f t="shared" si="6"/>
        <v/>
      </c>
      <c r="T1836" s="37" t="str">
        <f t="shared" si="7"/>
        <v/>
      </c>
      <c r="U1836" s="37" t="str">
        <f t="array" ref="U1836">IF($F1836="","",IFERROR(INDEX(Config!$F:$F,MATCH($F1836,Config!$D:$D,0)),0))</f>
        <v/>
      </c>
    </row>
    <row r="1837" ht="15.0" customHeight="1">
      <c r="A1837" s="34"/>
      <c r="B1837" s="35"/>
      <c r="C1837" s="15"/>
      <c r="D1837" s="15"/>
      <c r="E1837" s="15"/>
      <c r="F1837" s="15"/>
      <c r="G1837" s="36" t="str">
        <f t="array" ref="G1837">IF($F1837="","",IFERROR(INDEX(Config!$E:$E,MATCH($F1837,Config!$D:$D,0)),0))</f>
        <v/>
      </c>
      <c r="H1837" s="16"/>
      <c r="I1837" s="36" t="str">
        <f t="shared" si="1"/>
        <v/>
      </c>
      <c r="J1837" s="16"/>
      <c r="K1837" s="15"/>
      <c r="L1837" s="15"/>
      <c r="M1837" s="36" t="str">
        <f t="array" ref="M1837">IF($A1837="","",IF($L1837="Atendido",IFERROR($I1837*INDEX(Config!$B:$B,MATCH($C1837,Config!$A:$A,0)),0),0))</f>
        <v/>
      </c>
      <c r="N1837" s="36" t="str">
        <f t="shared" si="2"/>
        <v/>
      </c>
      <c r="O1837" s="36" t="str">
        <f t="shared" si="3"/>
        <v/>
      </c>
      <c r="P1837" s="15"/>
      <c r="Q1837" s="37" t="str">
        <f t="shared" si="4"/>
        <v/>
      </c>
      <c r="R1837" s="37" t="str">
        <f t="shared" si="5"/>
        <v/>
      </c>
      <c r="S1837" s="32" t="str">
        <f t="shared" si="6"/>
        <v/>
      </c>
      <c r="T1837" s="37" t="str">
        <f t="shared" si="7"/>
        <v/>
      </c>
      <c r="U1837" s="37" t="str">
        <f t="array" ref="U1837">IF($F1837="","",IFERROR(INDEX(Config!$F:$F,MATCH($F1837,Config!$D:$D,0)),0))</f>
        <v/>
      </c>
    </row>
    <row r="1838" ht="15.0" customHeight="1">
      <c r="A1838" s="34"/>
      <c r="B1838" s="35"/>
      <c r="C1838" s="15"/>
      <c r="D1838" s="15"/>
      <c r="E1838" s="15"/>
      <c r="F1838" s="15"/>
      <c r="G1838" s="36" t="str">
        <f t="array" ref="G1838">IF($F1838="","",IFERROR(INDEX(Config!$E:$E,MATCH($F1838,Config!$D:$D,0)),0))</f>
        <v/>
      </c>
      <c r="H1838" s="16"/>
      <c r="I1838" s="36" t="str">
        <f t="shared" si="1"/>
        <v/>
      </c>
      <c r="J1838" s="16"/>
      <c r="K1838" s="15"/>
      <c r="L1838" s="15"/>
      <c r="M1838" s="36" t="str">
        <f t="array" ref="M1838">IF($A1838="","",IF($L1838="Atendido",IFERROR($I1838*INDEX(Config!$B:$B,MATCH($C1838,Config!$A:$A,0)),0),0))</f>
        <v/>
      </c>
      <c r="N1838" s="36" t="str">
        <f t="shared" si="2"/>
        <v/>
      </c>
      <c r="O1838" s="36" t="str">
        <f t="shared" si="3"/>
        <v/>
      </c>
      <c r="P1838" s="15"/>
      <c r="Q1838" s="37" t="str">
        <f t="shared" si="4"/>
        <v/>
      </c>
      <c r="R1838" s="37" t="str">
        <f t="shared" si="5"/>
        <v/>
      </c>
      <c r="S1838" s="32" t="str">
        <f t="shared" si="6"/>
        <v/>
      </c>
      <c r="T1838" s="37" t="str">
        <f t="shared" si="7"/>
        <v/>
      </c>
      <c r="U1838" s="37" t="str">
        <f t="array" ref="U1838">IF($F1838="","",IFERROR(INDEX(Config!$F:$F,MATCH($F1838,Config!$D:$D,0)),0))</f>
        <v/>
      </c>
    </row>
    <row r="1839" ht="15.0" customHeight="1">
      <c r="A1839" s="34"/>
      <c r="B1839" s="35"/>
      <c r="C1839" s="15"/>
      <c r="D1839" s="15"/>
      <c r="E1839" s="15"/>
      <c r="F1839" s="15"/>
      <c r="G1839" s="36" t="str">
        <f t="array" ref="G1839">IF($F1839="","",IFERROR(INDEX(Config!$E:$E,MATCH($F1839,Config!$D:$D,0)),0))</f>
        <v/>
      </c>
      <c r="H1839" s="16"/>
      <c r="I1839" s="36" t="str">
        <f t="shared" si="1"/>
        <v/>
      </c>
      <c r="J1839" s="16"/>
      <c r="K1839" s="15"/>
      <c r="L1839" s="15"/>
      <c r="M1839" s="36" t="str">
        <f t="array" ref="M1839">IF($A1839="","",IF($L1839="Atendido",IFERROR($I1839*INDEX(Config!$B:$B,MATCH($C1839,Config!$A:$A,0)),0),0))</f>
        <v/>
      </c>
      <c r="N1839" s="36" t="str">
        <f t="shared" si="2"/>
        <v/>
      </c>
      <c r="O1839" s="36" t="str">
        <f t="shared" si="3"/>
        <v/>
      </c>
      <c r="P1839" s="15"/>
      <c r="Q1839" s="37" t="str">
        <f t="shared" si="4"/>
        <v/>
      </c>
      <c r="R1839" s="37" t="str">
        <f t="shared" si="5"/>
        <v/>
      </c>
      <c r="S1839" s="32" t="str">
        <f t="shared" si="6"/>
        <v/>
      </c>
      <c r="T1839" s="37" t="str">
        <f t="shared" si="7"/>
        <v/>
      </c>
      <c r="U1839" s="37" t="str">
        <f t="array" ref="U1839">IF($F1839="","",IFERROR(INDEX(Config!$F:$F,MATCH($F1839,Config!$D:$D,0)),0))</f>
        <v/>
      </c>
    </row>
    <row r="1840" ht="15.0" customHeight="1">
      <c r="A1840" s="34"/>
      <c r="B1840" s="35"/>
      <c r="C1840" s="15"/>
      <c r="D1840" s="15"/>
      <c r="E1840" s="15"/>
      <c r="F1840" s="15"/>
      <c r="G1840" s="36" t="str">
        <f t="array" ref="G1840">IF($F1840="","",IFERROR(INDEX(Config!$E:$E,MATCH($F1840,Config!$D:$D,0)),0))</f>
        <v/>
      </c>
      <c r="H1840" s="16"/>
      <c r="I1840" s="36" t="str">
        <f t="shared" si="1"/>
        <v/>
      </c>
      <c r="J1840" s="16"/>
      <c r="K1840" s="15"/>
      <c r="L1840" s="15"/>
      <c r="M1840" s="36" t="str">
        <f t="array" ref="M1840">IF($A1840="","",IF($L1840="Atendido",IFERROR($I1840*INDEX(Config!$B:$B,MATCH($C1840,Config!$A:$A,0)),0),0))</f>
        <v/>
      </c>
      <c r="N1840" s="36" t="str">
        <f t="shared" si="2"/>
        <v/>
      </c>
      <c r="O1840" s="36" t="str">
        <f t="shared" si="3"/>
        <v/>
      </c>
      <c r="P1840" s="15"/>
      <c r="Q1840" s="37" t="str">
        <f t="shared" si="4"/>
        <v/>
      </c>
      <c r="R1840" s="37" t="str">
        <f t="shared" si="5"/>
        <v/>
      </c>
      <c r="S1840" s="32" t="str">
        <f t="shared" si="6"/>
        <v/>
      </c>
      <c r="T1840" s="37" t="str">
        <f t="shared" si="7"/>
        <v/>
      </c>
      <c r="U1840" s="37" t="str">
        <f t="array" ref="U1840">IF($F1840="","",IFERROR(INDEX(Config!$F:$F,MATCH($F1840,Config!$D:$D,0)),0))</f>
        <v/>
      </c>
    </row>
    <row r="1841" ht="15.0" customHeight="1">
      <c r="A1841" s="34"/>
      <c r="B1841" s="35"/>
      <c r="C1841" s="15"/>
      <c r="D1841" s="15"/>
      <c r="E1841" s="15"/>
      <c r="F1841" s="15"/>
      <c r="G1841" s="36" t="str">
        <f t="array" ref="G1841">IF($F1841="","",IFERROR(INDEX(Config!$E:$E,MATCH($F1841,Config!$D:$D,0)),0))</f>
        <v/>
      </c>
      <c r="H1841" s="16"/>
      <c r="I1841" s="36" t="str">
        <f t="shared" si="1"/>
        <v/>
      </c>
      <c r="J1841" s="16"/>
      <c r="K1841" s="15"/>
      <c r="L1841" s="15"/>
      <c r="M1841" s="36" t="str">
        <f t="array" ref="M1841">IF($A1841="","",IF($L1841="Atendido",IFERROR($I1841*INDEX(Config!$B:$B,MATCH($C1841,Config!$A:$A,0)),0),0))</f>
        <v/>
      </c>
      <c r="N1841" s="36" t="str">
        <f t="shared" si="2"/>
        <v/>
      </c>
      <c r="O1841" s="36" t="str">
        <f t="shared" si="3"/>
        <v/>
      </c>
      <c r="P1841" s="15"/>
      <c r="Q1841" s="37" t="str">
        <f t="shared" si="4"/>
        <v/>
      </c>
      <c r="R1841" s="37" t="str">
        <f t="shared" si="5"/>
        <v/>
      </c>
      <c r="S1841" s="32" t="str">
        <f t="shared" si="6"/>
        <v/>
      </c>
      <c r="T1841" s="37" t="str">
        <f t="shared" si="7"/>
        <v/>
      </c>
      <c r="U1841" s="37" t="str">
        <f t="array" ref="U1841">IF($F1841="","",IFERROR(INDEX(Config!$F:$F,MATCH($F1841,Config!$D:$D,0)),0))</f>
        <v/>
      </c>
    </row>
    <row r="1842" ht="15.0" customHeight="1">
      <c r="A1842" s="34"/>
      <c r="B1842" s="35"/>
      <c r="C1842" s="15"/>
      <c r="D1842" s="15"/>
      <c r="E1842" s="15"/>
      <c r="F1842" s="15"/>
      <c r="G1842" s="36" t="str">
        <f t="array" ref="G1842">IF($F1842="","",IFERROR(INDEX(Config!$E:$E,MATCH($F1842,Config!$D:$D,0)),0))</f>
        <v/>
      </c>
      <c r="H1842" s="16"/>
      <c r="I1842" s="36" t="str">
        <f t="shared" si="1"/>
        <v/>
      </c>
      <c r="J1842" s="16"/>
      <c r="K1842" s="15"/>
      <c r="L1842" s="15"/>
      <c r="M1842" s="36" t="str">
        <f t="array" ref="M1842">IF($A1842="","",IF($L1842="Atendido",IFERROR($I1842*INDEX(Config!$B:$B,MATCH($C1842,Config!$A:$A,0)),0),0))</f>
        <v/>
      </c>
      <c r="N1842" s="36" t="str">
        <f t="shared" si="2"/>
        <v/>
      </c>
      <c r="O1842" s="36" t="str">
        <f t="shared" si="3"/>
        <v/>
      </c>
      <c r="P1842" s="15"/>
      <c r="Q1842" s="37" t="str">
        <f t="shared" si="4"/>
        <v/>
      </c>
      <c r="R1842" s="37" t="str">
        <f t="shared" si="5"/>
        <v/>
      </c>
      <c r="S1842" s="32" t="str">
        <f t="shared" si="6"/>
        <v/>
      </c>
      <c r="T1842" s="37" t="str">
        <f t="shared" si="7"/>
        <v/>
      </c>
      <c r="U1842" s="37" t="str">
        <f t="array" ref="U1842">IF($F1842="","",IFERROR(INDEX(Config!$F:$F,MATCH($F1842,Config!$D:$D,0)),0))</f>
        <v/>
      </c>
    </row>
    <row r="1843" ht="15.0" customHeight="1">
      <c r="A1843" s="34"/>
      <c r="B1843" s="35"/>
      <c r="C1843" s="15"/>
      <c r="D1843" s="15"/>
      <c r="E1843" s="15"/>
      <c r="F1843" s="15"/>
      <c r="G1843" s="36" t="str">
        <f t="array" ref="G1843">IF($F1843="","",IFERROR(INDEX(Config!$E:$E,MATCH($F1843,Config!$D:$D,0)),0))</f>
        <v/>
      </c>
      <c r="H1843" s="16"/>
      <c r="I1843" s="36" t="str">
        <f t="shared" si="1"/>
        <v/>
      </c>
      <c r="J1843" s="16"/>
      <c r="K1843" s="15"/>
      <c r="L1843" s="15"/>
      <c r="M1843" s="36" t="str">
        <f t="array" ref="M1843">IF($A1843="","",IF($L1843="Atendido",IFERROR($I1843*INDEX(Config!$B:$B,MATCH($C1843,Config!$A:$A,0)),0),0))</f>
        <v/>
      </c>
      <c r="N1843" s="36" t="str">
        <f t="shared" si="2"/>
        <v/>
      </c>
      <c r="O1843" s="36" t="str">
        <f t="shared" si="3"/>
        <v/>
      </c>
      <c r="P1843" s="15"/>
      <c r="Q1843" s="37" t="str">
        <f t="shared" si="4"/>
        <v/>
      </c>
      <c r="R1843" s="37" t="str">
        <f t="shared" si="5"/>
        <v/>
      </c>
      <c r="S1843" s="32" t="str">
        <f t="shared" si="6"/>
        <v/>
      </c>
      <c r="T1843" s="37" t="str">
        <f t="shared" si="7"/>
        <v/>
      </c>
      <c r="U1843" s="37" t="str">
        <f t="array" ref="U1843">IF($F1843="","",IFERROR(INDEX(Config!$F:$F,MATCH($F1843,Config!$D:$D,0)),0))</f>
        <v/>
      </c>
    </row>
    <row r="1844" ht="15.0" customHeight="1">
      <c r="A1844" s="34"/>
      <c r="B1844" s="35"/>
      <c r="C1844" s="15"/>
      <c r="D1844" s="15"/>
      <c r="E1844" s="15"/>
      <c r="F1844" s="15"/>
      <c r="G1844" s="36" t="str">
        <f t="array" ref="G1844">IF($F1844="","",IFERROR(INDEX(Config!$E:$E,MATCH($F1844,Config!$D:$D,0)),0))</f>
        <v/>
      </c>
      <c r="H1844" s="16"/>
      <c r="I1844" s="36" t="str">
        <f t="shared" si="1"/>
        <v/>
      </c>
      <c r="J1844" s="16"/>
      <c r="K1844" s="15"/>
      <c r="L1844" s="15"/>
      <c r="M1844" s="36" t="str">
        <f t="array" ref="M1844">IF($A1844="","",IF($L1844="Atendido",IFERROR($I1844*INDEX(Config!$B:$B,MATCH($C1844,Config!$A:$A,0)),0),0))</f>
        <v/>
      </c>
      <c r="N1844" s="36" t="str">
        <f t="shared" si="2"/>
        <v/>
      </c>
      <c r="O1844" s="36" t="str">
        <f t="shared" si="3"/>
        <v/>
      </c>
      <c r="P1844" s="15"/>
      <c r="Q1844" s="37" t="str">
        <f t="shared" si="4"/>
        <v/>
      </c>
      <c r="R1844" s="37" t="str">
        <f t="shared" si="5"/>
        <v/>
      </c>
      <c r="S1844" s="32" t="str">
        <f t="shared" si="6"/>
        <v/>
      </c>
      <c r="T1844" s="37" t="str">
        <f t="shared" si="7"/>
        <v/>
      </c>
      <c r="U1844" s="37" t="str">
        <f t="array" ref="U1844">IF($F1844="","",IFERROR(INDEX(Config!$F:$F,MATCH($F1844,Config!$D:$D,0)),0))</f>
        <v/>
      </c>
    </row>
    <row r="1845" ht="15.0" customHeight="1">
      <c r="A1845" s="34"/>
      <c r="B1845" s="35"/>
      <c r="C1845" s="15"/>
      <c r="D1845" s="15"/>
      <c r="E1845" s="15"/>
      <c r="F1845" s="15"/>
      <c r="G1845" s="36" t="str">
        <f t="array" ref="G1845">IF($F1845="","",IFERROR(INDEX(Config!$E:$E,MATCH($F1845,Config!$D:$D,0)),0))</f>
        <v/>
      </c>
      <c r="H1845" s="16"/>
      <c r="I1845" s="36" t="str">
        <f t="shared" si="1"/>
        <v/>
      </c>
      <c r="J1845" s="16"/>
      <c r="K1845" s="15"/>
      <c r="L1845" s="15"/>
      <c r="M1845" s="36" t="str">
        <f t="array" ref="M1845">IF($A1845="","",IF($L1845="Atendido",IFERROR($I1845*INDEX(Config!$B:$B,MATCH($C1845,Config!$A:$A,0)),0),0))</f>
        <v/>
      </c>
      <c r="N1845" s="36" t="str">
        <f t="shared" si="2"/>
        <v/>
      </c>
      <c r="O1845" s="36" t="str">
        <f t="shared" si="3"/>
        <v/>
      </c>
      <c r="P1845" s="15"/>
      <c r="Q1845" s="37" t="str">
        <f t="shared" si="4"/>
        <v/>
      </c>
      <c r="R1845" s="37" t="str">
        <f t="shared" si="5"/>
        <v/>
      </c>
      <c r="S1845" s="32" t="str">
        <f t="shared" si="6"/>
        <v/>
      </c>
      <c r="T1845" s="37" t="str">
        <f t="shared" si="7"/>
        <v/>
      </c>
      <c r="U1845" s="37" t="str">
        <f t="array" ref="U1845">IF($F1845="","",IFERROR(INDEX(Config!$F:$F,MATCH($F1845,Config!$D:$D,0)),0))</f>
        <v/>
      </c>
    </row>
    <row r="1846" ht="15.0" customHeight="1">
      <c r="A1846" s="34"/>
      <c r="B1846" s="35"/>
      <c r="C1846" s="15"/>
      <c r="D1846" s="15"/>
      <c r="E1846" s="15"/>
      <c r="F1846" s="15"/>
      <c r="G1846" s="36" t="str">
        <f t="array" ref="G1846">IF($F1846="","",IFERROR(INDEX(Config!$E:$E,MATCH($F1846,Config!$D:$D,0)),0))</f>
        <v/>
      </c>
      <c r="H1846" s="16"/>
      <c r="I1846" s="36" t="str">
        <f t="shared" si="1"/>
        <v/>
      </c>
      <c r="J1846" s="16"/>
      <c r="K1846" s="15"/>
      <c r="L1846" s="15"/>
      <c r="M1846" s="36" t="str">
        <f t="array" ref="M1846">IF($A1846="","",IF($L1846="Atendido",IFERROR($I1846*INDEX(Config!$B:$B,MATCH($C1846,Config!$A:$A,0)),0),0))</f>
        <v/>
      </c>
      <c r="N1846" s="36" t="str">
        <f t="shared" si="2"/>
        <v/>
      </c>
      <c r="O1846" s="36" t="str">
        <f t="shared" si="3"/>
        <v/>
      </c>
      <c r="P1846" s="15"/>
      <c r="Q1846" s="37" t="str">
        <f t="shared" si="4"/>
        <v/>
      </c>
      <c r="R1846" s="37" t="str">
        <f t="shared" si="5"/>
        <v/>
      </c>
      <c r="S1846" s="32" t="str">
        <f t="shared" si="6"/>
        <v/>
      </c>
      <c r="T1846" s="37" t="str">
        <f t="shared" si="7"/>
        <v/>
      </c>
      <c r="U1846" s="37" t="str">
        <f t="array" ref="U1846">IF($F1846="","",IFERROR(INDEX(Config!$F:$F,MATCH($F1846,Config!$D:$D,0)),0))</f>
        <v/>
      </c>
    </row>
    <row r="1847" ht="15.0" customHeight="1">
      <c r="A1847" s="34"/>
      <c r="B1847" s="35"/>
      <c r="C1847" s="15"/>
      <c r="D1847" s="15"/>
      <c r="E1847" s="15"/>
      <c r="F1847" s="15"/>
      <c r="G1847" s="36" t="str">
        <f t="array" ref="G1847">IF($F1847="","",IFERROR(INDEX(Config!$E:$E,MATCH($F1847,Config!$D:$D,0)),0))</f>
        <v/>
      </c>
      <c r="H1847" s="16"/>
      <c r="I1847" s="36" t="str">
        <f t="shared" si="1"/>
        <v/>
      </c>
      <c r="J1847" s="16"/>
      <c r="K1847" s="15"/>
      <c r="L1847" s="15"/>
      <c r="M1847" s="36" t="str">
        <f t="array" ref="M1847">IF($A1847="","",IF($L1847="Atendido",IFERROR($I1847*INDEX(Config!$B:$B,MATCH($C1847,Config!$A:$A,0)),0),0))</f>
        <v/>
      </c>
      <c r="N1847" s="36" t="str">
        <f t="shared" si="2"/>
        <v/>
      </c>
      <c r="O1847" s="36" t="str">
        <f t="shared" si="3"/>
        <v/>
      </c>
      <c r="P1847" s="15"/>
      <c r="Q1847" s="37" t="str">
        <f t="shared" si="4"/>
        <v/>
      </c>
      <c r="R1847" s="37" t="str">
        <f t="shared" si="5"/>
        <v/>
      </c>
      <c r="S1847" s="32" t="str">
        <f t="shared" si="6"/>
        <v/>
      </c>
      <c r="T1847" s="37" t="str">
        <f t="shared" si="7"/>
        <v/>
      </c>
      <c r="U1847" s="37" t="str">
        <f t="array" ref="U1847">IF($F1847="","",IFERROR(INDEX(Config!$F:$F,MATCH($F1847,Config!$D:$D,0)),0))</f>
        <v/>
      </c>
    </row>
    <row r="1848" ht="15.0" customHeight="1">
      <c r="A1848" s="34"/>
      <c r="B1848" s="35"/>
      <c r="C1848" s="15"/>
      <c r="D1848" s="15"/>
      <c r="E1848" s="15"/>
      <c r="F1848" s="15"/>
      <c r="G1848" s="36" t="str">
        <f t="array" ref="G1848">IF($F1848="","",IFERROR(INDEX(Config!$E:$E,MATCH($F1848,Config!$D:$D,0)),0))</f>
        <v/>
      </c>
      <c r="H1848" s="16"/>
      <c r="I1848" s="36" t="str">
        <f t="shared" si="1"/>
        <v/>
      </c>
      <c r="J1848" s="16"/>
      <c r="K1848" s="15"/>
      <c r="L1848" s="15"/>
      <c r="M1848" s="36" t="str">
        <f t="array" ref="M1848">IF($A1848="","",IF($L1848="Atendido",IFERROR($I1848*INDEX(Config!$B:$B,MATCH($C1848,Config!$A:$A,0)),0),0))</f>
        <v/>
      </c>
      <c r="N1848" s="36" t="str">
        <f t="shared" si="2"/>
        <v/>
      </c>
      <c r="O1848" s="36" t="str">
        <f t="shared" si="3"/>
        <v/>
      </c>
      <c r="P1848" s="15"/>
      <c r="Q1848" s="37" t="str">
        <f t="shared" si="4"/>
        <v/>
      </c>
      <c r="R1848" s="37" t="str">
        <f t="shared" si="5"/>
        <v/>
      </c>
      <c r="S1848" s="32" t="str">
        <f t="shared" si="6"/>
        <v/>
      </c>
      <c r="T1848" s="37" t="str">
        <f t="shared" si="7"/>
        <v/>
      </c>
      <c r="U1848" s="37" t="str">
        <f t="array" ref="U1848">IF($F1848="","",IFERROR(INDEX(Config!$F:$F,MATCH($F1848,Config!$D:$D,0)),0))</f>
        <v/>
      </c>
    </row>
    <row r="1849" ht="15.0" customHeight="1">
      <c r="A1849" s="34"/>
      <c r="B1849" s="35"/>
      <c r="C1849" s="15"/>
      <c r="D1849" s="15"/>
      <c r="E1849" s="15"/>
      <c r="F1849" s="15"/>
      <c r="G1849" s="36" t="str">
        <f t="array" ref="G1849">IF($F1849="","",IFERROR(INDEX(Config!$E:$E,MATCH($F1849,Config!$D:$D,0)),0))</f>
        <v/>
      </c>
      <c r="H1849" s="16"/>
      <c r="I1849" s="36" t="str">
        <f t="shared" si="1"/>
        <v/>
      </c>
      <c r="J1849" s="16"/>
      <c r="K1849" s="15"/>
      <c r="L1849" s="15"/>
      <c r="M1849" s="36" t="str">
        <f t="array" ref="M1849">IF($A1849="","",IF($L1849="Atendido",IFERROR($I1849*INDEX(Config!$B:$B,MATCH($C1849,Config!$A:$A,0)),0),0))</f>
        <v/>
      </c>
      <c r="N1849" s="36" t="str">
        <f t="shared" si="2"/>
        <v/>
      </c>
      <c r="O1849" s="36" t="str">
        <f t="shared" si="3"/>
        <v/>
      </c>
      <c r="P1849" s="15"/>
      <c r="Q1849" s="37" t="str">
        <f t="shared" si="4"/>
        <v/>
      </c>
      <c r="R1849" s="37" t="str">
        <f t="shared" si="5"/>
        <v/>
      </c>
      <c r="S1849" s="32" t="str">
        <f t="shared" si="6"/>
        <v/>
      </c>
      <c r="T1849" s="37" t="str">
        <f t="shared" si="7"/>
        <v/>
      </c>
      <c r="U1849" s="37" t="str">
        <f t="array" ref="U1849">IF($F1849="","",IFERROR(INDEX(Config!$F:$F,MATCH($F1849,Config!$D:$D,0)),0))</f>
        <v/>
      </c>
    </row>
    <row r="1850" ht="15.0" customHeight="1">
      <c r="A1850" s="34"/>
      <c r="B1850" s="35"/>
      <c r="C1850" s="15"/>
      <c r="D1850" s="15"/>
      <c r="E1850" s="15"/>
      <c r="F1850" s="15"/>
      <c r="G1850" s="36" t="str">
        <f t="array" ref="G1850">IF($F1850="","",IFERROR(INDEX(Config!$E:$E,MATCH($F1850,Config!$D:$D,0)),0))</f>
        <v/>
      </c>
      <c r="H1850" s="16"/>
      <c r="I1850" s="36" t="str">
        <f t="shared" si="1"/>
        <v/>
      </c>
      <c r="J1850" s="16"/>
      <c r="K1850" s="15"/>
      <c r="L1850" s="15"/>
      <c r="M1850" s="36" t="str">
        <f t="array" ref="M1850">IF($A1850="","",IF($L1850="Atendido",IFERROR($I1850*INDEX(Config!$B:$B,MATCH($C1850,Config!$A:$A,0)),0),0))</f>
        <v/>
      </c>
      <c r="N1850" s="36" t="str">
        <f t="shared" si="2"/>
        <v/>
      </c>
      <c r="O1850" s="36" t="str">
        <f t="shared" si="3"/>
        <v/>
      </c>
      <c r="P1850" s="15"/>
      <c r="Q1850" s="37" t="str">
        <f t="shared" si="4"/>
        <v/>
      </c>
      <c r="R1850" s="37" t="str">
        <f t="shared" si="5"/>
        <v/>
      </c>
      <c r="S1850" s="32" t="str">
        <f t="shared" si="6"/>
        <v/>
      </c>
      <c r="T1850" s="37" t="str">
        <f t="shared" si="7"/>
        <v/>
      </c>
      <c r="U1850" s="37" t="str">
        <f t="array" ref="U1850">IF($F1850="","",IFERROR(INDEX(Config!$F:$F,MATCH($F1850,Config!$D:$D,0)),0))</f>
        <v/>
      </c>
    </row>
    <row r="1851" ht="15.0" customHeight="1">
      <c r="A1851" s="34"/>
      <c r="B1851" s="35"/>
      <c r="C1851" s="15"/>
      <c r="D1851" s="15"/>
      <c r="E1851" s="15"/>
      <c r="F1851" s="15"/>
      <c r="G1851" s="36" t="str">
        <f t="array" ref="G1851">IF($F1851="","",IFERROR(INDEX(Config!$E:$E,MATCH($F1851,Config!$D:$D,0)),0))</f>
        <v/>
      </c>
      <c r="H1851" s="16"/>
      <c r="I1851" s="36" t="str">
        <f t="shared" si="1"/>
        <v/>
      </c>
      <c r="J1851" s="16"/>
      <c r="K1851" s="15"/>
      <c r="L1851" s="15"/>
      <c r="M1851" s="36" t="str">
        <f t="array" ref="M1851">IF($A1851="","",IF($L1851="Atendido",IFERROR($I1851*INDEX(Config!$B:$B,MATCH($C1851,Config!$A:$A,0)),0),0))</f>
        <v/>
      </c>
      <c r="N1851" s="36" t="str">
        <f t="shared" si="2"/>
        <v/>
      </c>
      <c r="O1851" s="36" t="str">
        <f t="shared" si="3"/>
        <v/>
      </c>
      <c r="P1851" s="15"/>
      <c r="Q1851" s="37" t="str">
        <f t="shared" si="4"/>
        <v/>
      </c>
      <c r="R1851" s="37" t="str">
        <f t="shared" si="5"/>
        <v/>
      </c>
      <c r="S1851" s="32" t="str">
        <f t="shared" si="6"/>
        <v/>
      </c>
      <c r="T1851" s="37" t="str">
        <f t="shared" si="7"/>
        <v/>
      </c>
      <c r="U1851" s="37" t="str">
        <f t="array" ref="U1851">IF($F1851="","",IFERROR(INDEX(Config!$F:$F,MATCH($F1851,Config!$D:$D,0)),0))</f>
        <v/>
      </c>
    </row>
    <row r="1852" ht="15.0" customHeight="1">
      <c r="A1852" s="34"/>
      <c r="B1852" s="35"/>
      <c r="C1852" s="15"/>
      <c r="D1852" s="15"/>
      <c r="E1852" s="15"/>
      <c r="F1852" s="15"/>
      <c r="G1852" s="36" t="str">
        <f t="array" ref="G1852">IF($F1852="","",IFERROR(INDEX(Config!$E:$E,MATCH($F1852,Config!$D:$D,0)),0))</f>
        <v/>
      </c>
      <c r="H1852" s="16"/>
      <c r="I1852" s="36" t="str">
        <f t="shared" si="1"/>
        <v/>
      </c>
      <c r="J1852" s="16"/>
      <c r="K1852" s="15"/>
      <c r="L1852" s="15"/>
      <c r="M1852" s="36" t="str">
        <f t="array" ref="M1852">IF($A1852="","",IF($L1852="Atendido",IFERROR($I1852*INDEX(Config!$B:$B,MATCH($C1852,Config!$A:$A,0)),0),0))</f>
        <v/>
      </c>
      <c r="N1852" s="36" t="str">
        <f t="shared" si="2"/>
        <v/>
      </c>
      <c r="O1852" s="36" t="str">
        <f t="shared" si="3"/>
        <v/>
      </c>
      <c r="P1852" s="15"/>
      <c r="Q1852" s="37" t="str">
        <f t="shared" si="4"/>
        <v/>
      </c>
      <c r="R1852" s="37" t="str">
        <f t="shared" si="5"/>
        <v/>
      </c>
      <c r="S1852" s="32" t="str">
        <f t="shared" si="6"/>
        <v/>
      </c>
      <c r="T1852" s="37" t="str">
        <f t="shared" si="7"/>
        <v/>
      </c>
      <c r="U1852" s="37" t="str">
        <f t="array" ref="U1852">IF($F1852="","",IFERROR(INDEX(Config!$F:$F,MATCH($F1852,Config!$D:$D,0)),0))</f>
        <v/>
      </c>
    </row>
    <row r="1853" ht="15.0" customHeight="1">
      <c r="A1853" s="34"/>
      <c r="B1853" s="35"/>
      <c r="C1853" s="15"/>
      <c r="D1853" s="15"/>
      <c r="E1853" s="15"/>
      <c r="F1853" s="15"/>
      <c r="G1853" s="36" t="str">
        <f t="array" ref="G1853">IF($F1853="","",IFERROR(INDEX(Config!$E:$E,MATCH($F1853,Config!$D:$D,0)),0))</f>
        <v/>
      </c>
      <c r="H1853" s="16"/>
      <c r="I1853" s="36" t="str">
        <f t="shared" si="1"/>
        <v/>
      </c>
      <c r="J1853" s="16"/>
      <c r="K1853" s="15"/>
      <c r="L1853" s="15"/>
      <c r="M1853" s="36" t="str">
        <f t="array" ref="M1853">IF($A1853="","",IF($L1853="Atendido",IFERROR($I1853*INDEX(Config!$B:$B,MATCH($C1853,Config!$A:$A,0)),0),0))</f>
        <v/>
      </c>
      <c r="N1853" s="36" t="str">
        <f t="shared" si="2"/>
        <v/>
      </c>
      <c r="O1853" s="36" t="str">
        <f t="shared" si="3"/>
        <v/>
      </c>
      <c r="P1853" s="15"/>
      <c r="Q1853" s="37" t="str">
        <f t="shared" si="4"/>
        <v/>
      </c>
      <c r="R1853" s="37" t="str">
        <f t="shared" si="5"/>
        <v/>
      </c>
      <c r="S1853" s="32" t="str">
        <f t="shared" si="6"/>
        <v/>
      </c>
      <c r="T1853" s="37" t="str">
        <f t="shared" si="7"/>
        <v/>
      </c>
      <c r="U1853" s="37" t="str">
        <f t="array" ref="U1853">IF($F1853="","",IFERROR(INDEX(Config!$F:$F,MATCH($F1853,Config!$D:$D,0)),0))</f>
        <v/>
      </c>
    </row>
    <row r="1854" ht="15.0" customHeight="1">
      <c r="A1854" s="34"/>
      <c r="B1854" s="35"/>
      <c r="C1854" s="15"/>
      <c r="D1854" s="15"/>
      <c r="E1854" s="15"/>
      <c r="F1854" s="15"/>
      <c r="G1854" s="36" t="str">
        <f t="array" ref="G1854">IF($F1854="","",IFERROR(INDEX(Config!$E:$E,MATCH($F1854,Config!$D:$D,0)),0))</f>
        <v/>
      </c>
      <c r="H1854" s="16"/>
      <c r="I1854" s="36" t="str">
        <f t="shared" si="1"/>
        <v/>
      </c>
      <c r="J1854" s="16"/>
      <c r="K1854" s="15"/>
      <c r="L1854" s="15"/>
      <c r="M1854" s="36" t="str">
        <f t="array" ref="M1854">IF($A1854="","",IF($L1854="Atendido",IFERROR($I1854*INDEX(Config!$B:$B,MATCH($C1854,Config!$A:$A,0)),0),0))</f>
        <v/>
      </c>
      <c r="N1854" s="36" t="str">
        <f t="shared" si="2"/>
        <v/>
      </c>
      <c r="O1854" s="36" t="str">
        <f t="shared" si="3"/>
        <v/>
      </c>
      <c r="P1854" s="15"/>
      <c r="Q1854" s="37" t="str">
        <f t="shared" si="4"/>
        <v/>
      </c>
      <c r="R1854" s="37" t="str">
        <f t="shared" si="5"/>
        <v/>
      </c>
      <c r="S1854" s="32" t="str">
        <f t="shared" si="6"/>
        <v/>
      </c>
      <c r="T1854" s="37" t="str">
        <f t="shared" si="7"/>
        <v/>
      </c>
      <c r="U1854" s="37" t="str">
        <f t="array" ref="U1854">IF($F1854="","",IFERROR(INDEX(Config!$F:$F,MATCH($F1854,Config!$D:$D,0)),0))</f>
        <v/>
      </c>
    </row>
    <row r="1855" ht="15.0" customHeight="1">
      <c r="A1855" s="34"/>
      <c r="B1855" s="35"/>
      <c r="C1855" s="15"/>
      <c r="D1855" s="15"/>
      <c r="E1855" s="15"/>
      <c r="F1855" s="15"/>
      <c r="G1855" s="36" t="str">
        <f t="array" ref="G1855">IF($F1855="","",IFERROR(INDEX(Config!$E:$E,MATCH($F1855,Config!$D:$D,0)),0))</f>
        <v/>
      </c>
      <c r="H1855" s="16"/>
      <c r="I1855" s="36" t="str">
        <f t="shared" si="1"/>
        <v/>
      </c>
      <c r="J1855" s="16"/>
      <c r="K1855" s="15"/>
      <c r="L1855" s="15"/>
      <c r="M1855" s="36" t="str">
        <f t="array" ref="M1855">IF($A1855="","",IF($L1855="Atendido",IFERROR($I1855*INDEX(Config!$B:$B,MATCH($C1855,Config!$A:$A,0)),0),0))</f>
        <v/>
      </c>
      <c r="N1855" s="36" t="str">
        <f t="shared" si="2"/>
        <v/>
      </c>
      <c r="O1855" s="36" t="str">
        <f t="shared" si="3"/>
        <v/>
      </c>
      <c r="P1855" s="15"/>
      <c r="Q1855" s="37" t="str">
        <f t="shared" si="4"/>
        <v/>
      </c>
      <c r="R1855" s="37" t="str">
        <f t="shared" si="5"/>
        <v/>
      </c>
      <c r="S1855" s="32" t="str">
        <f t="shared" si="6"/>
        <v/>
      </c>
      <c r="T1855" s="37" t="str">
        <f t="shared" si="7"/>
        <v/>
      </c>
      <c r="U1855" s="37" t="str">
        <f t="array" ref="U1855">IF($F1855="","",IFERROR(INDEX(Config!$F:$F,MATCH($F1855,Config!$D:$D,0)),0))</f>
        <v/>
      </c>
    </row>
    <row r="1856" ht="15.0" customHeight="1">
      <c r="A1856" s="34"/>
      <c r="B1856" s="35"/>
      <c r="C1856" s="15"/>
      <c r="D1856" s="15"/>
      <c r="E1856" s="15"/>
      <c r="F1856" s="15"/>
      <c r="G1856" s="36" t="str">
        <f t="array" ref="G1856">IF($F1856="","",IFERROR(INDEX(Config!$E:$E,MATCH($F1856,Config!$D:$D,0)),0))</f>
        <v/>
      </c>
      <c r="H1856" s="16"/>
      <c r="I1856" s="36" t="str">
        <f t="shared" si="1"/>
        <v/>
      </c>
      <c r="J1856" s="16"/>
      <c r="K1856" s="15"/>
      <c r="L1856" s="15"/>
      <c r="M1856" s="36" t="str">
        <f t="array" ref="M1856">IF($A1856="","",IF($L1856="Atendido",IFERROR($I1856*INDEX(Config!$B:$B,MATCH($C1856,Config!$A:$A,0)),0),0))</f>
        <v/>
      </c>
      <c r="N1856" s="36" t="str">
        <f t="shared" si="2"/>
        <v/>
      </c>
      <c r="O1856" s="36" t="str">
        <f t="shared" si="3"/>
        <v/>
      </c>
      <c r="P1856" s="15"/>
      <c r="Q1856" s="37" t="str">
        <f t="shared" si="4"/>
        <v/>
      </c>
      <c r="R1856" s="37" t="str">
        <f t="shared" si="5"/>
        <v/>
      </c>
      <c r="S1856" s="32" t="str">
        <f t="shared" si="6"/>
        <v/>
      </c>
      <c r="T1856" s="37" t="str">
        <f t="shared" si="7"/>
        <v/>
      </c>
      <c r="U1856" s="37" t="str">
        <f t="array" ref="U1856">IF($F1856="","",IFERROR(INDEX(Config!$F:$F,MATCH($F1856,Config!$D:$D,0)),0))</f>
        <v/>
      </c>
    </row>
    <row r="1857" ht="15.0" customHeight="1">
      <c r="A1857" s="34"/>
      <c r="B1857" s="35"/>
      <c r="C1857" s="15"/>
      <c r="D1857" s="15"/>
      <c r="E1857" s="15"/>
      <c r="F1857" s="15"/>
      <c r="G1857" s="36" t="str">
        <f t="array" ref="G1857">IF($F1857="","",IFERROR(INDEX(Config!$E:$E,MATCH($F1857,Config!$D:$D,0)),0))</f>
        <v/>
      </c>
      <c r="H1857" s="16"/>
      <c r="I1857" s="36" t="str">
        <f t="shared" si="1"/>
        <v/>
      </c>
      <c r="J1857" s="16"/>
      <c r="K1857" s="15"/>
      <c r="L1857" s="15"/>
      <c r="M1857" s="36" t="str">
        <f t="array" ref="M1857">IF($A1857="","",IF($L1857="Atendido",IFERROR($I1857*INDEX(Config!$B:$B,MATCH($C1857,Config!$A:$A,0)),0),0))</f>
        <v/>
      </c>
      <c r="N1857" s="36" t="str">
        <f t="shared" si="2"/>
        <v/>
      </c>
      <c r="O1857" s="36" t="str">
        <f t="shared" si="3"/>
        <v/>
      </c>
      <c r="P1857" s="15"/>
      <c r="Q1857" s="37" t="str">
        <f t="shared" si="4"/>
        <v/>
      </c>
      <c r="R1857" s="37" t="str">
        <f t="shared" si="5"/>
        <v/>
      </c>
      <c r="S1857" s="32" t="str">
        <f t="shared" si="6"/>
        <v/>
      </c>
      <c r="T1857" s="37" t="str">
        <f t="shared" si="7"/>
        <v/>
      </c>
      <c r="U1857" s="37" t="str">
        <f t="array" ref="U1857">IF($F1857="","",IFERROR(INDEX(Config!$F:$F,MATCH($F1857,Config!$D:$D,0)),0))</f>
        <v/>
      </c>
    </row>
    <row r="1858" ht="15.0" customHeight="1">
      <c r="A1858" s="34"/>
      <c r="B1858" s="35"/>
      <c r="C1858" s="15"/>
      <c r="D1858" s="15"/>
      <c r="E1858" s="15"/>
      <c r="F1858" s="15"/>
      <c r="G1858" s="36" t="str">
        <f t="array" ref="G1858">IF($F1858="","",IFERROR(INDEX(Config!$E:$E,MATCH($F1858,Config!$D:$D,0)),0))</f>
        <v/>
      </c>
      <c r="H1858" s="16"/>
      <c r="I1858" s="36" t="str">
        <f t="shared" si="1"/>
        <v/>
      </c>
      <c r="J1858" s="16"/>
      <c r="K1858" s="15"/>
      <c r="L1858" s="15"/>
      <c r="M1858" s="36" t="str">
        <f t="array" ref="M1858">IF($A1858="","",IF($L1858="Atendido",IFERROR($I1858*INDEX(Config!$B:$B,MATCH($C1858,Config!$A:$A,0)),0),0))</f>
        <v/>
      </c>
      <c r="N1858" s="36" t="str">
        <f t="shared" si="2"/>
        <v/>
      </c>
      <c r="O1858" s="36" t="str">
        <f t="shared" si="3"/>
        <v/>
      </c>
      <c r="P1858" s="15"/>
      <c r="Q1858" s="37" t="str">
        <f t="shared" si="4"/>
        <v/>
      </c>
      <c r="R1858" s="37" t="str">
        <f t="shared" si="5"/>
        <v/>
      </c>
      <c r="S1858" s="32" t="str">
        <f t="shared" si="6"/>
        <v/>
      </c>
      <c r="T1858" s="37" t="str">
        <f t="shared" si="7"/>
        <v/>
      </c>
      <c r="U1858" s="37" t="str">
        <f t="array" ref="U1858">IF($F1858="","",IFERROR(INDEX(Config!$F:$F,MATCH($F1858,Config!$D:$D,0)),0))</f>
        <v/>
      </c>
    </row>
    <row r="1859" ht="15.0" customHeight="1">
      <c r="A1859" s="34"/>
      <c r="B1859" s="35"/>
      <c r="C1859" s="15"/>
      <c r="D1859" s="15"/>
      <c r="E1859" s="15"/>
      <c r="F1859" s="15"/>
      <c r="G1859" s="36" t="str">
        <f t="array" ref="G1859">IF($F1859="","",IFERROR(INDEX(Config!$E:$E,MATCH($F1859,Config!$D:$D,0)),0))</f>
        <v/>
      </c>
      <c r="H1859" s="16"/>
      <c r="I1859" s="36" t="str">
        <f t="shared" si="1"/>
        <v/>
      </c>
      <c r="J1859" s="16"/>
      <c r="K1859" s="15"/>
      <c r="L1859" s="15"/>
      <c r="M1859" s="36" t="str">
        <f t="array" ref="M1859">IF($A1859="","",IF($L1859="Atendido",IFERROR($I1859*INDEX(Config!$B:$B,MATCH($C1859,Config!$A:$A,0)),0),0))</f>
        <v/>
      </c>
      <c r="N1859" s="36" t="str">
        <f t="shared" si="2"/>
        <v/>
      </c>
      <c r="O1859" s="36" t="str">
        <f t="shared" si="3"/>
        <v/>
      </c>
      <c r="P1859" s="15"/>
      <c r="Q1859" s="37" t="str">
        <f t="shared" si="4"/>
        <v/>
      </c>
      <c r="R1859" s="37" t="str">
        <f t="shared" si="5"/>
        <v/>
      </c>
      <c r="S1859" s="32" t="str">
        <f t="shared" si="6"/>
        <v/>
      </c>
      <c r="T1859" s="37" t="str">
        <f t="shared" si="7"/>
        <v/>
      </c>
      <c r="U1859" s="37" t="str">
        <f t="array" ref="U1859">IF($F1859="","",IFERROR(INDEX(Config!$F:$F,MATCH($F1859,Config!$D:$D,0)),0))</f>
        <v/>
      </c>
    </row>
    <row r="1860" ht="15.0" customHeight="1">
      <c r="A1860" s="34"/>
      <c r="B1860" s="35"/>
      <c r="C1860" s="15"/>
      <c r="D1860" s="15"/>
      <c r="E1860" s="15"/>
      <c r="F1860" s="15"/>
      <c r="G1860" s="36" t="str">
        <f t="array" ref="G1860">IF($F1860="","",IFERROR(INDEX(Config!$E:$E,MATCH($F1860,Config!$D:$D,0)),0))</f>
        <v/>
      </c>
      <c r="H1860" s="16"/>
      <c r="I1860" s="36" t="str">
        <f t="shared" si="1"/>
        <v/>
      </c>
      <c r="J1860" s="16"/>
      <c r="K1860" s="15"/>
      <c r="L1860" s="15"/>
      <c r="M1860" s="36" t="str">
        <f t="array" ref="M1860">IF($A1860="","",IF($L1860="Atendido",IFERROR($I1860*INDEX(Config!$B:$B,MATCH($C1860,Config!$A:$A,0)),0),0))</f>
        <v/>
      </c>
      <c r="N1860" s="36" t="str">
        <f t="shared" si="2"/>
        <v/>
      </c>
      <c r="O1860" s="36" t="str">
        <f t="shared" si="3"/>
        <v/>
      </c>
      <c r="P1860" s="15"/>
      <c r="Q1860" s="37" t="str">
        <f t="shared" si="4"/>
        <v/>
      </c>
      <c r="R1860" s="37" t="str">
        <f t="shared" si="5"/>
        <v/>
      </c>
      <c r="S1860" s="32" t="str">
        <f t="shared" si="6"/>
        <v/>
      </c>
      <c r="T1860" s="37" t="str">
        <f t="shared" si="7"/>
        <v/>
      </c>
      <c r="U1860" s="37" t="str">
        <f t="array" ref="U1860">IF($F1860="","",IFERROR(INDEX(Config!$F:$F,MATCH($F1860,Config!$D:$D,0)),0))</f>
        <v/>
      </c>
    </row>
    <row r="1861" ht="15.0" customHeight="1">
      <c r="A1861" s="34"/>
      <c r="B1861" s="35"/>
      <c r="C1861" s="15"/>
      <c r="D1861" s="15"/>
      <c r="E1861" s="15"/>
      <c r="F1861" s="15"/>
      <c r="G1861" s="36" t="str">
        <f t="array" ref="G1861">IF($F1861="","",IFERROR(INDEX(Config!$E:$E,MATCH($F1861,Config!$D:$D,0)),0))</f>
        <v/>
      </c>
      <c r="H1861" s="16"/>
      <c r="I1861" s="36" t="str">
        <f t="shared" si="1"/>
        <v/>
      </c>
      <c r="J1861" s="16"/>
      <c r="K1861" s="15"/>
      <c r="L1861" s="15"/>
      <c r="M1861" s="36" t="str">
        <f t="array" ref="M1861">IF($A1861="","",IF($L1861="Atendido",IFERROR($I1861*INDEX(Config!$B:$B,MATCH($C1861,Config!$A:$A,0)),0),0))</f>
        <v/>
      </c>
      <c r="N1861" s="36" t="str">
        <f t="shared" si="2"/>
        <v/>
      </c>
      <c r="O1861" s="36" t="str">
        <f t="shared" si="3"/>
        <v/>
      </c>
      <c r="P1861" s="15"/>
      <c r="Q1861" s="37" t="str">
        <f t="shared" si="4"/>
        <v/>
      </c>
      <c r="R1861" s="37" t="str">
        <f t="shared" si="5"/>
        <v/>
      </c>
      <c r="S1861" s="32" t="str">
        <f t="shared" si="6"/>
        <v/>
      </c>
      <c r="T1861" s="37" t="str">
        <f t="shared" si="7"/>
        <v/>
      </c>
      <c r="U1861" s="37" t="str">
        <f t="array" ref="U1861">IF($F1861="","",IFERROR(INDEX(Config!$F:$F,MATCH($F1861,Config!$D:$D,0)),0))</f>
        <v/>
      </c>
    </row>
    <row r="1862" ht="15.0" customHeight="1">
      <c r="A1862" s="34"/>
      <c r="B1862" s="35"/>
      <c r="C1862" s="15"/>
      <c r="D1862" s="15"/>
      <c r="E1862" s="15"/>
      <c r="F1862" s="15"/>
      <c r="G1862" s="36" t="str">
        <f t="array" ref="G1862">IF($F1862="","",IFERROR(INDEX(Config!$E:$E,MATCH($F1862,Config!$D:$D,0)),0))</f>
        <v/>
      </c>
      <c r="H1862" s="16"/>
      <c r="I1862" s="36" t="str">
        <f t="shared" si="1"/>
        <v/>
      </c>
      <c r="J1862" s="16"/>
      <c r="K1862" s="15"/>
      <c r="L1862" s="15"/>
      <c r="M1862" s="36" t="str">
        <f t="array" ref="M1862">IF($A1862="","",IF($L1862="Atendido",IFERROR($I1862*INDEX(Config!$B:$B,MATCH($C1862,Config!$A:$A,0)),0),0))</f>
        <v/>
      </c>
      <c r="N1862" s="36" t="str">
        <f t="shared" si="2"/>
        <v/>
      </c>
      <c r="O1862" s="36" t="str">
        <f t="shared" si="3"/>
        <v/>
      </c>
      <c r="P1862" s="15"/>
      <c r="Q1862" s="37" t="str">
        <f t="shared" si="4"/>
        <v/>
      </c>
      <c r="R1862" s="37" t="str">
        <f t="shared" si="5"/>
        <v/>
      </c>
      <c r="S1862" s="32" t="str">
        <f t="shared" si="6"/>
        <v/>
      </c>
      <c r="T1862" s="37" t="str">
        <f t="shared" si="7"/>
        <v/>
      </c>
      <c r="U1862" s="37" t="str">
        <f t="array" ref="U1862">IF($F1862="","",IFERROR(INDEX(Config!$F:$F,MATCH($F1862,Config!$D:$D,0)),0))</f>
        <v/>
      </c>
    </row>
    <row r="1863" ht="15.0" customHeight="1">
      <c r="A1863" s="34"/>
      <c r="B1863" s="35"/>
      <c r="C1863" s="15"/>
      <c r="D1863" s="15"/>
      <c r="E1863" s="15"/>
      <c r="F1863" s="15"/>
      <c r="G1863" s="36" t="str">
        <f t="array" ref="G1863">IF($F1863="","",IFERROR(INDEX(Config!$E:$E,MATCH($F1863,Config!$D:$D,0)),0))</f>
        <v/>
      </c>
      <c r="H1863" s="16"/>
      <c r="I1863" s="36" t="str">
        <f t="shared" si="1"/>
        <v/>
      </c>
      <c r="J1863" s="16"/>
      <c r="K1863" s="15"/>
      <c r="L1863" s="15"/>
      <c r="M1863" s="36" t="str">
        <f t="array" ref="M1863">IF($A1863="","",IF($L1863="Atendido",IFERROR($I1863*INDEX(Config!$B:$B,MATCH($C1863,Config!$A:$A,0)),0),0))</f>
        <v/>
      </c>
      <c r="N1863" s="36" t="str">
        <f t="shared" si="2"/>
        <v/>
      </c>
      <c r="O1863" s="36" t="str">
        <f t="shared" si="3"/>
        <v/>
      </c>
      <c r="P1863" s="15"/>
      <c r="Q1863" s="37" t="str">
        <f t="shared" si="4"/>
        <v/>
      </c>
      <c r="R1863" s="37" t="str">
        <f t="shared" si="5"/>
        <v/>
      </c>
      <c r="S1863" s="32" t="str">
        <f t="shared" si="6"/>
        <v/>
      </c>
      <c r="T1863" s="37" t="str">
        <f t="shared" si="7"/>
        <v/>
      </c>
      <c r="U1863" s="37" t="str">
        <f t="array" ref="U1863">IF($F1863="","",IFERROR(INDEX(Config!$F:$F,MATCH($F1863,Config!$D:$D,0)),0))</f>
        <v/>
      </c>
    </row>
    <row r="1864" ht="15.0" customHeight="1">
      <c r="A1864" s="34"/>
      <c r="B1864" s="35"/>
      <c r="C1864" s="15"/>
      <c r="D1864" s="15"/>
      <c r="E1864" s="15"/>
      <c r="F1864" s="15"/>
      <c r="G1864" s="36" t="str">
        <f t="array" ref="G1864">IF($F1864="","",IFERROR(INDEX(Config!$E:$E,MATCH($F1864,Config!$D:$D,0)),0))</f>
        <v/>
      </c>
      <c r="H1864" s="16"/>
      <c r="I1864" s="36" t="str">
        <f t="shared" si="1"/>
        <v/>
      </c>
      <c r="J1864" s="16"/>
      <c r="K1864" s="15"/>
      <c r="L1864" s="15"/>
      <c r="M1864" s="36" t="str">
        <f t="array" ref="M1864">IF($A1864="","",IF($L1864="Atendido",IFERROR($I1864*INDEX(Config!$B:$B,MATCH($C1864,Config!$A:$A,0)),0),0))</f>
        <v/>
      </c>
      <c r="N1864" s="36" t="str">
        <f t="shared" si="2"/>
        <v/>
      </c>
      <c r="O1864" s="36" t="str">
        <f t="shared" si="3"/>
        <v/>
      </c>
      <c r="P1864" s="15"/>
      <c r="Q1864" s="37" t="str">
        <f t="shared" si="4"/>
        <v/>
      </c>
      <c r="R1864" s="37" t="str">
        <f t="shared" si="5"/>
        <v/>
      </c>
      <c r="S1864" s="32" t="str">
        <f t="shared" si="6"/>
        <v/>
      </c>
      <c r="T1864" s="37" t="str">
        <f t="shared" si="7"/>
        <v/>
      </c>
      <c r="U1864" s="37" t="str">
        <f t="array" ref="U1864">IF($F1864="","",IFERROR(INDEX(Config!$F:$F,MATCH($F1864,Config!$D:$D,0)),0))</f>
        <v/>
      </c>
    </row>
    <row r="1865" ht="15.0" customHeight="1">
      <c r="A1865" s="34"/>
      <c r="B1865" s="35"/>
      <c r="C1865" s="15"/>
      <c r="D1865" s="15"/>
      <c r="E1865" s="15"/>
      <c r="F1865" s="15"/>
      <c r="G1865" s="36" t="str">
        <f t="array" ref="G1865">IF($F1865="","",IFERROR(INDEX(Config!$E:$E,MATCH($F1865,Config!$D:$D,0)),0))</f>
        <v/>
      </c>
      <c r="H1865" s="16"/>
      <c r="I1865" s="36" t="str">
        <f t="shared" si="1"/>
        <v/>
      </c>
      <c r="J1865" s="16"/>
      <c r="K1865" s="15"/>
      <c r="L1865" s="15"/>
      <c r="M1865" s="36" t="str">
        <f t="array" ref="M1865">IF($A1865="","",IF($L1865="Atendido",IFERROR($I1865*INDEX(Config!$B:$B,MATCH($C1865,Config!$A:$A,0)),0),0))</f>
        <v/>
      </c>
      <c r="N1865" s="36" t="str">
        <f t="shared" si="2"/>
        <v/>
      </c>
      <c r="O1865" s="36" t="str">
        <f t="shared" si="3"/>
        <v/>
      </c>
      <c r="P1865" s="15"/>
      <c r="Q1865" s="37" t="str">
        <f t="shared" si="4"/>
        <v/>
      </c>
      <c r="R1865" s="37" t="str">
        <f t="shared" si="5"/>
        <v/>
      </c>
      <c r="S1865" s="32" t="str">
        <f t="shared" si="6"/>
        <v/>
      </c>
      <c r="T1865" s="37" t="str">
        <f t="shared" si="7"/>
        <v/>
      </c>
      <c r="U1865" s="37" t="str">
        <f t="array" ref="U1865">IF($F1865="","",IFERROR(INDEX(Config!$F:$F,MATCH($F1865,Config!$D:$D,0)),0))</f>
        <v/>
      </c>
    </row>
    <row r="1866" ht="15.0" customHeight="1">
      <c r="A1866" s="34"/>
      <c r="B1866" s="35"/>
      <c r="C1866" s="15"/>
      <c r="D1866" s="15"/>
      <c r="E1866" s="15"/>
      <c r="F1866" s="15"/>
      <c r="G1866" s="36" t="str">
        <f t="array" ref="G1866">IF($F1866="","",IFERROR(INDEX(Config!$E:$E,MATCH($F1866,Config!$D:$D,0)),0))</f>
        <v/>
      </c>
      <c r="H1866" s="16"/>
      <c r="I1866" s="36" t="str">
        <f t="shared" si="1"/>
        <v/>
      </c>
      <c r="J1866" s="16"/>
      <c r="K1866" s="15"/>
      <c r="L1866" s="15"/>
      <c r="M1866" s="36" t="str">
        <f t="array" ref="M1866">IF($A1866="","",IF($L1866="Atendido",IFERROR($I1866*INDEX(Config!$B:$B,MATCH($C1866,Config!$A:$A,0)),0),0))</f>
        <v/>
      </c>
      <c r="N1866" s="36" t="str">
        <f t="shared" si="2"/>
        <v/>
      </c>
      <c r="O1866" s="36" t="str">
        <f t="shared" si="3"/>
        <v/>
      </c>
      <c r="P1866" s="15"/>
      <c r="Q1866" s="37" t="str">
        <f t="shared" si="4"/>
        <v/>
      </c>
      <c r="R1866" s="37" t="str">
        <f t="shared" si="5"/>
        <v/>
      </c>
      <c r="S1866" s="32" t="str">
        <f t="shared" si="6"/>
        <v/>
      </c>
      <c r="T1866" s="37" t="str">
        <f t="shared" si="7"/>
        <v/>
      </c>
      <c r="U1866" s="37" t="str">
        <f t="array" ref="U1866">IF($F1866="","",IFERROR(INDEX(Config!$F:$F,MATCH($F1866,Config!$D:$D,0)),0))</f>
        <v/>
      </c>
    </row>
    <row r="1867" ht="15.0" customHeight="1">
      <c r="A1867" s="34"/>
      <c r="B1867" s="35"/>
      <c r="C1867" s="15"/>
      <c r="D1867" s="15"/>
      <c r="E1867" s="15"/>
      <c r="F1867" s="15"/>
      <c r="G1867" s="36" t="str">
        <f t="array" ref="G1867">IF($F1867="","",IFERROR(INDEX(Config!$E:$E,MATCH($F1867,Config!$D:$D,0)),0))</f>
        <v/>
      </c>
      <c r="H1867" s="16"/>
      <c r="I1867" s="36" t="str">
        <f t="shared" si="1"/>
        <v/>
      </c>
      <c r="J1867" s="16"/>
      <c r="K1867" s="15"/>
      <c r="L1867" s="15"/>
      <c r="M1867" s="36" t="str">
        <f t="array" ref="M1867">IF($A1867="","",IF($L1867="Atendido",IFERROR($I1867*INDEX(Config!$B:$B,MATCH($C1867,Config!$A:$A,0)),0),0))</f>
        <v/>
      </c>
      <c r="N1867" s="36" t="str">
        <f t="shared" si="2"/>
        <v/>
      </c>
      <c r="O1867" s="36" t="str">
        <f t="shared" si="3"/>
        <v/>
      </c>
      <c r="P1867" s="15"/>
      <c r="Q1867" s="37" t="str">
        <f t="shared" si="4"/>
        <v/>
      </c>
      <c r="R1867" s="37" t="str">
        <f t="shared" si="5"/>
        <v/>
      </c>
      <c r="S1867" s="32" t="str">
        <f t="shared" si="6"/>
        <v/>
      </c>
      <c r="T1867" s="37" t="str">
        <f t="shared" si="7"/>
        <v/>
      </c>
      <c r="U1867" s="37" t="str">
        <f t="array" ref="U1867">IF($F1867="","",IFERROR(INDEX(Config!$F:$F,MATCH($F1867,Config!$D:$D,0)),0))</f>
        <v/>
      </c>
    </row>
    <row r="1868" ht="15.0" customHeight="1">
      <c r="A1868" s="34"/>
      <c r="B1868" s="35"/>
      <c r="C1868" s="15"/>
      <c r="D1868" s="15"/>
      <c r="E1868" s="15"/>
      <c r="F1868" s="15"/>
      <c r="G1868" s="36" t="str">
        <f t="array" ref="G1868">IF($F1868="","",IFERROR(INDEX(Config!$E:$E,MATCH($F1868,Config!$D:$D,0)),0))</f>
        <v/>
      </c>
      <c r="H1868" s="16"/>
      <c r="I1868" s="36" t="str">
        <f t="shared" si="1"/>
        <v/>
      </c>
      <c r="J1868" s="16"/>
      <c r="K1868" s="15"/>
      <c r="L1868" s="15"/>
      <c r="M1868" s="36" t="str">
        <f t="array" ref="M1868">IF($A1868="","",IF($L1868="Atendido",IFERROR($I1868*INDEX(Config!$B:$B,MATCH($C1868,Config!$A:$A,0)),0),0))</f>
        <v/>
      </c>
      <c r="N1868" s="36" t="str">
        <f t="shared" si="2"/>
        <v/>
      </c>
      <c r="O1868" s="36" t="str">
        <f t="shared" si="3"/>
        <v/>
      </c>
      <c r="P1868" s="15"/>
      <c r="Q1868" s="37" t="str">
        <f t="shared" si="4"/>
        <v/>
      </c>
      <c r="R1868" s="37" t="str">
        <f t="shared" si="5"/>
        <v/>
      </c>
      <c r="S1868" s="32" t="str">
        <f t="shared" si="6"/>
        <v/>
      </c>
      <c r="T1868" s="37" t="str">
        <f t="shared" si="7"/>
        <v/>
      </c>
      <c r="U1868" s="37" t="str">
        <f t="array" ref="U1868">IF($F1868="","",IFERROR(INDEX(Config!$F:$F,MATCH($F1868,Config!$D:$D,0)),0))</f>
        <v/>
      </c>
    </row>
    <row r="1869" ht="15.0" customHeight="1">
      <c r="A1869" s="34"/>
      <c r="B1869" s="35"/>
      <c r="C1869" s="15"/>
      <c r="D1869" s="15"/>
      <c r="E1869" s="15"/>
      <c r="F1869" s="15"/>
      <c r="G1869" s="36" t="str">
        <f t="array" ref="G1869">IF($F1869="","",IFERROR(INDEX(Config!$E:$E,MATCH($F1869,Config!$D:$D,0)),0))</f>
        <v/>
      </c>
      <c r="H1869" s="16"/>
      <c r="I1869" s="36" t="str">
        <f t="shared" si="1"/>
        <v/>
      </c>
      <c r="J1869" s="16"/>
      <c r="K1869" s="15"/>
      <c r="L1869" s="15"/>
      <c r="M1869" s="36" t="str">
        <f t="array" ref="M1869">IF($A1869="","",IF($L1869="Atendido",IFERROR($I1869*INDEX(Config!$B:$B,MATCH($C1869,Config!$A:$A,0)),0),0))</f>
        <v/>
      </c>
      <c r="N1869" s="36" t="str">
        <f t="shared" si="2"/>
        <v/>
      </c>
      <c r="O1869" s="36" t="str">
        <f t="shared" si="3"/>
        <v/>
      </c>
      <c r="P1869" s="15"/>
      <c r="Q1869" s="37" t="str">
        <f t="shared" si="4"/>
        <v/>
      </c>
      <c r="R1869" s="37" t="str">
        <f t="shared" si="5"/>
        <v/>
      </c>
      <c r="S1869" s="32" t="str">
        <f t="shared" si="6"/>
        <v/>
      </c>
      <c r="T1869" s="37" t="str">
        <f t="shared" si="7"/>
        <v/>
      </c>
      <c r="U1869" s="37" t="str">
        <f t="array" ref="U1869">IF($F1869="","",IFERROR(INDEX(Config!$F:$F,MATCH($F1869,Config!$D:$D,0)),0))</f>
        <v/>
      </c>
    </row>
    <row r="1870" ht="15.0" customHeight="1">
      <c r="A1870" s="34"/>
      <c r="B1870" s="35"/>
      <c r="C1870" s="15"/>
      <c r="D1870" s="15"/>
      <c r="E1870" s="15"/>
      <c r="F1870" s="15"/>
      <c r="G1870" s="36" t="str">
        <f t="array" ref="G1870">IF($F1870="","",IFERROR(INDEX(Config!$E:$E,MATCH($F1870,Config!$D:$D,0)),0))</f>
        <v/>
      </c>
      <c r="H1870" s="16"/>
      <c r="I1870" s="36" t="str">
        <f t="shared" si="1"/>
        <v/>
      </c>
      <c r="J1870" s="16"/>
      <c r="K1870" s="15"/>
      <c r="L1870" s="15"/>
      <c r="M1870" s="36" t="str">
        <f t="array" ref="M1870">IF($A1870="","",IF($L1870="Atendido",IFERROR($I1870*INDEX(Config!$B:$B,MATCH($C1870,Config!$A:$A,0)),0),0))</f>
        <v/>
      </c>
      <c r="N1870" s="36" t="str">
        <f t="shared" si="2"/>
        <v/>
      </c>
      <c r="O1870" s="36" t="str">
        <f t="shared" si="3"/>
        <v/>
      </c>
      <c r="P1870" s="15"/>
      <c r="Q1870" s="37" t="str">
        <f t="shared" si="4"/>
        <v/>
      </c>
      <c r="R1870" s="37" t="str">
        <f t="shared" si="5"/>
        <v/>
      </c>
      <c r="S1870" s="32" t="str">
        <f t="shared" si="6"/>
        <v/>
      </c>
      <c r="T1870" s="37" t="str">
        <f t="shared" si="7"/>
        <v/>
      </c>
      <c r="U1870" s="37" t="str">
        <f t="array" ref="U1870">IF($F1870="","",IFERROR(INDEX(Config!$F:$F,MATCH($F1870,Config!$D:$D,0)),0))</f>
        <v/>
      </c>
    </row>
    <row r="1871" ht="15.0" customHeight="1">
      <c r="A1871" s="34"/>
      <c r="B1871" s="35"/>
      <c r="C1871" s="15"/>
      <c r="D1871" s="15"/>
      <c r="E1871" s="15"/>
      <c r="F1871" s="15"/>
      <c r="G1871" s="36" t="str">
        <f t="array" ref="G1871">IF($F1871="","",IFERROR(INDEX(Config!$E:$E,MATCH($F1871,Config!$D:$D,0)),0))</f>
        <v/>
      </c>
      <c r="H1871" s="16"/>
      <c r="I1871" s="36" t="str">
        <f t="shared" si="1"/>
        <v/>
      </c>
      <c r="J1871" s="16"/>
      <c r="K1871" s="15"/>
      <c r="L1871" s="15"/>
      <c r="M1871" s="36" t="str">
        <f t="array" ref="M1871">IF($A1871="","",IF($L1871="Atendido",IFERROR($I1871*INDEX(Config!$B:$B,MATCH($C1871,Config!$A:$A,0)),0),0))</f>
        <v/>
      </c>
      <c r="N1871" s="36" t="str">
        <f t="shared" si="2"/>
        <v/>
      </c>
      <c r="O1871" s="36" t="str">
        <f t="shared" si="3"/>
        <v/>
      </c>
      <c r="P1871" s="15"/>
      <c r="Q1871" s="37" t="str">
        <f t="shared" si="4"/>
        <v/>
      </c>
      <c r="R1871" s="37" t="str">
        <f t="shared" si="5"/>
        <v/>
      </c>
      <c r="S1871" s="32" t="str">
        <f t="shared" si="6"/>
        <v/>
      </c>
      <c r="T1871" s="37" t="str">
        <f t="shared" si="7"/>
        <v/>
      </c>
      <c r="U1871" s="37" t="str">
        <f t="array" ref="U1871">IF($F1871="","",IFERROR(INDEX(Config!$F:$F,MATCH($F1871,Config!$D:$D,0)),0))</f>
        <v/>
      </c>
    </row>
    <row r="1872" ht="15.0" customHeight="1">
      <c r="A1872" s="34"/>
      <c r="B1872" s="35"/>
      <c r="C1872" s="15"/>
      <c r="D1872" s="15"/>
      <c r="E1872" s="15"/>
      <c r="F1872" s="15"/>
      <c r="G1872" s="36" t="str">
        <f t="array" ref="G1872">IF($F1872="","",IFERROR(INDEX(Config!$E:$E,MATCH($F1872,Config!$D:$D,0)),0))</f>
        <v/>
      </c>
      <c r="H1872" s="16"/>
      <c r="I1872" s="36" t="str">
        <f t="shared" si="1"/>
        <v/>
      </c>
      <c r="J1872" s="16"/>
      <c r="K1872" s="15"/>
      <c r="L1872" s="15"/>
      <c r="M1872" s="36" t="str">
        <f t="array" ref="M1872">IF($A1872="","",IF($L1872="Atendido",IFERROR($I1872*INDEX(Config!$B:$B,MATCH($C1872,Config!$A:$A,0)),0),0))</f>
        <v/>
      </c>
      <c r="N1872" s="36" t="str">
        <f t="shared" si="2"/>
        <v/>
      </c>
      <c r="O1872" s="36" t="str">
        <f t="shared" si="3"/>
        <v/>
      </c>
      <c r="P1872" s="15"/>
      <c r="Q1872" s="37" t="str">
        <f t="shared" si="4"/>
        <v/>
      </c>
      <c r="R1872" s="37" t="str">
        <f t="shared" si="5"/>
        <v/>
      </c>
      <c r="S1872" s="32" t="str">
        <f t="shared" si="6"/>
        <v/>
      </c>
      <c r="T1872" s="37" t="str">
        <f t="shared" si="7"/>
        <v/>
      </c>
      <c r="U1872" s="37" t="str">
        <f t="array" ref="U1872">IF($F1872="","",IFERROR(INDEX(Config!$F:$F,MATCH($F1872,Config!$D:$D,0)),0))</f>
        <v/>
      </c>
    </row>
    <row r="1873" ht="15.0" customHeight="1">
      <c r="A1873" s="34"/>
      <c r="B1873" s="35"/>
      <c r="C1873" s="15"/>
      <c r="D1873" s="15"/>
      <c r="E1873" s="15"/>
      <c r="F1873" s="15"/>
      <c r="G1873" s="36" t="str">
        <f t="array" ref="G1873">IF($F1873="","",IFERROR(INDEX(Config!$E:$E,MATCH($F1873,Config!$D:$D,0)),0))</f>
        <v/>
      </c>
      <c r="H1873" s="16"/>
      <c r="I1873" s="36" t="str">
        <f t="shared" si="1"/>
        <v/>
      </c>
      <c r="J1873" s="16"/>
      <c r="K1873" s="15"/>
      <c r="L1873" s="15"/>
      <c r="M1873" s="36" t="str">
        <f t="array" ref="M1873">IF($A1873="","",IF($L1873="Atendido",IFERROR($I1873*INDEX(Config!$B:$B,MATCH($C1873,Config!$A:$A,0)),0),0))</f>
        <v/>
      </c>
      <c r="N1873" s="36" t="str">
        <f t="shared" si="2"/>
        <v/>
      </c>
      <c r="O1873" s="36" t="str">
        <f t="shared" si="3"/>
        <v/>
      </c>
      <c r="P1873" s="15"/>
      <c r="Q1873" s="37" t="str">
        <f t="shared" si="4"/>
        <v/>
      </c>
      <c r="R1873" s="37" t="str">
        <f t="shared" si="5"/>
        <v/>
      </c>
      <c r="S1873" s="32" t="str">
        <f t="shared" si="6"/>
        <v/>
      </c>
      <c r="T1873" s="37" t="str">
        <f t="shared" si="7"/>
        <v/>
      </c>
      <c r="U1873" s="37" t="str">
        <f t="array" ref="U1873">IF($F1873="","",IFERROR(INDEX(Config!$F:$F,MATCH($F1873,Config!$D:$D,0)),0))</f>
        <v/>
      </c>
    </row>
    <row r="1874" ht="15.0" customHeight="1">
      <c r="A1874" s="34"/>
      <c r="B1874" s="35"/>
      <c r="C1874" s="15"/>
      <c r="D1874" s="15"/>
      <c r="E1874" s="15"/>
      <c r="F1874" s="15"/>
      <c r="G1874" s="36" t="str">
        <f t="array" ref="G1874">IF($F1874="","",IFERROR(INDEX(Config!$E:$E,MATCH($F1874,Config!$D:$D,0)),0))</f>
        <v/>
      </c>
      <c r="H1874" s="16"/>
      <c r="I1874" s="36" t="str">
        <f t="shared" si="1"/>
        <v/>
      </c>
      <c r="J1874" s="16"/>
      <c r="K1874" s="15"/>
      <c r="L1874" s="15"/>
      <c r="M1874" s="36" t="str">
        <f t="array" ref="M1874">IF($A1874="","",IF($L1874="Atendido",IFERROR($I1874*INDEX(Config!$B:$B,MATCH($C1874,Config!$A:$A,0)),0),0))</f>
        <v/>
      </c>
      <c r="N1874" s="36" t="str">
        <f t="shared" si="2"/>
        <v/>
      </c>
      <c r="O1874" s="36" t="str">
        <f t="shared" si="3"/>
        <v/>
      </c>
      <c r="P1874" s="15"/>
      <c r="Q1874" s="37" t="str">
        <f t="shared" si="4"/>
        <v/>
      </c>
      <c r="R1874" s="37" t="str">
        <f t="shared" si="5"/>
        <v/>
      </c>
      <c r="S1874" s="32" t="str">
        <f t="shared" si="6"/>
        <v/>
      </c>
      <c r="T1874" s="37" t="str">
        <f t="shared" si="7"/>
        <v/>
      </c>
      <c r="U1874" s="37" t="str">
        <f t="array" ref="U1874">IF($F1874="","",IFERROR(INDEX(Config!$F:$F,MATCH($F1874,Config!$D:$D,0)),0))</f>
        <v/>
      </c>
    </row>
    <row r="1875" ht="15.0" customHeight="1">
      <c r="A1875" s="34"/>
      <c r="B1875" s="35"/>
      <c r="C1875" s="15"/>
      <c r="D1875" s="15"/>
      <c r="E1875" s="15"/>
      <c r="F1875" s="15"/>
      <c r="G1875" s="36" t="str">
        <f t="array" ref="G1875">IF($F1875="","",IFERROR(INDEX(Config!$E:$E,MATCH($F1875,Config!$D:$D,0)),0))</f>
        <v/>
      </c>
      <c r="H1875" s="16"/>
      <c r="I1875" s="36" t="str">
        <f t="shared" si="1"/>
        <v/>
      </c>
      <c r="J1875" s="16"/>
      <c r="K1875" s="15"/>
      <c r="L1875" s="15"/>
      <c r="M1875" s="36" t="str">
        <f t="array" ref="M1875">IF($A1875="","",IF($L1875="Atendido",IFERROR($I1875*INDEX(Config!$B:$B,MATCH($C1875,Config!$A:$A,0)),0),0))</f>
        <v/>
      </c>
      <c r="N1875" s="36" t="str">
        <f t="shared" si="2"/>
        <v/>
      </c>
      <c r="O1875" s="36" t="str">
        <f t="shared" si="3"/>
        <v/>
      </c>
      <c r="P1875" s="15"/>
      <c r="Q1875" s="37" t="str">
        <f t="shared" si="4"/>
        <v/>
      </c>
      <c r="R1875" s="37" t="str">
        <f t="shared" si="5"/>
        <v/>
      </c>
      <c r="S1875" s="32" t="str">
        <f t="shared" si="6"/>
        <v/>
      </c>
      <c r="T1875" s="37" t="str">
        <f t="shared" si="7"/>
        <v/>
      </c>
      <c r="U1875" s="37" t="str">
        <f t="array" ref="U1875">IF($F1875="","",IFERROR(INDEX(Config!$F:$F,MATCH($F1875,Config!$D:$D,0)),0))</f>
        <v/>
      </c>
    </row>
    <row r="1876" ht="15.0" customHeight="1">
      <c r="A1876" s="34"/>
      <c r="B1876" s="35"/>
      <c r="C1876" s="15"/>
      <c r="D1876" s="15"/>
      <c r="E1876" s="15"/>
      <c r="F1876" s="15"/>
      <c r="G1876" s="36" t="str">
        <f t="array" ref="G1876">IF($F1876="","",IFERROR(INDEX(Config!$E:$E,MATCH($F1876,Config!$D:$D,0)),0))</f>
        <v/>
      </c>
      <c r="H1876" s="16"/>
      <c r="I1876" s="36" t="str">
        <f t="shared" si="1"/>
        <v/>
      </c>
      <c r="J1876" s="16"/>
      <c r="K1876" s="15"/>
      <c r="L1876" s="15"/>
      <c r="M1876" s="36" t="str">
        <f t="array" ref="M1876">IF($A1876="","",IF($L1876="Atendido",IFERROR($I1876*INDEX(Config!$B:$B,MATCH($C1876,Config!$A:$A,0)),0),0))</f>
        <v/>
      </c>
      <c r="N1876" s="36" t="str">
        <f t="shared" si="2"/>
        <v/>
      </c>
      <c r="O1876" s="36" t="str">
        <f t="shared" si="3"/>
        <v/>
      </c>
      <c r="P1876" s="15"/>
      <c r="Q1876" s="37" t="str">
        <f t="shared" si="4"/>
        <v/>
      </c>
      <c r="R1876" s="37" t="str">
        <f t="shared" si="5"/>
        <v/>
      </c>
      <c r="S1876" s="32" t="str">
        <f t="shared" si="6"/>
        <v/>
      </c>
      <c r="T1876" s="37" t="str">
        <f t="shared" si="7"/>
        <v/>
      </c>
      <c r="U1876" s="37" t="str">
        <f t="array" ref="U1876">IF($F1876="","",IFERROR(INDEX(Config!$F:$F,MATCH($F1876,Config!$D:$D,0)),0))</f>
        <v/>
      </c>
    </row>
    <row r="1877" ht="15.0" customHeight="1">
      <c r="A1877" s="34"/>
      <c r="B1877" s="35"/>
      <c r="C1877" s="15"/>
      <c r="D1877" s="15"/>
      <c r="E1877" s="15"/>
      <c r="F1877" s="15"/>
      <c r="G1877" s="36" t="str">
        <f t="array" ref="G1877">IF($F1877="","",IFERROR(INDEX(Config!$E:$E,MATCH($F1877,Config!$D:$D,0)),0))</f>
        <v/>
      </c>
      <c r="H1877" s="16"/>
      <c r="I1877" s="36" t="str">
        <f t="shared" si="1"/>
        <v/>
      </c>
      <c r="J1877" s="16"/>
      <c r="K1877" s="15"/>
      <c r="L1877" s="15"/>
      <c r="M1877" s="36" t="str">
        <f t="array" ref="M1877">IF($A1877="","",IF($L1877="Atendido",IFERROR($I1877*INDEX(Config!$B:$B,MATCH($C1877,Config!$A:$A,0)),0),0))</f>
        <v/>
      </c>
      <c r="N1877" s="36" t="str">
        <f t="shared" si="2"/>
        <v/>
      </c>
      <c r="O1877" s="36" t="str">
        <f t="shared" si="3"/>
        <v/>
      </c>
      <c r="P1877" s="15"/>
      <c r="Q1877" s="37" t="str">
        <f t="shared" si="4"/>
        <v/>
      </c>
      <c r="R1877" s="37" t="str">
        <f t="shared" si="5"/>
        <v/>
      </c>
      <c r="S1877" s="32" t="str">
        <f t="shared" si="6"/>
        <v/>
      </c>
      <c r="T1877" s="37" t="str">
        <f t="shared" si="7"/>
        <v/>
      </c>
      <c r="U1877" s="37" t="str">
        <f t="array" ref="U1877">IF($F1877="","",IFERROR(INDEX(Config!$F:$F,MATCH($F1877,Config!$D:$D,0)),0))</f>
        <v/>
      </c>
    </row>
    <row r="1878" ht="15.0" customHeight="1">
      <c r="A1878" s="34"/>
      <c r="B1878" s="35"/>
      <c r="C1878" s="15"/>
      <c r="D1878" s="15"/>
      <c r="E1878" s="15"/>
      <c r="F1878" s="15"/>
      <c r="G1878" s="36" t="str">
        <f t="array" ref="G1878">IF($F1878="","",IFERROR(INDEX(Config!$E:$E,MATCH($F1878,Config!$D:$D,0)),0))</f>
        <v/>
      </c>
      <c r="H1878" s="16"/>
      <c r="I1878" s="36" t="str">
        <f t="shared" si="1"/>
        <v/>
      </c>
      <c r="J1878" s="16"/>
      <c r="K1878" s="15"/>
      <c r="L1878" s="15"/>
      <c r="M1878" s="36" t="str">
        <f t="array" ref="M1878">IF($A1878="","",IF($L1878="Atendido",IFERROR($I1878*INDEX(Config!$B:$B,MATCH($C1878,Config!$A:$A,0)),0),0))</f>
        <v/>
      </c>
      <c r="N1878" s="36" t="str">
        <f t="shared" si="2"/>
        <v/>
      </c>
      <c r="O1878" s="36" t="str">
        <f t="shared" si="3"/>
        <v/>
      </c>
      <c r="P1878" s="15"/>
      <c r="Q1878" s="37" t="str">
        <f t="shared" si="4"/>
        <v/>
      </c>
      <c r="R1878" s="37" t="str">
        <f t="shared" si="5"/>
        <v/>
      </c>
      <c r="S1878" s="32" t="str">
        <f t="shared" si="6"/>
        <v/>
      </c>
      <c r="T1878" s="37" t="str">
        <f t="shared" si="7"/>
        <v/>
      </c>
      <c r="U1878" s="37" t="str">
        <f t="array" ref="U1878">IF($F1878="","",IFERROR(INDEX(Config!$F:$F,MATCH($F1878,Config!$D:$D,0)),0))</f>
        <v/>
      </c>
    </row>
    <row r="1879" ht="15.0" customHeight="1">
      <c r="A1879" s="34"/>
      <c r="B1879" s="35"/>
      <c r="C1879" s="15"/>
      <c r="D1879" s="15"/>
      <c r="E1879" s="15"/>
      <c r="F1879" s="15"/>
      <c r="G1879" s="36" t="str">
        <f t="array" ref="G1879">IF($F1879="","",IFERROR(INDEX(Config!$E:$E,MATCH($F1879,Config!$D:$D,0)),0))</f>
        <v/>
      </c>
      <c r="H1879" s="16"/>
      <c r="I1879" s="36" t="str">
        <f t="shared" si="1"/>
        <v/>
      </c>
      <c r="J1879" s="16"/>
      <c r="K1879" s="15"/>
      <c r="L1879" s="15"/>
      <c r="M1879" s="36" t="str">
        <f t="array" ref="M1879">IF($A1879="","",IF($L1879="Atendido",IFERROR($I1879*INDEX(Config!$B:$B,MATCH($C1879,Config!$A:$A,0)),0),0))</f>
        <v/>
      </c>
      <c r="N1879" s="36" t="str">
        <f t="shared" si="2"/>
        <v/>
      </c>
      <c r="O1879" s="36" t="str">
        <f t="shared" si="3"/>
        <v/>
      </c>
      <c r="P1879" s="15"/>
      <c r="Q1879" s="37" t="str">
        <f t="shared" si="4"/>
        <v/>
      </c>
      <c r="R1879" s="37" t="str">
        <f t="shared" si="5"/>
        <v/>
      </c>
      <c r="S1879" s="32" t="str">
        <f t="shared" si="6"/>
        <v/>
      </c>
      <c r="T1879" s="37" t="str">
        <f t="shared" si="7"/>
        <v/>
      </c>
      <c r="U1879" s="37" t="str">
        <f t="array" ref="U1879">IF($F1879="","",IFERROR(INDEX(Config!$F:$F,MATCH($F1879,Config!$D:$D,0)),0))</f>
        <v/>
      </c>
    </row>
    <row r="1880" ht="15.0" customHeight="1">
      <c r="A1880" s="34"/>
      <c r="B1880" s="35"/>
      <c r="C1880" s="15"/>
      <c r="D1880" s="15"/>
      <c r="E1880" s="15"/>
      <c r="F1880" s="15"/>
      <c r="G1880" s="36" t="str">
        <f t="array" ref="G1880">IF($F1880="","",IFERROR(INDEX(Config!$E:$E,MATCH($F1880,Config!$D:$D,0)),0))</f>
        <v/>
      </c>
      <c r="H1880" s="16"/>
      <c r="I1880" s="36" t="str">
        <f t="shared" si="1"/>
        <v/>
      </c>
      <c r="J1880" s="16"/>
      <c r="K1880" s="15"/>
      <c r="L1880" s="15"/>
      <c r="M1880" s="36" t="str">
        <f t="array" ref="M1880">IF($A1880="","",IF($L1880="Atendido",IFERROR($I1880*INDEX(Config!$B:$B,MATCH($C1880,Config!$A:$A,0)),0),0))</f>
        <v/>
      </c>
      <c r="N1880" s="36" t="str">
        <f t="shared" si="2"/>
        <v/>
      </c>
      <c r="O1880" s="36" t="str">
        <f t="shared" si="3"/>
        <v/>
      </c>
      <c r="P1880" s="15"/>
      <c r="Q1880" s="37" t="str">
        <f t="shared" si="4"/>
        <v/>
      </c>
      <c r="R1880" s="37" t="str">
        <f t="shared" si="5"/>
        <v/>
      </c>
      <c r="S1880" s="32" t="str">
        <f t="shared" si="6"/>
        <v/>
      </c>
      <c r="T1880" s="37" t="str">
        <f t="shared" si="7"/>
        <v/>
      </c>
      <c r="U1880" s="37" t="str">
        <f t="array" ref="U1880">IF($F1880="","",IFERROR(INDEX(Config!$F:$F,MATCH($F1880,Config!$D:$D,0)),0))</f>
        <v/>
      </c>
    </row>
    <row r="1881" ht="15.0" customHeight="1">
      <c r="A1881" s="34"/>
      <c r="B1881" s="35"/>
      <c r="C1881" s="15"/>
      <c r="D1881" s="15"/>
      <c r="E1881" s="15"/>
      <c r="F1881" s="15"/>
      <c r="G1881" s="36" t="str">
        <f t="array" ref="G1881">IF($F1881="","",IFERROR(INDEX(Config!$E:$E,MATCH($F1881,Config!$D:$D,0)),0))</f>
        <v/>
      </c>
      <c r="H1881" s="16"/>
      <c r="I1881" s="36" t="str">
        <f t="shared" si="1"/>
        <v/>
      </c>
      <c r="J1881" s="16"/>
      <c r="K1881" s="15"/>
      <c r="L1881" s="15"/>
      <c r="M1881" s="36" t="str">
        <f t="array" ref="M1881">IF($A1881="","",IF($L1881="Atendido",IFERROR($I1881*INDEX(Config!$B:$B,MATCH($C1881,Config!$A:$A,0)),0),0))</f>
        <v/>
      </c>
      <c r="N1881" s="36" t="str">
        <f t="shared" si="2"/>
        <v/>
      </c>
      <c r="O1881" s="36" t="str">
        <f t="shared" si="3"/>
        <v/>
      </c>
      <c r="P1881" s="15"/>
      <c r="Q1881" s="37" t="str">
        <f t="shared" si="4"/>
        <v/>
      </c>
      <c r="R1881" s="37" t="str">
        <f t="shared" si="5"/>
        <v/>
      </c>
      <c r="S1881" s="32" t="str">
        <f t="shared" si="6"/>
        <v/>
      </c>
      <c r="T1881" s="37" t="str">
        <f t="shared" si="7"/>
        <v/>
      </c>
      <c r="U1881" s="37" t="str">
        <f t="array" ref="U1881">IF($F1881="","",IFERROR(INDEX(Config!$F:$F,MATCH($F1881,Config!$D:$D,0)),0))</f>
        <v/>
      </c>
    </row>
    <row r="1882" ht="15.0" customHeight="1">
      <c r="A1882" s="34"/>
      <c r="B1882" s="35"/>
      <c r="C1882" s="15"/>
      <c r="D1882" s="15"/>
      <c r="E1882" s="15"/>
      <c r="F1882" s="15"/>
      <c r="G1882" s="36" t="str">
        <f t="array" ref="G1882">IF($F1882="","",IFERROR(INDEX(Config!$E:$E,MATCH($F1882,Config!$D:$D,0)),0))</f>
        <v/>
      </c>
      <c r="H1882" s="16"/>
      <c r="I1882" s="36" t="str">
        <f t="shared" si="1"/>
        <v/>
      </c>
      <c r="J1882" s="16"/>
      <c r="K1882" s="15"/>
      <c r="L1882" s="15"/>
      <c r="M1882" s="36" t="str">
        <f t="array" ref="M1882">IF($A1882="","",IF($L1882="Atendido",IFERROR($I1882*INDEX(Config!$B:$B,MATCH($C1882,Config!$A:$A,0)),0),0))</f>
        <v/>
      </c>
      <c r="N1882" s="36" t="str">
        <f t="shared" si="2"/>
        <v/>
      </c>
      <c r="O1882" s="36" t="str">
        <f t="shared" si="3"/>
        <v/>
      </c>
      <c r="P1882" s="15"/>
      <c r="Q1882" s="37" t="str">
        <f t="shared" si="4"/>
        <v/>
      </c>
      <c r="R1882" s="37" t="str">
        <f t="shared" si="5"/>
        <v/>
      </c>
      <c r="S1882" s="32" t="str">
        <f t="shared" si="6"/>
        <v/>
      </c>
      <c r="T1882" s="37" t="str">
        <f t="shared" si="7"/>
        <v/>
      </c>
      <c r="U1882" s="37" t="str">
        <f t="array" ref="U1882">IF($F1882="","",IFERROR(INDEX(Config!$F:$F,MATCH($F1882,Config!$D:$D,0)),0))</f>
        <v/>
      </c>
    </row>
    <row r="1883" ht="15.0" customHeight="1">
      <c r="A1883" s="34"/>
      <c r="B1883" s="35"/>
      <c r="C1883" s="15"/>
      <c r="D1883" s="15"/>
      <c r="E1883" s="15"/>
      <c r="F1883" s="15"/>
      <c r="G1883" s="36" t="str">
        <f t="array" ref="G1883">IF($F1883="","",IFERROR(INDEX(Config!$E:$E,MATCH($F1883,Config!$D:$D,0)),0))</f>
        <v/>
      </c>
      <c r="H1883" s="16"/>
      <c r="I1883" s="36" t="str">
        <f t="shared" si="1"/>
        <v/>
      </c>
      <c r="J1883" s="16"/>
      <c r="K1883" s="15"/>
      <c r="L1883" s="15"/>
      <c r="M1883" s="36" t="str">
        <f t="array" ref="M1883">IF($A1883="","",IF($L1883="Atendido",IFERROR($I1883*INDEX(Config!$B:$B,MATCH($C1883,Config!$A:$A,0)),0),0))</f>
        <v/>
      </c>
      <c r="N1883" s="36" t="str">
        <f t="shared" si="2"/>
        <v/>
      </c>
      <c r="O1883" s="36" t="str">
        <f t="shared" si="3"/>
        <v/>
      </c>
      <c r="P1883" s="15"/>
      <c r="Q1883" s="37" t="str">
        <f t="shared" si="4"/>
        <v/>
      </c>
      <c r="R1883" s="37" t="str">
        <f t="shared" si="5"/>
        <v/>
      </c>
      <c r="S1883" s="32" t="str">
        <f t="shared" si="6"/>
        <v/>
      </c>
      <c r="T1883" s="37" t="str">
        <f t="shared" si="7"/>
        <v/>
      </c>
      <c r="U1883" s="37" t="str">
        <f t="array" ref="U1883">IF($F1883="","",IFERROR(INDEX(Config!$F:$F,MATCH($F1883,Config!$D:$D,0)),0))</f>
        <v/>
      </c>
    </row>
    <row r="1884" ht="15.0" customHeight="1">
      <c r="A1884" s="34"/>
      <c r="B1884" s="35"/>
      <c r="C1884" s="15"/>
      <c r="D1884" s="15"/>
      <c r="E1884" s="15"/>
      <c r="F1884" s="15"/>
      <c r="G1884" s="36" t="str">
        <f t="array" ref="G1884">IF($F1884="","",IFERROR(INDEX(Config!$E:$E,MATCH($F1884,Config!$D:$D,0)),0))</f>
        <v/>
      </c>
      <c r="H1884" s="16"/>
      <c r="I1884" s="36" t="str">
        <f t="shared" si="1"/>
        <v/>
      </c>
      <c r="J1884" s="16"/>
      <c r="K1884" s="15"/>
      <c r="L1884" s="15"/>
      <c r="M1884" s="36" t="str">
        <f t="array" ref="M1884">IF($A1884="","",IF($L1884="Atendido",IFERROR($I1884*INDEX(Config!$B:$B,MATCH($C1884,Config!$A:$A,0)),0),0))</f>
        <v/>
      </c>
      <c r="N1884" s="36" t="str">
        <f t="shared" si="2"/>
        <v/>
      </c>
      <c r="O1884" s="36" t="str">
        <f t="shared" si="3"/>
        <v/>
      </c>
      <c r="P1884" s="15"/>
      <c r="Q1884" s="37" t="str">
        <f t="shared" si="4"/>
        <v/>
      </c>
      <c r="R1884" s="37" t="str">
        <f t="shared" si="5"/>
        <v/>
      </c>
      <c r="S1884" s="32" t="str">
        <f t="shared" si="6"/>
        <v/>
      </c>
      <c r="T1884" s="37" t="str">
        <f t="shared" si="7"/>
        <v/>
      </c>
      <c r="U1884" s="37" t="str">
        <f t="array" ref="U1884">IF($F1884="","",IFERROR(INDEX(Config!$F:$F,MATCH($F1884,Config!$D:$D,0)),0))</f>
        <v/>
      </c>
    </row>
    <row r="1885" ht="15.0" customHeight="1">
      <c r="A1885" s="34"/>
      <c r="B1885" s="35"/>
      <c r="C1885" s="15"/>
      <c r="D1885" s="15"/>
      <c r="E1885" s="15"/>
      <c r="F1885" s="15"/>
      <c r="G1885" s="36" t="str">
        <f t="array" ref="G1885">IF($F1885="","",IFERROR(INDEX(Config!$E:$E,MATCH($F1885,Config!$D:$D,0)),0))</f>
        <v/>
      </c>
      <c r="H1885" s="16"/>
      <c r="I1885" s="36" t="str">
        <f t="shared" si="1"/>
        <v/>
      </c>
      <c r="J1885" s="16"/>
      <c r="K1885" s="15"/>
      <c r="L1885" s="15"/>
      <c r="M1885" s="36" t="str">
        <f t="array" ref="M1885">IF($A1885="","",IF($L1885="Atendido",IFERROR($I1885*INDEX(Config!$B:$B,MATCH($C1885,Config!$A:$A,0)),0),0))</f>
        <v/>
      </c>
      <c r="N1885" s="36" t="str">
        <f t="shared" si="2"/>
        <v/>
      </c>
      <c r="O1885" s="36" t="str">
        <f t="shared" si="3"/>
        <v/>
      </c>
      <c r="P1885" s="15"/>
      <c r="Q1885" s="37" t="str">
        <f t="shared" si="4"/>
        <v/>
      </c>
      <c r="R1885" s="37" t="str">
        <f t="shared" si="5"/>
        <v/>
      </c>
      <c r="S1885" s="32" t="str">
        <f t="shared" si="6"/>
        <v/>
      </c>
      <c r="T1885" s="37" t="str">
        <f t="shared" si="7"/>
        <v/>
      </c>
      <c r="U1885" s="37" t="str">
        <f t="array" ref="U1885">IF($F1885="","",IFERROR(INDEX(Config!$F:$F,MATCH($F1885,Config!$D:$D,0)),0))</f>
        <v/>
      </c>
    </row>
    <row r="1886" ht="15.0" customHeight="1">
      <c r="A1886" s="34"/>
      <c r="B1886" s="35"/>
      <c r="C1886" s="15"/>
      <c r="D1886" s="15"/>
      <c r="E1886" s="15"/>
      <c r="F1886" s="15"/>
      <c r="G1886" s="36" t="str">
        <f t="array" ref="G1886">IF($F1886="","",IFERROR(INDEX(Config!$E:$E,MATCH($F1886,Config!$D:$D,0)),0))</f>
        <v/>
      </c>
      <c r="H1886" s="16"/>
      <c r="I1886" s="36" t="str">
        <f t="shared" si="1"/>
        <v/>
      </c>
      <c r="J1886" s="16"/>
      <c r="K1886" s="15"/>
      <c r="L1886" s="15"/>
      <c r="M1886" s="36" t="str">
        <f t="array" ref="M1886">IF($A1886="","",IF($L1886="Atendido",IFERROR($I1886*INDEX(Config!$B:$B,MATCH($C1886,Config!$A:$A,0)),0),0))</f>
        <v/>
      </c>
      <c r="N1886" s="36" t="str">
        <f t="shared" si="2"/>
        <v/>
      </c>
      <c r="O1886" s="36" t="str">
        <f t="shared" si="3"/>
        <v/>
      </c>
      <c r="P1886" s="15"/>
      <c r="Q1886" s="37" t="str">
        <f t="shared" si="4"/>
        <v/>
      </c>
      <c r="R1886" s="37" t="str">
        <f t="shared" si="5"/>
        <v/>
      </c>
      <c r="S1886" s="32" t="str">
        <f t="shared" si="6"/>
        <v/>
      </c>
      <c r="T1886" s="37" t="str">
        <f t="shared" si="7"/>
        <v/>
      </c>
      <c r="U1886" s="37" t="str">
        <f t="array" ref="U1886">IF($F1886="","",IFERROR(INDEX(Config!$F:$F,MATCH($F1886,Config!$D:$D,0)),0))</f>
        <v/>
      </c>
    </row>
    <row r="1887" ht="15.0" customHeight="1">
      <c r="A1887" s="34"/>
      <c r="B1887" s="35"/>
      <c r="C1887" s="15"/>
      <c r="D1887" s="15"/>
      <c r="E1887" s="15"/>
      <c r="F1887" s="15"/>
      <c r="G1887" s="36" t="str">
        <f t="array" ref="G1887">IF($F1887="","",IFERROR(INDEX(Config!$E:$E,MATCH($F1887,Config!$D:$D,0)),0))</f>
        <v/>
      </c>
      <c r="H1887" s="16"/>
      <c r="I1887" s="36" t="str">
        <f t="shared" si="1"/>
        <v/>
      </c>
      <c r="J1887" s="16"/>
      <c r="K1887" s="15"/>
      <c r="L1887" s="15"/>
      <c r="M1887" s="36" t="str">
        <f t="array" ref="M1887">IF($A1887="","",IF($L1887="Atendido",IFERROR($I1887*INDEX(Config!$B:$B,MATCH($C1887,Config!$A:$A,0)),0),0))</f>
        <v/>
      </c>
      <c r="N1887" s="36" t="str">
        <f t="shared" si="2"/>
        <v/>
      </c>
      <c r="O1887" s="36" t="str">
        <f t="shared" si="3"/>
        <v/>
      </c>
      <c r="P1887" s="15"/>
      <c r="Q1887" s="37" t="str">
        <f t="shared" si="4"/>
        <v/>
      </c>
      <c r="R1887" s="37" t="str">
        <f t="shared" si="5"/>
        <v/>
      </c>
      <c r="S1887" s="32" t="str">
        <f t="shared" si="6"/>
        <v/>
      </c>
      <c r="T1887" s="37" t="str">
        <f t="shared" si="7"/>
        <v/>
      </c>
      <c r="U1887" s="37" t="str">
        <f t="array" ref="U1887">IF($F1887="","",IFERROR(INDEX(Config!$F:$F,MATCH($F1887,Config!$D:$D,0)),0))</f>
        <v/>
      </c>
    </row>
    <row r="1888" ht="15.0" customHeight="1">
      <c r="A1888" s="34"/>
      <c r="B1888" s="35"/>
      <c r="C1888" s="15"/>
      <c r="D1888" s="15"/>
      <c r="E1888" s="15"/>
      <c r="F1888" s="15"/>
      <c r="G1888" s="36" t="str">
        <f t="array" ref="G1888">IF($F1888="","",IFERROR(INDEX(Config!$E:$E,MATCH($F1888,Config!$D:$D,0)),0))</f>
        <v/>
      </c>
      <c r="H1888" s="16"/>
      <c r="I1888" s="36" t="str">
        <f t="shared" si="1"/>
        <v/>
      </c>
      <c r="J1888" s="16"/>
      <c r="K1888" s="15"/>
      <c r="L1888" s="15"/>
      <c r="M1888" s="36" t="str">
        <f t="array" ref="M1888">IF($A1888="","",IF($L1888="Atendido",IFERROR($I1888*INDEX(Config!$B:$B,MATCH($C1888,Config!$A:$A,0)),0),0))</f>
        <v/>
      </c>
      <c r="N1888" s="36" t="str">
        <f t="shared" si="2"/>
        <v/>
      </c>
      <c r="O1888" s="36" t="str">
        <f t="shared" si="3"/>
        <v/>
      </c>
      <c r="P1888" s="15"/>
      <c r="Q1888" s="37" t="str">
        <f t="shared" si="4"/>
        <v/>
      </c>
      <c r="R1888" s="37" t="str">
        <f t="shared" si="5"/>
        <v/>
      </c>
      <c r="S1888" s="32" t="str">
        <f t="shared" si="6"/>
        <v/>
      </c>
      <c r="T1888" s="37" t="str">
        <f t="shared" si="7"/>
        <v/>
      </c>
      <c r="U1888" s="37" t="str">
        <f t="array" ref="U1888">IF($F1888="","",IFERROR(INDEX(Config!$F:$F,MATCH($F1888,Config!$D:$D,0)),0))</f>
        <v/>
      </c>
    </row>
    <row r="1889" ht="15.0" customHeight="1">
      <c r="A1889" s="34"/>
      <c r="B1889" s="35"/>
      <c r="C1889" s="15"/>
      <c r="D1889" s="15"/>
      <c r="E1889" s="15"/>
      <c r="F1889" s="15"/>
      <c r="G1889" s="36" t="str">
        <f t="array" ref="G1889">IF($F1889="","",IFERROR(INDEX(Config!$E:$E,MATCH($F1889,Config!$D:$D,0)),0))</f>
        <v/>
      </c>
      <c r="H1889" s="16"/>
      <c r="I1889" s="36" t="str">
        <f t="shared" si="1"/>
        <v/>
      </c>
      <c r="J1889" s="16"/>
      <c r="K1889" s="15"/>
      <c r="L1889" s="15"/>
      <c r="M1889" s="36" t="str">
        <f t="array" ref="M1889">IF($A1889="","",IF($L1889="Atendido",IFERROR($I1889*INDEX(Config!$B:$B,MATCH($C1889,Config!$A:$A,0)),0),0))</f>
        <v/>
      </c>
      <c r="N1889" s="36" t="str">
        <f t="shared" si="2"/>
        <v/>
      </c>
      <c r="O1889" s="36" t="str">
        <f t="shared" si="3"/>
        <v/>
      </c>
      <c r="P1889" s="15"/>
      <c r="Q1889" s="37" t="str">
        <f t="shared" si="4"/>
        <v/>
      </c>
      <c r="R1889" s="37" t="str">
        <f t="shared" si="5"/>
        <v/>
      </c>
      <c r="S1889" s="32" t="str">
        <f t="shared" si="6"/>
        <v/>
      </c>
      <c r="T1889" s="37" t="str">
        <f t="shared" si="7"/>
        <v/>
      </c>
      <c r="U1889" s="37" t="str">
        <f t="array" ref="U1889">IF($F1889="","",IFERROR(INDEX(Config!$F:$F,MATCH($F1889,Config!$D:$D,0)),0))</f>
        <v/>
      </c>
    </row>
    <row r="1890" ht="15.0" customHeight="1">
      <c r="A1890" s="34"/>
      <c r="B1890" s="35"/>
      <c r="C1890" s="15"/>
      <c r="D1890" s="15"/>
      <c r="E1890" s="15"/>
      <c r="F1890" s="15"/>
      <c r="G1890" s="36" t="str">
        <f t="array" ref="G1890">IF($F1890="","",IFERROR(INDEX(Config!$E:$E,MATCH($F1890,Config!$D:$D,0)),0))</f>
        <v/>
      </c>
      <c r="H1890" s="16"/>
      <c r="I1890" s="36" t="str">
        <f t="shared" si="1"/>
        <v/>
      </c>
      <c r="J1890" s="16"/>
      <c r="K1890" s="15"/>
      <c r="L1890" s="15"/>
      <c r="M1890" s="36" t="str">
        <f t="array" ref="M1890">IF($A1890="","",IF($L1890="Atendido",IFERROR($I1890*INDEX(Config!$B:$B,MATCH($C1890,Config!$A:$A,0)),0),0))</f>
        <v/>
      </c>
      <c r="N1890" s="36" t="str">
        <f t="shared" si="2"/>
        <v/>
      </c>
      <c r="O1890" s="36" t="str">
        <f t="shared" si="3"/>
        <v/>
      </c>
      <c r="P1890" s="15"/>
      <c r="Q1890" s="37" t="str">
        <f t="shared" si="4"/>
        <v/>
      </c>
      <c r="R1890" s="37" t="str">
        <f t="shared" si="5"/>
        <v/>
      </c>
      <c r="S1890" s="32" t="str">
        <f t="shared" si="6"/>
        <v/>
      </c>
      <c r="T1890" s="37" t="str">
        <f t="shared" si="7"/>
        <v/>
      </c>
      <c r="U1890" s="37" t="str">
        <f t="array" ref="U1890">IF($F1890="","",IFERROR(INDEX(Config!$F:$F,MATCH($F1890,Config!$D:$D,0)),0))</f>
        <v/>
      </c>
    </row>
    <row r="1891" ht="15.0" customHeight="1">
      <c r="A1891" s="34"/>
      <c r="B1891" s="35"/>
      <c r="C1891" s="15"/>
      <c r="D1891" s="15"/>
      <c r="E1891" s="15"/>
      <c r="F1891" s="15"/>
      <c r="G1891" s="36" t="str">
        <f t="array" ref="G1891">IF($F1891="","",IFERROR(INDEX(Config!$E:$E,MATCH($F1891,Config!$D:$D,0)),0))</f>
        <v/>
      </c>
      <c r="H1891" s="16"/>
      <c r="I1891" s="36" t="str">
        <f t="shared" si="1"/>
        <v/>
      </c>
      <c r="J1891" s="16"/>
      <c r="K1891" s="15"/>
      <c r="L1891" s="15"/>
      <c r="M1891" s="36" t="str">
        <f t="array" ref="M1891">IF($A1891="","",IF($L1891="Atendido",IFERROR($I1891*INDEX(Config!$B:$B,MATCH($C1891,Config!$A:$A,0)),0),0))</f>
        <v/>
      </c>
      <c r="N1891" s="36" t="str">
        <f t="shared" si="2"/>
        <v/>
      </c>
      <c r="O1891" s="36" t="str">
        <f t="shared" si="3"/>
        <v/>
      </c>
      <c r="P1891" s="15"/>
      <c r="Q1891" s="37" t="str">
        <f t="shared" si="4"/>
        <v/>
      </c>
      <c r="R1891" s="37" t="str">
        <f t="shared" si="5"/>
        <v/>
      </c>
      <c r="S1891" s="32" t="str">
        <f t="shared" si="6"/>
        <v/>
      </c>
      <c r="T1891" s="37" t="str">
        <f t="shared" si="7"/>
        <v/>
      </c>
      <c r="U1891" s="37" t="str">
        <f t="array" ref="U1891">IF($F1891="","",IFERROR(INDEX(Config!$F:$F,MATCH($F1891,Config!$D:$D,0)),0))</f>
        <v/>
      </c>
    </row>
    <row r="1892" ht="15.0" customHeight="1">
      <c r="A1892" s="34"/>
      <c r="B1892" s="35"/>
      <c r="C1892" s="15"/>
      <c r="D1892" s="15"/>
      <c r="E1892" s="15"/>
      <c r="F1892" s="15"/>
      <c r="G1892" s="36" t="str">
        <f t="array" ref="G1892">IF($F1892="","",IFERROR(INDEX(Config!$E:$E,MATCH($F1892,Config!$D:$D,0)),0))</f>
        <v/>
      </c>
      <c r="H1892" s="16"/>
      <c r="I1892" s="36" t="str">
        <f t="shared" si="1"/>
        <v/>
      </c>
      <c r="J1892" s="16"/>
      <c r="K1892" s="15"/>
      <c r="L1892" s="15"/>
      <c r="M1892" s="36" t="str">
        <f t="array" ref="M1892">IF($A1892="","",IF($L1892="Atendido",IFERROR($I1892*INDEX(Config!$B:$B,MATCH($C1892,Config!$A:$A,0)),0),0))</f>
        <v/>
      </c>
      <c r="N1892" s="36" t="str">
        <f t="shared" si="2"/>
        <v/>
      </c>
      <c r="O1892" s="36" t="str">
        <f t="shared" si="3"/>
        <v/>
      </c>
      <c r="P1892" s="15"/>
      <c r="Q1892" s="37" t="str">
        <f t="shared" si="4"/>
        <v/>
      </c>
      <c r="R1892" s="37" t="str">
        <f t="shared" si="5"/>
        <v/>
      </c>
      <c r="S1892" s="32" t="str">
        <f t="shared" si="6"/>
        <v/>
      </c>
      <c r="T1892" s="37" t="str">
        <f t="shared" si="7"/>
        <v/>
      </c>
      <c r="U1892" s="37" t="str">
        <f t="array" ref="U1892">IF($F1892="","",IFERROR(INDEX(Config!$F:$F,MATCH($F1892,Config!$D:$D,0)),0))</f>
        <v/>
      </c>
    </row>
    <row r="1893" ht="15.0" customHeight="1">
      <c r="A1893" s="34"/>
      <c r="B1893" s="35"/>
      <c r="C1893" s="15"/>
      <c r="D1893" s="15"/>
      <c r="E1893" s="15"/>
      <c r="F1893" s="15"/>
      <c r="G1893" s="36" t="str">
        <f t="array" ref="G1893">IF($F1893="","",IFERROR(INDEX(Config!$E:$E,MATCH($F1893,Config!$D:$D,0)),0))</f>
        <v/>
      </c>
      <c r="H1893" s="16"/>
      <c r="I1893" s="36" t="str">
        <f t="shared" si="1"/>
        <v/>
      </c>
      <c r="J1893" s="16"/>
      <c r="K1893" s="15"/>
      <c r="L1893" s="15"/>
      <c r="M1893" s="36" t="str">
        <f t="array" ref="M1893">IF($A1893="","",IF($L1893="Atendido",IFERROR($I1893*INDEX(Config!$B:$B,MATCH($C1893,Config!$A:$A,0)),0),0))</f>
        <v/>
      </c>
      <c r="N1893" s="36" t="str">
        <f t="shared" si="2"/>
        <v/>
      </c>
      <c r="O1893" s="36" t="str">
        <f t="shared" si="3"/>
        <v/>
      </c>
      <c r="P1893" s="15"/>
      <c r="Q1893" s="37" t="str">
        <f t="shared" si="4"/>
        <v/>
      </c>
      <c r="R1893" s="37" t="str">
        <f t="shared" si="5"/>
        <v/>
      </c>
      <c r="S1893" s="32" t="str">
        <f t="shared" si="6"/>
        <v/>
      </c>
      <c r="T1893" s="37" t="str">
        <f t="shared" si="7"/>
        <v/>
      </c>
      <c r="U1893" s="37" t="str">
        <f t="array" ref="U1893">IF($F1893="","",IFERROR(INDEX(Config!$F:$F,MATCH($F1893,Config!$D:$D,0)),0))</f>
        <v/>
      </c>
    </row>
    <row r="1894" ht="15.0" customHeight="1">
      <c r="A1894" s="34"/>
      <c r="B1894" s="35"/>
      <c r="C1894" s="15"/>
      <c r="D1894" s="15"/>
      <c r="E1894" s="15"/>
      <c r="F1894" s="15"/>
      <c r="G1894" s="36" t="str">
        <f t="array" ref="G1894">IF($F1894="","",IFERROR(INDEX(Config!$E:$E,MATCH($F1894,Config!$D:$D,0)),0))</f>
        <v/>
      </c>
      <c r="H1894" s="16"/>
      <c r="I1894" s="36" t="str">
        <f t="shared" si="1"/>
        <v/>
      </c>
      <c r="J1894" s="16"/>
      <c r="K1894" s="15"/>
      <c r="L1894" s="15"/>
      <c r="M1894" s="36" t="str">
        <f t="array" ref="M1894">IF($A1894="","",IF($L1894="Atendido",IFERROR($I1894*INDEX(Config!$B:$B,MATCH($C1894,Config!$A:$A,0)),0),0))</f>
        <v/>
      </c>
      <c r="N1894" s="36" t="str">
        <f t="shared" si="2"/>
        <v/>
      </c>
      <c r="O1894" s="36" t="str">
        <f t="shared" si="3"/>
        <v/>
      </c>
      <c r="P1894" s="15"/>
      <c r="Q1894" s="37" t="str">
        <f t="shared" si="4"/>
        <v/>
      </c>
      <c r="R1894" s="37" t="str">
        <f t="shared" si="5"/>
        <v/>
      </c>
      <c r="S1894" s="32" t="str">
        <f t="shared" si="6"/>
        <v/>
      </c>
      <c r="T1894" s="37" t="str">
        <f t="shared" si="7"/>
        <v/>
      </c>
      <c r="U1894" s="37" t="str">
        <f t="array" ref="U1894">IF($F1894="","",IFERROR(INDEX(Config!$F:$F,MATCH($F1894,Config!$D:$D,0)),0))</f>
        <v/>
      </c>
    </row>
    <row r="1895" ht="15.0" customHeight="1">
      <c r="A1895" s="34"/>
      <c r="B1895" s="35"/>
      <c r="C1895" s="15"/>
      <c r="D1895" s="15"/>
      <c r="E1895" s="15"/>
      <c r="F1895" s="15"/>
      <c r="G1895" s="36" t="str">
        <f t="array" ref="G1895">IF($F1895="","",IFERROR(INDEX(Config!$E:$E,MATCH($F1895,Config!$D:$D,0)),0))</f>
        <v/>
      </c>
      <c r="H1895" s="16"/>
      <c r="I1895" s="36" t="str">
        <f t="shared" si="1"/>
        <v/>
      </c>
      <c r="J1895" s="16"/>
      <c r="K1895" s="15"/>
      <c r="L1895" s="15"/>
      <c r="M1895" s="36" t="str">
        <f t="array" ref="M1895">IF($A1895="","",IF($L1895="Atendido",IFERROR($I1895*INDEX(Config!$B:$B,MATCH($C1895,Config!$A:$A,0)),0),0))</f>
        <v/>
      </c>
      <c r="N1895" s="36" t="str">
        <f t="shared" si="2"/>
        <v/>
      </c>
      <c r="O1895" s="36" t="str">
        <f t="shared" si="3"/>
        <v/>
      </c>
      <c r="P1895" s="15"/>
      <c r="Q1895" s="37" t="str">
        <f t="shared" si="4"/>
        <v/>
      </c>
      <c r="R1895" s="37" t="str">
        <f t="shared" si="5"/>
        <v/>
      </c>
      <c r="S1895" s="32" t="str">
        <f t="shared" si="6"/>
        <v/>
      </c>
      <c r="T1895" s="37" t="str">
        <f t="shared" si="7"/>
        <v/>
      </c>
      <c r="U1895" s="37" t="str">
        <f t="array" ref="U1895">IF($F1895="","",IFERROR(INDEX(Config!$F:$F,MATCH($F1895,Config!$D:$D,0)),0))</f>
        <v/>
      </c>
    </row>
    <row r="1896" ht="15.0" customHeight="1">
      <c r="A1896" s="34"/>
      <c r="B1896" s="35"/>
      <c r="C1896" s="15"/>
      <c r="D1896" s="15"/>
      <c r="E1896" s="15"/>
      <c r="F1896" s="15"/>
      <c r="G1896" s="36" t="str">
        <f t="array" ref="G1896">IF($F1896="","",IFERROR(INDEX(Config!$E:$E,MATCH($F1896,Config!$D:$D,0)),0))</f>
        <v/>
      </c>
      <c r="H1896" s="16"/>
      <c r="I1896" s="36" t="str">
        <f t="shared" si="1"/>
        <v/>
      </c>
      <c r="J1896" s="16"/>
      <c r="K1896" s="15"/>
      <c r="L1896" s="15"/>
      <c r="M1896" s="36" t="str">
        <f t="array" ref="M1896">IF($A1896="","",IF($L1896="Atendido",IFERROR($I1896*INDEX(Config!$B:$B,MATCH($C1896,Config!$A:$A,0)),0),0))</f>
        <v/>
      </c>
      <c r="N1896" s="36" t="str">
        <f t="shared" si="2"/>
        <v/>
      </c>
      <c r="O1896" s="36" t="str">
        <f t="shared" si="3"/>
        <v/>
      </c>
      <c r="P1896" s="15"/>
      <c r="Q1896" s="37" t="str">
        <f t="shared" si="4"/>
        <v/>
      </c>
      <c r="R1896" s="37" t="str">
        <f t="shared" si="5"/>
        <v/>
      </c>
      <c r="S1896" s="32" t="str">
        <f t="shared" si="6"/>
        <v/>
      </c>
      <c r="T1896" s="37" t="str">
        <f t="shared" si="7"/>
        <v/>
      </c>
      <c r="U1896" s="37" t="str">
        <f t="array" ref="U1896">IF($F1896="","",IFERROR(INDEX(Config!$F:$F,MATCH($F1896,Config!$D:$D,0)),0))</f>
        <v/>
      </c>
    </row>
    <row r="1897" ht="15.0" customHeight="1">
      <c r="A1897" s="34"/>
      <c r="B1897" s="35"/>
      <c r="C1897" s="15"/>
      <c r="D1897" s="15"/>
      <c r="E1897" s="15"/>
      <c r="F1897" s="15"/>
      <c r="G1897" s="36" t="str">
        <f t="array" ref="G1897">IF($F1897="","",IFERROR(INDEX(Config!$E:$E,MATCH($F1897,Config!$D:$D,0)),0))</f>
        <v/>
      </c>
      <c r="H1897" s="16"/>
      <c r="I1897" s="36" t="str">
        <f t="shared" si="1"/>
        <v/>
      </c>
      <c r="J1897" s="16"/>
      <c r="K1897" s="15"/>
      <c r="L1897" s="15"/>
      <c r="M1897" s="36" t="str">
        <f t="array" ref="M1897">IF($A1897="","",IF($L1897="Atendido",IFERROR($I1897*INDEX(Config!$B:$B,MATCH($C1897,Config!$A:$A,0)),0),0))</f>
        <v/>
      </c>
      <c r="N1897" s="36" t="str">
        <f t="shared" si="2"/>
        <v/>
      </c>
      <c r="O1897" s="36" t="str">
        <f t="shared" si="3"/>
        <v/>
      </c>
      <c r="P1897" s="15"/>
      <c r="Q1897" s="37" t="str">
        <f t="shared" si="4"/>
        <v/>
      </c>
      <c r="R1897" s="37" t="str">
        <f t="shared" si="5"/>
        <v/>
      </c>
      <c r="S1897" s="32" t="str">
        <f t="shared" si="6"/>
        <v/>
      </c>
      <c r="T1897" s="37" t="str">
        <f t="shared" si="7"/>
        <v/>
      </c>
      <c r="U1897" s="37" t="str">
        <f t="array" ref="U1897">IF($F1897="","",IFERROR(INDEX(Config!$F:$F,MATCH($F1897,Config!$D:$D,0)),0))</f>
        <v/>
      </c>
    </row>
    <row r="1898" ht="15.0" customHeight="1">
      <c r="A1898" s="34"/>
      <c r="B1898" s="35"/>
      <c r="C1898" s="15"/>
      <c r="D1898" s="15"/>
      <c r="E1898" s="15"/>
      <c r="F1898" s="15"/>
      <c r="G1898" s="36" t="str">
        <f t="array" ref="G1898">IF($F1898="","",IFERROR(INDEX(Config!$E:$E,MATCH($F1898,Config!$D:$D,0)),0))</f>
        <v/>
      </c>
      <c r="H1898" s="16"/>
      <c r="I1898" s="36" t="str">
        <f t="shared" si="1"/>
        <v/>
      </c>
      <c r="J1898" s="16"/>
      <c r="K1898" s="15"/>
      <c r="L1898" s="15"/>
      <c r="M1898" s="36" t="str">
        <f t="array" ref="M1898">IF($A1898="","",IF($L1898="Atendido",IFERROR($I1898*INDEX(Config!$B:$B,MATCH($C1898,Config!$A:$A,0)),0),0))</f>
        <v/>
      </c>
      <c r="N1898" s="36" t="str">
        <f t="shared" si="2"/>
        <v/>
      </c>
      <c r="O1898" s="36" t="str">
        <f t="shared" si="3"/>
        <v/>
      </c>
      <c r="P1898" s="15"/>
      <c r="Q1898" s="37" t="str">
        <f t="shared" si="4"/>
        <v/>
      </c>
      <c r="R1898" s="37" t="str">
        <f t="shared" si="5"/>
        <v/>
      </c>
      <c r="S1898" s="32" t="str">
        <f t="shared" si="6"/>
        <v/>
      </c>
      <c r="T1898" s="37" t="str">
        <f t="shared" si="7"/>
        <v/>
      </c>
      <c r="U1898" s="37" t="str">
        <f t="array" ref="U1898">IF($F1898="","",IFERROR(INDEX(Config!$F:$F,MATCH($F1898,Config!$D:$D,0)),0))</f>
        <v/>
      </c>
    </row>
    <row r="1899" ht="15.0" customHeight="1">
      <c r="A1899" s="34"/>
      <c r="B1899" s="35"/>
      <c r="C1899" s="15"/>
      <c r="D1899" s="15"/>
      <c r="E1899" s="15"/>
      <c r="F1899" s="15"/>
      <c r="G1899" s="36" t="str">
        <f t="array" ref="G1899">IF($F1899="","",IFERROR(INDEX(Config!$E:$E,MATCH($F1899,Config!$D:$D,0)),0))</f>
        <v/>
      </c>
      <c r="H1899" s="16"/>
      <c r="I1899" s="36" t="str">
        <f t="shared" si="1"/>
        <v/>
      </c>
      <c r="J1899" s="16"/>
      <c r="K1899" s="15"/>
      <c r="L1899" s="15"/>
      <c r="M1899" s="36" t="str">
        <f t="array" ref="M1899">IF($A1899="","",IF($L1899="Atendido",IFERROR($I1899*INDEX(Config!$B:$B,MATCH($C1899,Config!$A:$A,0)),0),0))</f>
        <v/>
      </c>
      <c r="N1899" s="36" t="str">
        <f t="shared" si="2"/>
        <v/>
      </c>
      <c r="O1899" s="36" t="str">
        <f t="shared" si="3"/>
        <v/>
      </c>
      <c r="P1899" s="15"/>
      <c r="Q1899" s="37" t="str">
        <f t="shared" si="4"/>
        <v/>
      </c>
      <c r="R1899" s="37" t="str">
        <f t="shared" si="5"/>
        <v/>
      </c>
      <c r="S1899" s="32" t="str">
        <f t="shared" si="6"/>
        <v/>
      </c>
      <c r="T1899" s="37" t="str">
        <f t="shared" si="7"/>
        <v/>
      </c>
      <c r="U1899" s="37" t="str">
        <f t="array" ref="U1899">IF($F1899="","",IFERROR(INDEX(Config!$F:$F,MATCH($F1899,Config!$D:$D,0)),0))</f>
        <v/>
      </c>
    </row>
    <row r="1900" ht="15.0" customHeight="1">
      <c r="A1900" s="34"/>
      <c r="B1900" s="35"/>
      <c r="C1900" s="15"/>
      <c r="D1900" s="15"/>
      <c r="E1900" s="15"/>
      <c r="F1900" s="15"/>
      <c r="G1900" s="36" t="str">
        <f t="array" ref="G1900">IF($F1900="","",IFERROR(INDEX(Config!$E:$E,MATCH($F1900,Config!$D:$D,0)),0))</f>
        <v/>
      </c>
      <c r="H1900" s="16"/>
      <c r="I1900" s="36" t="str">
        <f t="shared" si="1"/>
        <v/>
      </c>
      <c r="J1900" s="16"/>
      <c r="K1900" s="15"/>
      <c r="L1900" s="15"/>
      <c r="M1900" s="36" t="str">
        <f t="array" ref="M1900">IF($A1900="","",IF($L1900="Atendido",IFERROR($I1900*INDEX(Config!$B:$B,MATCH($C1900,Config!$A:$A,0)),0),0))</f>
        <v/>
      </c>
      <c r="N1900" s="36" t="str">
        <f t="shared" si="2"/>
        <v/>
      </c>
      <c r="O1900" s="36" t="str">
        <f t="shared" si="3"/>
        <v/>
      </c>
      <c r="P1900" s="15"/>
      <c r="Q1900" s="37" t="str">
        <f t="shared" si="4"/>
        <v/>
      </c>
      <c r="R1900" s="37" t="str">
        <f t="shared" si="5"/>
        <v/>
      </c>
      <c r="S1900" s="32" t="str">
        <f t="shared" si="6"/>
        <v/>
      </c>
      <c r="T1900" s="37" t="str">
        <f t="shared" si="7"/>
        <v/>
      </c>
      <c r="U1900" s="37" t="str">
        <f t="array" ref="U1900">IF($F1900="","",IFERROR(INDEX(Config!$F:$F,MATCH($F1900,Config!$D:$D,0)),0))</f>
        <v/>
      </c>
    </row>
    <row r="1901" ht="15.0" customHeight="1">
      <c r="A1901" s="34"/>
      <c r="B1901" s="35"/>
      <c r="C1901" s="15"/>
      <c r="D1901" s="15"/>
      <c r="E1901" s="15"/>
      <c r="F1901" s="15"/>
      <c r="G1901" s="36" t="str">
        <f t="array" ref="G1901">IF($F1901="","",IFERROR(INDEX(Config!$E:$E,MATCH($F1901,Config!$D:$D,0)),0))</f>
        <v/>
      </c>
      <c r="H1901" s="16"/>
      <c r="I1901" s="36" t="str">
        <f t="shared" si="1"/>
        <v/>
      </c>
      <c r="J1901" s="16"/>
      <c r="K1901" s="15"/>
      <c r="L1901" s="15"/>
      <c r="M1901" s="36" t="str">
        <f t="array" ref="M1901">IF($A1901="","",IF($L1901="Atendido",IFERROR($I1901*INDEX(Config!$B:$B,MATCH($C1901,Config!$A:$A,0)),0),0))</f>
        <v/>
      </c>
      <c r="N1901" s="36" t="str">
        <f t="shared" si="2"/>
        <v/>
      </c>
      <c r="O1901" s="36" t="str">
        <f t="shared" si="3"/>
        <v/>
      </c>
      <c r="P1901" s="15"/>
      <c r="Q1901" s="37" t="str">
        <f t="shared" si="4"/>
        <v/>
      </c>
      <c r="R1901" s="37" t="str">
        <f t="shared" si="5"/>
        <v/>
      </c>
      <c r="S1901" s="32" t="str">
        <f t="shared" si="6"/>
        <v/>
      </c>
      <c r="T1901" s="37" t="str">
        <f t="shared" si="7"/>
        <v/>
      </c>
      <c r="U1901" s="37" t="str">
        <f t="array" ref="U1901">IF($F1901="","",IFERROR(INDEX(Config!$F:$F,MATCH($F1901,Config!$D:$D,0)),0))</f>
        <v/>
      </c>
    </row>
    <row r="1902" ht="15.0" customHeight="1">
      <c r="A1902" s="34"/>
      <c r="B1902" s="35"/>
      <c r="C1902" s="15"/>
      <c r="D1902" s="15"/>
      <c r="E1902" s="15"/>
      <c r="F1902" s="15"/>
      <c r="G1902" s="36" t="str">
        <f t="array" ref="G1902">IF($F1902="","",IFERROR(INDEX(Config!$E:$E,MATCH($F1902,Config!$D:$D,0)),0))</f>
        <v/>
      </c>
      <c r="H1902" s="16"/>
      <c r="I1902" s="36" t="str">
        <f t="shared" si="1"/>
        <v/>
      </c>
      <c r="J1902" s="16"/>
      <c r="K1902" s="15"/>
      <c r="L1902" s="15"/>
      <c r="M1902" s="36" t="str">
        <f t="array" ref="M1902">IF($A1902="","",IF($L1902="Atendido",IFERROR($I1902*INDEX(Config!$B:$B,MATCH($C1902,Config!$A:$A,0)),0),0))</f>
        <v/>
      </c>
      <c r="N1902" s="36" t="str">
        <f t="shared" si="2"/>
        <v/>
      </c>
      <c r="O1902" s="36" t="str">
        <f t="shared" si="3"/>
        <v/>
      </c>
      <c r="P1902" s="15"/>
      <c r="Q1902" s="37" t="str">
        <f t="shared" si="4"/>
        <v/>
      </c>
      <c r="R1902" s="37" t="str">
        <f t="shared" si="5"/>
        <v/>
      </c>
      <c r="S1902" s="32" t="str">
        <f t="shared" si="6"/>
        <v/>
      </c>
      <c r="T1902" s="37" t="str">
        <f t="shared" si="7"/>
        <v/>
      </c>
      <c r="U1902" s="37" t="str">
        <f t="array" ref="U1902">IF($F1902="","",IFERROR(INDEX(Config!$F:$F,MATCH($F1902,Config!$D:$D,0)),0))</f>
        <v/>
      </c>
    </row>
    <row r="1903" ht="15.0" customHeight="1">
      <c r="A1903" s="34"/>
      <c r="B1903" s="35"/>
      <c r="C1903" s="15"/>
      <c r="D1903" s="15"/>
      <c r="E1903" s="15"/>
      <c r="F1903" s="15"/>
      <c r="G1903" s="36" t="str">
        <f t="array" ref="G1903">IF($F1903="","",IFERROR(INDEX(Config!$E:$E,MATCH($F1903,Config!$D:$D,0)),0))</f>
        <v/>
      </c>
      <c r="H1903" s="16"/>
      <c r="I1903" s="36" t="str">
        <f t="shared" si="1"/>
        <v/>
      </c>
      <c r="J1903" s="16"/>
      <c r="K1903" s="15"/>
      <c r="L1903" s="15"/>
      <c r="M1903" s="36" t="str">
        <f t="array" ref="M1903">IF($A1903="","",IF($L1903="Atendido",IFERROR($I1903*INDEX(Config!$B:$B,MATCH($C1903,Config!$A:$A,0)),0),0))</f>
        <v/>
      </c>
      <c r="N1903" s="36" t="str">
        <f t="shared" si="2"/>
        <v/>
      </c>
      <c r="O1903" s="36" t="str">
        <f t="shared" si="3"/>
        <v/>
      </c>
      <c r="P1903" s="15"/>
      <c r="Q1903" s="37" t="str">
        <f t="shared" si="4"/>
        <v/>
      </c>
      <c r="R1903" s="37" t="str">
        <f t="shared" si="5"/>
        <v/>
      </c>
      <c r="S1903" s="32" t="str">
        <f t="shared" si="6"/>
        <v/>
      </c>
      <c r="T1903" s="37" t="str">
        <f t="shared" si="7"/>
        <v/>
      </c>
      <c r="U1903" s="37" t="str">
        <f t="array" ref="U1903">IF($F1903="","",IFERROR(INDEX(Config!$F:$F,MATCH($F1903,Config!$D:$D,0)),0))</f>
        <v/>
      </c>
    </row>
    <row r="1904" ht="15.0" customHeight="1">
      <c r="A1904" s="34"/>
      <c r="B1904" s="35"/>
      <c r="C1904" s="15"/>
      <c r="D1904" s="15"/>
      <c r="E1904" s="15"/>
      <c r="F1904" s="15"/>
      <c r="G1904" s="36" t="str">
        <f t="array" ref="G1904">IF($F1904="","",IFERROR(INDEX(Config!$E:$E,MATCH($F1904,Config!$D:$D,0)),0))</f>
        <v/>
      </c>
      <c r="H1904" s="16"/>
      <c r="I1904" s="36" t="str">
        <f t="shared" si="1"/>
        <v/>
      </c>
      <c r="J1904" s="16"/>
      <c r="K1904" s="15"/>
      <c r="L1904" s="15"/>
      <c r="M1904" s="36" t="str">
        <f t="array" ref="M1904">IF($A1904="","",IF($L1904="Atendido",IFERROR($I1904*INDEX(Config!$B:$B,MATCH($C1904,Config!$A:$A,0)),0),0))</f>
        <v/>
      </c>
      <c r="N1904" s="36" t="str">
        <f t="shared" si="2"/>
        <v/>
      </c>
      <c r="O1904" s="36" t="str">
        <f t="shared" si="3"/>
        <v/>
      </c>
      <c r="P1904" s="15"/>
      <c r="Q1904" s="37" t="str">
        <f t="shared" si="4"/>
        <v/>
      </c>
      <c r="R1904" s="37" t="str">
        <f t="shared" si="5"/>
        <v/>
      </c>
      <c r="S1904" s="32" t="str">
        <f t="shared" si="6"/>
        <v/>
      </c>
      <c r="T1904" s="37" t="str">
        <f t="shared" si="7"/>
        <v/>
      </c>
      <c r="U1904" s="37" t="str">
        <f t="array" ref="U1904">IF($F1904="","",IFERROR(INDEX(Config!$F:$F,MATCH($F1904,Config!$D:$D,0)),0))</f>
        <v/>
      </c>
    </row>
    <row r="1905" ht="15.0" customHeight="1">
      <c r="A1905" s="34"/>
      <c r="B1905" s="35"/>
      <c r="C1905" s="15"/>
      <c r="D1905" s="15"/>
      <c r="E1905" s="15"/>
      <c r="F1905" s="15"/>
      <c r="G1905" s="36" t="str">
        <f t="array" ref="G1905">IF($F1905="","",IFERROR(INDEX(Config!$E:$E,MATCH($F1905,Config!$D:$D,0)),0))</f>
        <v/>
      </c>
      <c r="H1905" s="16"/>
      <c r="I1905" s="36" t="str">
        <f t="shared" si="1"/>
        <v/>
      </c>
      <c r="J1905" s="16"/>
      <c r="K1905" s="15"/>
      <c r="L1905" s="15"/>
      <c r="M1905" s="36" t="str">
        <f t="array" ref="M1905">IF($A1905="","",IF($L1905="Atendido",IFERROR($I1905*INDEX(Config!$B:$B,MATCH($C1905,Config!$A:$A,0)),0),0))</f>
        <v/>
      </c>
      <c r="N1905" s="36" t="str">
        <f t="shared" si="2"/>
        <v/>
      </c>
      <c r="O1905" s="36" t="str">
        <f t="shared" si="3"/>
        <v/>
      </c>
      <c r="P1905" s="15"/>
      <c r="Q1905" s="37" t="str">
        <f t="shared" si="4"/>
        <v/>
      </c>
      <c r="R1905" s="37" t="str">
        <f t="shared" si="5"/>
        <v/>
      </c>
      <c r="S1905" s="32" t="str">
        <f t="shared" si="6"/>
        <v/>
      </c>
      <c r="T1905" s="37" t="str">
        <f t="shared" si="7"/>
        <v/>
      </c>
      <c r="U1905" s="37" t="str">
        <f t="array" ref="U1905">IF($F1905="","",IFERROR(INDEX(Config!$F:$F,MATCH($F1905,Config!$D:$D,0)),0))</f>
        <v/>
      </c>
    </row>
    <row r="1906" ht="15.0" customHeight="1">
      <c r="A1906" s="34"/>
      <c r="B1906" s="35"/>
      <c r="C1906" s="15"/>
      <c r="D1906" s="15"/>
      <c r="E1906" s="15"/>
      <c r="F1906" s="15"/>
      <c r="G1906" s="36" t="str">
        <f t="array" ref="G1906">IF($F1906="","",IFERROR(INDEX(Config!$E:$E,MATCH($F1906,Config!$D:$D,0)),0))</f>
        <v/>
      </c>
      <c r="H1906" s="16"/>
      <c r="I1906" s="36" t="str">
        <f t="shared" si="1"/>
        <v/>
      </c>
      <c r="J1906" s="16"/>
      <c r="K1906" s="15"/>
      <c r="L1906" s="15"/>
      <c r="M1906" s="36" t="str">
        <f t="array" ref="M1906">IF($A1906="","",IF($L1906="Atendido",IFERROR($I1906*INDEX(Config!$B:$B,MATCH($C1906,Config!$A:$A,0)),0),0))</f>
        <v/>
      </c>
      <c r="N1906" s="36" t="str">
        <f t="shared" si="2"/>
        <v/>
      </c>
      <c r="O1906" s="36" t="str">
        <f t="shared" si="3"/>
        <v/>
      </c>
      <c r="P1906" s="15"/>
      <c r="Q1906" s="37" t="str">
        <f t="shared" si="4"/>
        <v/>
      </c>
      <c r="R1906" s="37" t="str">
        <f t="shared" si="5"/>
        <v/>
      </c>
      <c r="S1906" s="32" t="str">
        <f t="shared" si="6"/>
        <v/>
      </c>
      <c r="T1906" s="37" t="str">
        <f t="shared" si="7"/>
        <v/>
      </c>
      <c r="U1906" s="37" t="str">
        <f t="array" ref="U1906">IF($F1906="","",IFERROR(INDEX(Config!$F:$F,MATCH($F1906,Config!$D:$D,0)),0))</f>
        <v/>
      </c>
    </row>
    <row r="1907" ht="15.0" customHeight="1">
      <c r="A1907" s="34"/>
      <c r="B1907" s="35"/>
      <c r="C1907" s="15"/>
      <c r="D1907" s="15"/>
      <c r="E1907" s="15"/>
      <c r="F1907" s="15"/>
      <c r="G1907" s="36" t="str">
        <f t="array" ref="G1907">IF($F1907="","",IFERROR(INDEX(Config!$E:$E,MATCH($F1907,Config!$D:$D,0)),0))</f>
        <v/>
      </c>
      <c r="H1907" s="16"/>
      <c r="I1907" s="36" t="str">
        <f t="shared" si="1"/>
        <v/>
      </c>
      <c r="J1907" s="16"/>
      <c r="K1907" s="15"/>
      <c r="L1907" s="15"/>
      <c r="M1907" s="36" t="str">
        <f t="array" ref="M1907">IF($A1907="","",IF($L1907="Atendido",IFERROR($I1907*INDEX(Config!$B:$B,MATCH($C1907,Config!$A:$A,0)),0),0))</f>
        <v/>
      </c>
      <c r="N1907" s="36" t="str">
        <f t="shared" si="2"/>
        <v/>
      </c>
      <c r="O1907" s="36" t="str">
        <f t="shared" si="3"/>
        <v/>
      </c>
      <c r="P1907" s="15"/>
      <c r="Q1907" s="37" t="str">
        <f t="shared" si="4"/>
        <v/>
      </c>
      <c r="R1907" s="37" t="str">
        <f t="shared" si="5"/>
        <v/>
      </c>
      <c r="S1907" s="32" t="str">
        <f t="shared" si="6"/>
        <v/>
      </c>
      <c r="T1907" s="37" t="str">
        <f t="shared" si="7"/>
        <v/>
      </c>
      <c r="U1907" s="37" t="str">
        <f t="array" ref="U1907">IF($F1907="","",IFERROR(INDEX(Config!$F:$F,MATCH($F1907,Config!$D:$D,0)),0))</f>
        <v/>
      </c>
    </row>
    <row r="1908" ht="15.0" customHeight="1">
      <c r="A1908" s="34"/>
      <c r="B1908" s="35"/>
      <c r="C1908" s="15"/>
      <c r="D1908" s="15"/>
      <c r="E1908" s="15"/>
      <c r="F1908" s="15"/>
      <c r="G1908" s="36" t="str">
        <f t="array" ref="G1908">IF($F1908="","",IFERROR(INDEX(Config!$E:$E,MATCH($F1908,Config!$D:$D,0)),0))</f>
        <v/>
      </c>
      <c r="H1908" s="16"/>
      <c r="I1908" s="36" t="str">
        <f t="shared" si="1"/>
        <v/>
      </c>
      <c r="J1908" s="16"/>
      <c r="K1908" s="15"/>
      <c r="L1908" s="15"/>
      <c r="M1908" s="36" t="str">
        <f t="array" ref="M1908">IF($A1908="","",IF($L1908="Atendido",IFERROR($I1908*INDEX(Config!$B:$B,MATCH($C1908,Config!$A:$A,0)),0),0))</f>
        <v/>
      </c>
      <c r="N1908" s="36" t="str">
        <f t="shared" si="2"/>
        <v/>
      </c>
      <c r="O1908" s="36" t="str">
        <f t="shared" si="3"/>
        <v/>
      </c>
      <c r="P1908" s="15"/>
      <c r="Q1908" s="37" t="str">
        <f t="shared" si="4"/>
        <v/>
      </c>
      <c r="R1908" s="37" t="str">
        <f t="shared" si="5"/>
        <v/>
      </c>
      <c r="S1908" s="32" t="str">
        <f t="shared" si="6"/>
        <v/>
      </c>
      <c r="T1908" s="37" t="str">
        <f t="shared" si="7"/>
        <v/>
      </c>
      <c r="U1908" s="37" t="str">
        <f t="array" ref="U1908">IF($F1908="","",IFERROR(INDEX(Config!$F:$F,MATCH($F1908,Config!$D:$D,0)),0))</f>
        <v/>
      </c>
    </row>
    <row r="1909" ht="15.0" customHeight="1">
      <c r="A1909" s="34"/>
      <c r="B1909" s="35"/>
      <c r="C1909" s="15"/>
      <c r="D1909" s="15"/>
      <c r="E1909" s="15"/>
      <c r="F1909" s="15"/>
      <c r="G1909" s="36" t="str">
        <f t="array" ref="G1909">IF($F1909="","",IFERROR(INDEX(Config!$E:$E,MATCH($F1909,Config!$D:$D,0)),0))</f>
        <v/>
      </c>
      <c r="H1909" s="16"/>
      <c r="I1909" s="36" t="str">
        <f t="shared" si="1"/>
        <v/>
      </c>
      <c r="J1909" s="16"/>
      <c r="K1909" s="15"/>
      <c r="L1909" s="15"/>
      <c r="M1909" s="36" t="str">
        <f t="array" ref="M1909">IF($A1909="","",IF($L1909="Atendido",IFERROR($I1909*INDEX(Config!$B:$B,MATCH($C1909,Config!$A:$A,0)),0),0))</f>
        <v/>
      </c>
      <c r="N1909" s="36" t="str">
        <f t="shared" si="2"/>
        <v/>
      </c>
      <c r="O1909" s="36" t="str">
        <f t="shared" si="3"/>
        <v/>
      </c>
      <c r="P1909" s="15"/>
      <c r="Q1909" s="37" t="str">
        <f t="shared" si="4"/>
        <v/>
      </c>
      <c r="R1909" s="37" t="str">
        <f t="shared" si="5"/>
        <v/>
      </c>
      <c r="S1909" s="32" t="str">
        <f t="shared" si="6"/>
        <v/>
      </c>
      <c r="T1909" s="37" t="str">
        <f t="shared" si="7"/>
        <v/>
      </c>
      <c r="U1909" s="37" t="str">
        <f t="array" ref="U1909">IF($F1909="","",IFERROR(INDEX(Config!$F:$F,MATCH($F1909,Config!$D:$D,0)),0))</f>
        <v/>
      </c>
    </row>
    <row r="1910" ht="15.0" customHeight="1">
      <c r="A1910" s="34"/>
      <c r="B1910" s="35"/>
      <c r="C1910" s="15"/>
      <c r="D1910" s="15"/>
      <c r="E1910" s="15"/>
      <c r="F1910" s="15"/>
      <c r="G1910" s="36" t="str">
        <f t="array" ref="G1910">IF($F1910="","",IFERROR(INDEX(Config!$E:$E,MATCH($F1910,Config!$D:$D,0)),0))</f>
        <v/>
      </c>
      <c r="H1910" s="16"/>
      <c r="I1910" s="36" t="str">
        <f t="shared" si="1"/>
        <v/>
      </c>
      <c r="J1910" s="16"/>
      <c r="K1910" s="15"/>
      <c r="L1910" s="15"/>
      <c r="M1910" s="36" t="str">
        <f t="array" ref="M1910">IF($A1910="","",IF($L1910="Atendido",IFERROR($I1910*INDEX(Config!$B:$B,MATCH($C1910,Config!$A:$A,0)),0),0))</f>
        <v/>
      </c>
      <c r="N1910" s="36" t="str">
        <f t="shared" si="2"/>
        <v/>
      </c>
      <c r="O1910" s="36" t="str">
        <f t="shared" si="3"/>
        <v/>
      </c>
      <c r="P1910" s="15"/>
      <c r="Q1910" s="37" t="str">
        <f t="shared" si="4"/>
        <v/>
      </c>
      <c r="R1910" s="37" t="str">
        <f t="shared" si="5"/>
        <v/>
      </c>
      <c r="S1910" s="32" t="str">
        <f t="shared" si="6"/>
        <v/>
      </c>
      <c r="T1910" s="37" t="str">
        <f t="shared" si="7"/>
        <v/>
      </c>
      <c r="U1910" s="37" t="str">
        <f t="array" ref="U1910">IF($F1910="","",IFERROR(INDEX(Config!$F:$F,MATCH($F1910,Config!$D:$D,0)),0))</f>
        <v/>
      </c>
    </row>
    <row r="1911" ht="15.0" customHeight="1">
      <c r="A1911" s="34"/>
      <c r="B1911" s="35"/>
      <c r="C1911" s="15"/>
      <c r="D1911" s="15"/>
      <c r="E1911" s="15"/>
      <c r="F1911" s="15"/>
      <c r="G1911" s="36" t="str">
        <f t="array" ref="G1911">IF($F1911="","",IFERROR(INDEX(Config!$E:$E,MATCH($F1911,Config!$D:$D,0)),0))</f>
        <v/>
      </c>
      <c r="H1911" s="16"/>
      <c r="I1911" s="36" t="str">
        <f t="shared" si="1"/>
        <v/>
      </c>
      <c r="J1911" s="16"/>
      <c r="K1911" s="15"/>
      <c r="L1911" s="15"/>
      <c r="M1911" s="36" t="str">
        <f t="array" ref="M1911">IF($A1911="","",IF($L1911="Atendido",IFERROR($I1911*INDEX(Config!$B:$B,MATCH($C1911,Config!$A:$A,0)),0),0))</f>
        <v/>
      </c>
      <c r="N1911" s="36" t="str">
        <f t="shared" si="2"/>
        <v/>
      </c>
      <c r="O1911" s="36" t="str">
        <f t="shared" si="3"/>
        <v/>
      </c>
      <c r="P1911" s="15"/>
      <c r="Q1911" s="37" t="str">
        <f t="shared" si="4"/>
        <v/>
      </c>
      <c r="R1911" s="37" t="str">
        <f t="shared" si="5"/>
        <v/>
      </c>
      <c r="S1911" s="32" t="str">
        <f t="shared" si="6"/>
        <v/>
      </c>
      <c r="T1911" s="37" t="str">
        <f t="shared" si="7"/>
        <v/>
      </c>
      <c r="U1911" s="37" t="str">
        <f t="array" ref="U1911">IF($F1911="","",IFERROR(INDEX(Config!$F:$F,MATCH($F1911,Config!$D:$D,0)),0))</f>
        <v/>
      </c>
    </row>
    <row r="1912" ht="15.0" customHeight="1">
      <c r="A1912" s="34"/>
      <c r="B1912" s="35"/>
      <c r="C1912" s="15"/>
      <c r="D1912" s="15"/>
      <c r="E1912" s="15"/>
      <c r="F1912" s="15"/>
      <c r="G1912" s="36" t="str">
        <f t="array" ref="G1912">IF($F1912="","",IFERROR(INDEX(Config!$E:$E,MATCH($F1912,Config!$D:$D,0)),0))</f>
        <v/>
      </c>
      <c r="H1912" s="16"/>
      <c r="I1912" s="36" t="str">
        <f t="shared" si="1"/>
        <v/>
      </c>
      <c r="J1912" s="16"/>
      <c r="K1912" s="15"/>
      <c r="L1912" s="15"/>
      <c r="M1912" s="36" t="str">
        <f t="array" ref="M1912">IF($A1912="","",IF($L1912="Atendido",IFERROR($I1912*INDEX(Config!$B:$B,MATCH($C1912,Config!$A:$A,0)),0),0))</f>
        <v/>
      </c>
      <c r="N1912" s="36" t="str">
        <f t="shared" si="2"/>
        <v/>
      </c>
      <c r="O1912" s="36" t="str">
        <f t="shared" si="3"/>
        <v/>
      </c>
      <c r="P1912" s="15"/>
      <c r="Q1912" s="37" t="str">
        <f t="shared" si="4"/>
        <v/>
      </c>
      <c r="R1912" s="37" t="str">
        <f t="shared" si="5"/>
        <v/>
      </c>
      <c r="S1912" s="32" t="str">
        <f t="shared" si="6"/>
        <v/>
      </c>
      <c r="T1912" s="37" t="str">
        <f t="shared" si="7"/>
        <v/>
      </c>
      <c r="U1912" s="37" t="str">
        <f t="array" ref="U1912">IF($F1912="","",IFERROR(INDEX(Config!$F:$F,MATCH($F1912,Config!$D:$D,0)),0))</f>
        <v/>
      </c>
    </row>
    <row r="1913" ht="15.0" customHeight="1">
      <c r="A1913" s="34"/>
      <c r="B1913" s="35"/>
      <c r="C1913" s="15"/>
      <c r="D1913" s="15"/>
      <c r="E1913" s="15"/>
      <c r="F1913" s="15"/>
      <c r="G1913" s="36" t="str">
        <f t="array" ref="G1913">IF($F1913="","",IFERROR(INDEX(Config!$E:$E,MATCH($F1913,Config!$D:$D,0)),0))</f>
        <v/>
      </c>
      <c r="H1913" s="16"/>
      <c r="I1913" s="36" t="str">
        <f t="shared" si="1"/>
        <v/>
      </c>
      <c r="J1913" s="16"/>
      <c r="K1913" s="15"/>
      <c r="L1913" s="15"/>
      <c r="M1913" s="36" t="str">
        <f t="array" ref="M1913">IF($A1913="","",IF($L1913="Atendido",IFERROR($I1913*INDEX(Config!$B:$B,MATCH($C1913,Config!$A:$A,0)),0),0))</f>
        <v/>
      </c>
      <c r="N1913" s="36" t="str">
        <f t="shared" si="2"/>
        <v/>
      </c>
      <c r="O1913" s="36" t="str">
        <f t="shared" si="3"/>
        <v/>
      </c>
      <c r="P1913" s="15"/>
      <c r="Q1913" s="37" t="str">
        <f t="shared" si="4"/>
        <v/>
      </c>
      <c r="R1913" s="37" t="str">
        <f t="shared" si="5"/>
        <v/>
      </c>
      <c r="S1913" s="32" t="str">
        <f t="shared" si="6"/>
        <v/>
      </c>
      <c r="T1913" s="37" t="str">
        <f t="shared" si="7"/>
        <v/>
      </c>
      <c r="U1913" s="37" t="str">
        <f t="array" ref="U1913">IF($F1913="","",IFERROR(INDEX(Config!$F:$F,MATCH($F1913,Config!$D:$D,0)),0))</f>
        <v/>
      </c>
    </row>
    <row r="1914" ht="15.0" customHeight="1">
      <c r="A1914" s="34"/>
      <c r="B1914" s="35"/>
      <c r="C1914" s="15"/>
      <c r="D1914" s="15"/>
      <c r="E1914" s="15"/>
      <c r="F1914" s="15"/>
      <c r="G1914" s="36" t="str">
        <f t="array" ref="G1914">IF($F1914="","",IFERROR(INDEX(Config!$E:$E,MATCH($F1914,Config!$D:$D,0)),0))</f>
        <v/>
      </c>
      <c r="H1914" s="16"/>
      <c r="I1914" s="36" t="str">
        <f t="shared" si="1"/>
        <v/>
      </c>
      <c r="J1914" s="16"/>
      <c r="K1914" s="15"/>
      <c r="L1914" s="15"/>
      <c r="M1914" s="36" t="str">
        <f t="array" ref="M1914">IF($A1914="","",IF($L1914="Atendido",IFERROR($I1914*INDEX(Config!$B:$B,MATCH($C1914,Config!$A:$A,0)),0),0))</f>
        <v/>
      </c>
      <c r="N1914" s="36" t="str">
        <f t="shared" si="2"/>
        <v/>
      </c>
      <c r="O1914" s="36" t="str">
        <f t="shared" si="3"/>
        <v/>
      </c>
      <c r="P1914" s="15"/>
      <c r="Q1914" s="37" t="str">
        <f t="shared" si="4"/>
        <v/>
      </c>
      <c r="R1914" s="37" t="str">
        <f t="shared" si="5"/>
        <v/>
      </c>
      <c r="S1914" s="32" t="str">
        <f t="shared" si="6"/>
        <v/>
      </c>
      <c r="T1914" s="37" t="str">
        <f t="shared" si="7"/>
        <v/>
      </c>
      <c r="U1914" s="37" t="str">
        <f t="array" ref="U1914">IF($F1914="","",IFERROR(INDEX(Config!$F:$F,MATCH($F1914,Config!$D:$D,0)),0))</f>
        <v/>
      </c>
    </row>
    <row r="1915" ht="15.0" customHeight="1">
      <c r="A1915" s="34"/>
      <c r="B1915" s="35"/>
      <c r="C1915" s="15"/>
      <c r="D1915" s="15"/>
      <c r="E1915" s="15"/>
      <c r="F1915" s="15"/>
      <c r="G1915" s="36" t="str">
        <f t="array" ref="G1915">IF($F1915="","",IFERROR(INDEX(Config!$E:$E,MATCH($F1915,Config!$D:$D,0)),0))</f>
        <v/>
      </c>
      <c r="H1915" s="16"/>
      <c r="I1915" s="36" t="str">
        <f t="shared" si="1"/>
        <v/>
      </c>
      <c r="J1915" s="16"/>
      <c r="K1915" s="15"/>
      <c r="L1915" s="15"/>
      <c r="M1915" s="36" t="str">
        <f t="array" ref="M1915">IF($A1915="","",IF($L1915="Atendido",IFERROR($I1915*INDEX(Config!$B:$B,MATCH($C1915,Config!$A:$A,0)),0),0))</f>
        <v/>
      </c>
      <c r="N1915" s="36" t="str">
        <f t="shared" si="2"/>
        <v/>
      </c>
      <c r="O1915" s="36" t="str">
        <f t="shared" si="3"/>
        <v/>
      </c>
      <c r="P1915" s="15"/>
      <c r="Q1915" s="37" t="str">
        <f t="shared" si="4"/>
        <v/>
      </c>
      <c r="R1915" s="37" t="str">
        <f t="shared" si="5"/>
        <v/>
      </c>
      <c r="S1915" s="32" t="str">
        <f t="shared" si="6"/>
        <v/>
      </c>
      <c r="T1915" s="37" t="str">
        <f t="shared" si="7"/>
        <v/>
      </c>
      <c r="U1915" s="37" t="str">
        <f t="array" ref="U1915">IF($F1915="","",IFERROR(INDEX(Config!$F:$F,MATCH($F1915,Config!$D:$D,0)),0))</f>
        <v/>
      </c>
    </row>
    <row r="1916" ht="15.0" customHeight="1">
      <c r="A1916" s="34"/>
      <c r="B1916" s="35"/>
      <c r="C1916" s="15"/>
      <c r="D1916" s="15"/>
      <c r="E1916" s="15"/>
      <c r="F1916" s="15"/>
      <c r="G1916" s="36" t="str">
        <f t="array" ref="G1916">IF($F1916="","",IFERROR(INDEX(Config!$E:$E,MATCH($F1916,Config!$D:$D,0)),0))</f>
        <v/>
      </c>
      <c r="H1916" s="16"/>
      <c r="I1916" s="36" t="str">
        <f t="shared" si="1"/>
        <v/>
      </c>
      <c r="J1916" s="16"/>
      <c r="K1916" s="15"/>
      <c r="L1916" s="15"/>
      <c r="M1916" s="36" t="str">
        <f t="array" ref="M1916">IF($A1916="","",IF($L1916="Atendido",IFERROR($I1916*INDEX(Config!$B:$B,MATCH($C1916,Config!$A:$A,0)),0),0))</f>
        <v/>
      </c>
      <c r="N1916" s="36" t="str">
        <f t="shared" si="2"/>
        <v/>
      </c>
      <c r="O1916" s="36" t="str">
        <f t="shared" si="3"/>
        <v/>
      </c>
      <c r="P1916" s="15"/>
      <c r="Q1916" s="37" t="str">
        <f t="shared" si="4"/>
        <v/>
      </c>
      <c r="R1916" s="37" t="str">
        <f t="shared" si="5"/>
        <v/>
      </c>
      <c r="S1916" s="32" t="str">
        <f t="shared" si="6"/>
        <v/>
      </c>
      <c r="T1916" s="37" t="str">
        <f t="shared" si="7"/>
        <v/>
      </c>
      <c r="U1916" s="37" t="str">
        <f t="array" ref="U1916">IF($F1916="","",IFERROR(INDEX(Config!$F:$F,MATCH($F1916,Config!$D:$D,0)),0))</f>
        <v/>
      </c>
    </row>
    <row r="1917" ht="15.0" customHeight="1">
      <c r="A1917" s="34"/>
      <c r="B1917" s="35"/>
      <c r="C1917" s="15"/>
      <c r="D1917" s="15"/>
      <c r="E1917" s="15"/>
      <c r="F1917" s="15"/>
      <c r="G1917" s="36" t="str">
        <f t="array" ref="G1917">IF($F1917="","",IFERROR(INDEX(Config!$E:$E,MATCH($F1917,Config!$D:$D,0)),0))</f>
        <v/>
      </c>
      <c r="H1917" s="16"/>
      <c r="I1917" s="36" t="str">
        <f t="shared" si="1"/>
        <v/>
      </c>
      <c r="J1917" s="16"/>
      <c r="K1917" s="15"/>
      <c r="L1917" s="15"/>
      <c r="M1917" s="36" t="str">
        <f t="array" ref="M1917">IF($A1917="","",IF($L1917="Atendido",IFERROR($I1917*INDEX(Config!$B:$B,MATCH($C1917,Config!$A:$A,0)),0),0))</f>
        <v/>
      </c>
      <c r="N1917" s="36" t="str">
        <f t="shared" si="2"/>
        <v/>
      </c>
      <c r="O1917" s="36" t="str">
        <f t="shared" si="3"/>
        <v/>
      </c>
      <c r="P1917" s="15"/>
      <c r="Q1917" s="37" t="str">
        <f t="shared" si="4"/>
        <v/>
      </c>
      <c r="R1917" s="37" t="str">
        <f t="shared" si="5"/>
        <v/>
      </c>
      <c r="S1917" s="32" t="str">
        <f t="shared" si="6"/>
        <v/>
      </c>
      <c r="T1917" s="37" t="str">
        <f t="shared" si="7"/>
        <v/>
      </c>
      <c r="U1917" s="37" t="str">
        <f t="array" ref="U1917">IF($F1917="","",IFERROR(INDEX(Config!$F:$F,MATCH($F1917,Config!$D:$D,0)),0))</f>
        <v/>
      </c>
    </row>
    <row r="1918" ht="15.0" customHeight="1">
      <c r="A1918" s="34"/>
      <c r="B1918" s="35"/>
      <c r="C1918" s="15"/>
      <c r="D1918" s="15"/>
      <c r="E1918" s="15"/>
      <c r="F1918" s="15"/>
      <c r="G1918" s="36" t="str">
        <f t="array" ref="G1918">IF($F1918="","",IFERROR(INDEX(Config!$E:$E,MATCH($F1918,Config!$D:$D,0)),0))</f>
        <v/>
      </c>
      <c r="H1918" s="16"/>
      <c r="I1918" s="36" t="str">
        <f t="shared" si="1"/>
        <v/>
      </c>
      <c r="J1918" s="16"/>
      <c r="K1918" s="15"/>
      <c r="L1918" s="15"/>
      <c r="M1918" s="36" t="str">
        <f t="array" ref="M1918">IF($A1918="","",IF($L1918="Atendido",IFERROR($I1918*INDEX(Config!$B:$B,MATCH($C1918,Config!$A:$A,0)),0),0))</f>
        <v/>
      </c>
      <c r="N1918" s="36" t="str">
        <f t="shared" si="2"/>
        <v/>
      </c>
      <c r="O1918" s="36" t="str">
        <f t="shared" si="3"/>
        <v/>
      </c>
      <c r="P1918" s="15"/>
      <c r="Q1918" s="37" t="str">
        <f t="shared" si="4"/>
        <v/>
      </c>
      <c r="R1918" s="37" t="str">
        <f t="shared" si="5"/>
        <v/>
      </c>
      <c r="S1918" s="32" t="str">
        <f t="shared" si="6"/>
        <v/>
      </c>
      <c r="T1918" s="37" t="str">
        <f t="shared" si="7"/>
        <v/>
      </c>
      <c r="U1918" s="37" t="str">
        <f t="array" ref="U1918">IF($F1918="","",IFERROR(INDEX(Config!$F:$F,MATCH($F1918,Config!$D:$D,0)),0))</f>
        <v/>
      </c>
    </row>
    <row r="1919" ht="15.0" customHeight="1">
      <c r="A1919" s="34"/>
      <c r="B1919" s="35"/>
      <c r="C1919" s="15"/>
      <c r="D1919" s="15"/>
      <c r="E1919" s="15"/>
      <c r="F1919" s="15"/>
      <c r="G1919" s="36" t="str">
        <f t="array" ref="G1919">IF($F1919="","",IFERROR(INDEX(Config!$E:$E,MATCH($F1919,Config!$D:$D,0)),0))</f>
        <v/>
      </c>
      <c r="H1919" s="16"/>
      <c r="I1919" s="36" t="str">
        <f t="shared" si="1"/>
        <v/>
      </c>
      <c r="J1919" s="16"/>
      <c r="K1919" s="15"/>
      <c r="L1919" s="15"/>
      <c r="M1919" s="36" t="str">
        <f t="array" ref="M1919">IF($A1919="","",IF($L1919="Atendido",IFERROR($I1919*INDEX(Config!$B:$B,MATCH($C1919,Config!$A:$A,0)),0),0))</f>
        <v/>
      </c>
      <c r="N1919" s="36" t="str">
        <f t="shared" si="2"/>
        <v/>
      </c>
      <c r="O1919" s="36" t="str">
        <f t="shared" si="3"/>
        <v/>
      </c>
      <c r="P1919" s="15"/>
      <c r="Q1919" s="37" t="str">
        <f t="shared" si="4"/>
        <v/>
      </c>
      <c r="R1919" s="37" t="str">
        <f t="shared" si="5"/>
        <v/>
      </c>
      <c r="S1919" s="32" t="str">
        <f t="shared" si="6"/>
        <v/>
      </c>
      <c r="T1919" s="37" t="str">
        <f t="shared" si="7"/>
        <v/>
      </c>
      <c r="U1919" s="37" t="str">
        <f t="array" ref="U1919">IF($F1919="","",IFERROR(INDEX(Config!$F:$F,MATCH($F1919,Config!$D:$D,0)),0))</f>
        <v/>
      </c>
    </row>
    <row r="1920" ht="15.0" customHeight="1">
      <c r="A1920" s="34"/>
      <c r="B1920" s="35"/>
      <c r="C1920" s="15"/>
      <c r="D1920" s="15"/>
      <c r="E1920" s="15"/>
      <c r="F1920" s="15"/>
      <c r="G1920" s="36" t="str">
        <f t="array" ref="G1920">IF($F1920="","",IFERROR(INDEX(Config!$E:$E,MATCH($F1920,Config!$D:$D,0)),0))</f>
        <v/>
      </c>
      <c r="H1920" s="16"/>
      <c r="I1920" s="36" t="str">
        <f t="shared" si="1"/>
        <v/>
      </c>
      <c r="J1920" s="16"/>
      <c r="K1920" s="15"/>
      <c r="L1920" s="15"/>
      <c r="M1920" s="36" t="str">
        <f t="array" ref="M1920">IF($A1920="","",IF($L1920="Atendido",IFERROR($I1920*INDEX(Config!$B:$B,MATCH($C1920,Config!$A:$A,0)),0),0))</f>
        <v/>
      </c>
      <c r="N1920" s="36" t="str">
        <f t="shared" si="2"/>
        <v/>
      </c>
      <c r="O1920" s="36" t="str">
        <f t="shared" si="3"/>
        <v/>
      </c>
      <c r="P1920" s="15"/>
      <c r="Q1920" s="37" t="str">
        <f t="shared" si="4"/>
        <v/>
      </c>
      <c r="R1920" s="37" t="str">
        <f t="shared" si="5"/>
        <v/>
      </c>
      <c r="S1920" s="32" t="str">
        <f t="shared" si="6"/>
        <v/>
      </c>
      <c r="T1920" s="37" t="str">
        <f t="shared" si="7"/>
        <v/>
      </c>
      <c r="U1920" s="37" t="str">
        <f t="array" ref="U1920">IF($F1920="","",IFERROR(INDEX(Config!$F:$F,MATCH($F1920,Config!$D:$D,0)),0))</f>
        <v/>
      </c>
    </row>
    <row r="1921" ht="15.0" customHeight="1">
      <c r="A1921" s="34"/>
      <c r="B1921" s="35"/>
      <c r="C1921" s="15"/>
      <c r="D1921" s="15"/>
      <c r="E1921" s="15"/>
      <c r="F1921" s="15"/>
      <c r="G1921" s="36" t="str">
        <f t="array" ref="G1921">IF($F1921="","",IFERROR(INDEX(Config!$E:$E,MATCH($F1921,Config!$D:$D,0)),0))</f>
        <v/>
      </c>
      <c r="H1921" s="16"/>
      <c r="I1921" s="36" t="str">
        <f t="shared" si="1"/>
        <v/>
      </c>
      <c r="J1921" s="16"/>
      <c r="K1921" s="15"/>
      <c r="L1921" s="15"/>
      <c r="M1921" s="36" t="str">
        <f t="array" ref="M1921">IF($A1921="","",IF($L1921="Atendido",IFERROR($I1921*INDEX(Config!$B:$B,MATCH($C1921,Config!$A:$A,0)),0),0))</f>
        <v/>
      </c>
      <c r="N1921" s="36" t="str">
        <f t="shared" si="2"/>
        <v/>
      </c>
      <c r="O1921" s="36" t="str">
        <f t="shared" si="3"/>
        <v/>
      </c>
      <c r="P1921" s="15"/>
      <c r="Q1921" s="37" t="str">
        <f t="shared" si="4"/>
        <v/>
      </c>
      <c r="R1921" s="37" t="str">
        <f t="shared" si="5"/>
        <v/>
      </c>
      <c r="S1921" s="32" t="str">
        <f t="shared" si="6"/>
        <v/>
      </c>
      <c r="T1921" s="37" t="str">
        <f t="shared" si="7"/>
        <v/>
      </c>
      <c r="U1921" s="37" t="str">
        <f t="array" ref="U1921">IF($F1921="","",IFERROR(INDEX(Config!$F:$F,MATCH($F1921,Config!$D:$D,0)),0))</f>
        <v/>
      </c>
    </row>
    <row r="1922" ht="15.0" customHeight="1">
      <c r="A1922" s="34"/>
      <c r="B1922" s="35"/>
      <c r="C1922" s="15"/>
      <c r="D1922" s="15"/>
      <c r="E1922" s="15"/>
      <c r="F1922" s="15"/>
      <c r="G1922" s="36" t="str">
        <f t="array" ref="G1922">IF($F1922="","",IFERROR(INDEX(Config!$E:$E,MATCH($F1922,Config!$D:$D,0)),0))</f>
        <v/>
      </c>
      <c r="H1922" s="16"/>
      <c r="I1922" s="36" t="str">
        <f t="shared" si="1"/>
        <v/>
      </c>
      <c r="J1922" s="16"/>
      <c r="K1922" s="15"/>
      <c r="L1922" s="15"/>
      <c r="M1922" s="36" t="str">
        <f t="array" ref="M1922">IF($A1922="","",IF($L1922="Atendido",IFERROR($I1922*INDEX(Config!$B:$B,MATCH($C1922,Config!$A:$A,0)),0),0))</f>
        <v/>
      </c>
      <c r="N1922" s="36" t="str">
        <f t="shared" si="2"/>
        <v/>
      </c>
      <c r="O1922" s="36" t="str">
        <f t="shared" si="3"/>
        <v/>
      </c>
      <c r="P1922" s="15"/>
      <c r="Q1922" s="37" t="str">
        <f t="shared" si="4"/>
        <v/>
      </c>
      <c r="R1922" s="37" t="str">
        <f t="shared" si="5"/>
        <v/>
      </c>
      <c r="S1922" s="32" t="str">
        <f t="shared" si="6"/>
        <v/>
      </c>
      <c r="T1922" s="37" t="str">
        <f t="shared" si="7"/>
        <v/>
      </c>
      <c r="U1922" s="37" t="str">
        <f t="array" ref="U1922">IF($F1922="","",IFERROR(INDEX(Config!$F:$F,MATCH($F1922,Config!$D:$D,0)),0))</f>
        <v/>
      </c>
    </row>
    <row r="1923" ht="15.0" customHeight="1">
      <c r="A1923" s="34"/>
      <c r="B1923" s="35"/>
      <c r="C1923" s="15"/>
      <c r="D1923" s="15"/>
      <c r="E1923" s="15"/>
      <c r="F1923" s="15"/>
      <c r="G1923" s="36" t="str">
        <f t="array" ref="G1923">IF($F1923="","",IFERROR(INDEX(Config!$E:$E,MATCH($F1923,Config!$D:$D,0)),0))</f>
        <v/>
      </c>
      <c r="H1923" s="16"/>
      <c r="I1923" s="36" t="str">
        <f t="shared" si="1"/>
        <v/>
      </c>
      <c r="J1923" s="16"/>
      <c r="K1923" s="15"/>
      <c r="L1923" s="15"/>
      <c r="M1923" s="36" t="str">
        <f t="array" ref="M1923">IF($A1923="","",IF($L1923="Atendido",IFERROR($I1923*INDEX(Config!$B:$B,MATCH($C1923,Config!$A:$A,0)),0),0))</f>
        <v/>
      </c>
      <c r="N1923" s="36" t="str">
        <f t="shared" si="2"/>
        <v/>
      </c>
      <c r="O1923" s="36" t="str">
        <f t="shared" si="3"/>
        <v/>
      </c>
      <c r="P1923" s="15"/>
      <c r="Q1923" s="37" t="str">
        <f t="shared" si="4"/>
        <v/>
      </c>
      <c r="R1923" s="37" t="str">
        <f t="shared" si="5"/>
        <v/>
      </c>
      <c r="S1923" s="32" t="str">
        <f t="shared" si="6"/>
        <v/>
      </c>
      <c r="T1923" s="37" t="str">
        <f t="shared" si="7"/>
        <v/>
      </c>
      <c r="U1923" s="37" t="str">
        <f t="array" ref="U1923">IF($F1923="","",IFERROR(INDEX(Config!$F:$F,MATCH($F1923,Config!$D:$D,0)),0))</f>
        <v/>
      </c>
    </row>
    <row r="1924" ht="15.0" customHeight="1">
      <c r="A1924" s="34"/>
      <c r="B1924" s="35"/>
      <c r="C1924" s="15"/>
      <c r="D1924" s="15"/>
      <c r="E1924" s="15"/>
      <c r="F1924" s="15"/>
      <c r="G1924" s="36" t="str">
        <f t="array" ref="G1924">IF($F1924="","",IFERROR(INDEX(Config!$E:$E,MATCH($F1924,Config!$D:$D,0)),0))</f>
        <v/>
      </c>
      <c r="H1924" s="16"/>
      <c r="I1924" s="36" t="str">
        <f t="shared" si="1"/>
        <v/>
      </c>
      <c r="J1924" s="16"/>
      <c r="K1924" s="15"/>
      <c r="L1924" s="15"/>
      <c r="M1924" s="36" t="str">
        <f t="array" ref="M1924">IF($A1924="","",IF($L1924="Atendido",IFERROR($I1924*INDEX(Config!$B:$B,MATCH($C1924,Config!$A:$A,0)),0),0))</f>
        <v/>
      </c>
      <c r="N1924" s="36" t="str">
        <f t="shared" si="2"/>
        <v/>
      </c>
      <c r="O1924" s="36" t="str">
        <f t="shared" si="3"/>
        <v/>
      </c>
      <c r="P1924" s="15"/>
      <c r="Q1924" s="37" t="str">
        <f t="shared" si="4"/>
        <v/>
      </c>
      <c r="R1924" s="37" t="str">
        <f t="shared" si="5"/>
        <v/>
      </c>
      <c r="S1924" s="32" t="str">
        <f t="shared" si="6"/>
        <v/>
      </c>
      <c r="T1924" s="37" t="str">
        <f t="shared" si="7"/>
        <v/>
      </c>
      <c r="U1924" s="37" t="str">
        <f t="array" ref="U1924">IF($F1924="","",IFERROR(INDEX(Config!$F:$F,MATCH($F1924,Config!$D:$D,0)),0))</f>
        <v/>
      </c>
    </row>
    <row r="1925" ht="15.0" customHeight="1">
      <c r="A1925" s="34"/>
      <c r="B1925" s="35"/>
      <c r="C1925" s="15"/>
      <c r="D1925" s="15"/>
      <c r="E1925" s="15"/>
      <c r="F1925" s="15"/>
      <c r="G1925" s="36" t="str">
        <f t="array" ref="G1925">IF($F1925="","",IFERROR(INDEX(Config!$E:$E,MATCH($F1925,Config!$D:$D,0)),0))</f>
        <v/>
      </c>
      <c r="H1925" s="16"/>
      <c r="I1925" s="36" t="str">
        <f t="shared" si="1"/>
        <v/>
      </c>
      <c r="J1925" s="16"/>
      <c r="K1925" s="15"/>
      <c r="L1925" s="15"/>
      <c r="M1925" s="36" t="str">
        <f t="array" ref="M1925">IF($A1925="","",IF($L1925="Atendido",IFERROR($I1925*INDEX(Config!$B:$B,MATCH($C1925,Config!$A:$A,0)),0),0))</f>
        <v/>
      </c>
      <c r="N1925" s="36" t="str">
        <f t="shared" si="2"/>
        <v/>
      </c>
      <c r="O1925" s="36" t="str">
        <f t="shared" si="3"/>
        <v/>
      </c>
      <c r="P1925" s="15"/>
      <c r="Q1925" s="37" t="str">
        <f t="shared" si="4"/>
        <v/>
      </c>
      <c r="R1925" s="37" t="str">
        <f t="shared" si="5"/>
        <v/>
      </c>
      <c r="S1925" s="32" t="str">
        <f t="shared" si="6"/>
        <v/>
      </c>
      <c r="T1925" s="37" t="str">
        <f t="shared" si="7"/>
        <v/>
      </c>
      <c r="U1925" s="37" t="str">
        <f t="array" ref="U1925">IF($F1925="","",IFERROR(INDEX(Config!$F:$F,MATCH($F1925,Config!$D:$D,0)),0))</f>
        <v/>
      </c>
    </row>
    <row r="1926" ht="15.0" customHeight="1">
      <c r="A1926" s="34"/>
      <c r="B1926" s="35"/>
      <c r="C1926" s="15"/>
      <c r="D1926" s="15"/>
      <c r="E1926" s="15"/>
      <c r="F1926" s="15"/>
      <c r="G1926" s="36" t="str">
        <f t="array" ref="G1926">IF($F1926="","",IFERROR(INDEX(Config!$E:$E,MATCH($F1926,Config!$D:$D,0)),0))</f>
        <v/>
      </c>
      <c r="H1926" s="16"/>
      <c r="I1926" s="36" t="str">
        <f t="shared" si="1"/>
        <v/>
      </c>
      <c r="J1926" s="16"/>
      <c r="K1926" s="15"/>
      <c r="L1926" s="15"/>
      <c r="M1926" s="36" t="str">
        <f t="array" ref="M1926">IF($A1926="","",IF($L1926="Atendido",IFERROR($I1926*INDEX(Config!$B:$B,MATCH($C1926,Config!$A:$A,0)),0),0))</f>
        <v/>
      </c>
      <c r="N1926" s="36" t="str">
        <f t="shared" si="2"/>
        <v/>
      </c>
      <c r="O1926" s="36" t="str">
        <f t="shared" si="3"/>
        <v/>
      </c>
      <c r="P1926" s="15"/>
      <c r="Q1926" s="37" t="str">
        <f t="shared" si="4"/>
        <v/>
      </c>
      <c r="R1926" s="37" t="str">
        <f t="shared" si="5"/>
        <v/>
      </c>
      <c r="S1926" s="32" t="str">
        <f t="shared" si="6"/>
        <v/>
      </c>
      <c r="T1926" s="37" t="str">
        <f t="shared" si="7"/>
        <v/>
      </c>
      <c r="U1926" s="37" t="str">
        <f t="array" ref="U1926">IF($F1926="","",IFERROR(INDEX(Config!$F:$F,MATCH($F1926,Config!$D:$D,0)),0))</f>
        <v/>
      </c>
    </row>
    <row r="1927" ht="15.0" customHeight="1">
      <c r="A1927" s="34"/>
      <c r="B1927" s="35"/>
      <c r="C1927" s="15"/>
      <c r="D1927" s="15"/>
      <c r="E1927" s="15"/>
      <c r="F1927" s="15"/>
      <c r="G1927" s="36" t="str">
        <f t="array" ref="G1927">IF($F1927="","",IFERROR(INDEX(Config!$E:$E,MATCH($F1927,Config!$D:$D,0)),0))</f>
        <v/>
      </c>
      <c r="H1927" s="16"/>
      <c r="I1927" s="36" t="str">
        <f t="shared" si="1"/>
        <v/>
      </c>
      <c r="J1927" s="16"/>
      <c r="K1927" s="15"/>
      <c r="L1927" s="15"/>
      <c r="M1927" s="36" t="str">
        <f t="array" ref="M1927">IF($A1927="","",IF($L1927="Atendido",IFERROR($I1927*INDEX(Config!$B:$B,MATCH($C1927,Config!$A:$A,0)),0),0))</f>
        <v/>
      </c>
      <c r="N1927" s="36" t="str">
        <f t="shared" si="2"/>
        <v/>
      </c>
      <c r="O1927" s="36" t="str">
        <f t="shared" si="3"/>
        <v/>
      </c>
      <c r="P1927" s="15"/>
      <c r="Q1927" s="37" t="str">
        <f t="shared" si="4"/>
        <v/>
      </c>
      <c r="R1927" s="37" t="str">
        <f t="shared" si="5"/>
        <v/>
      </c>
      <c r="S1927" s="32" t="str">
        <f t="shared" si="6"/>
        <v/>
      </c>
      <c r="T1927" s="37" t="str">
        <f t="shared" si="7"/>
        <v/>
      </c>
      <c r="U1927" s="37" t="str">
        <f t="array" ref="U1927">IF($F1927="","",IFERROR(INDEX(Config!$F:$F,MATCH($F1927,Config!$D:$D,0)),0))</f>
        <v/>
      </c>
    </row>
    <row r="1928" ht="15.0" customHeight="1">
      <c r="A1928" s="34"/>
      <c r="B1928" s="35"/>
      <c r="C1928" s="15"/>
      <c r="D1928" s="15"/>
      <c r="E1928" s="15"/>
      <c r="F1928" s="15"/>
      <c r="G1928" s="36" t="str">
        <f t="array" ref="G1928">IF($F1928="","",IFERROR(INDEX(Config!$E:$E,MATCH($F1928,Config!$D:$D,0)),0))</f>
        <v/>
      </c>
      <c r="H1928" s="16"/>
      <c r="I1928" s="36" t="str">
        <f t="shared" si="1"/>
        <v/>
      </c>
      <c r="J1928" s="16"/>
      <c r="K1928" s="15"/>
      <c r="L1928" s="15"/>
      <c r="M1928" s="36" t="str">
        <f t="array" ref="M1928">IF($A1928="","",IF($L1928="Atendido",IFERROR($I1928*INDEX(Config!$B:$B,MATCH($C1928,Config!$A:$A,0)),0),0))</f>
        <v/>
      </c>
      <c r="N1928" s="36" t="str">
        <f t="shared" si="2"/>
        <v/>
      </c>
      <c r="O1928" s="36" t="str">
        <f t="shared" si="3"/>
        <v/>
      </c>
      <c r="P1928" s="15"/>
      <c r="Q1928" s="37" t="str">
        <f t="shared" si="4"/>
        <v/>
      </c>
      <c r="R1928" s="37" t="str">
        <f t="shared" si="5"/>
        <v/>
      </c>
      <c r="S1928" s="32" t="str">
        <f t="shared" si="6"/>
        <v/>
      </c>
      <c r="T1928" s="37" t="str">
        <f t="shared" si="7"/>
        <v/>
      </c>
      <c r="U1928" s="37" t="str">
        <f t="array" ref="U1928">IF($F1928="","",IFERROR(INDEX(Config!$F:$F,MATCH($F1928,Config!$D:$D,0)),0))</f>
        <v/>
      </c>
    </row>
    <row r="1929" ht="15.0" customHeight="1">
      <c r="A1929" s="34"/>
      <c r="B1929" s="35"/>
      <c r="C1929" s="15"/>
      <c r="D1929" s="15"/>
      <c r="E1929" s="15"/>
      <c r="F1929" s="15"/>
      <c r="G1929" s="36" t="str">
        <f t="array" ref="G1929">IF($F1929="","",IFERROR(INDEX(Config!$E:$E,MATCH($F1929,Config!$D:$D,0)),0))</f>
        <v/>
      </c>
      <c r="H1929" s="16"/>
      <c r="I1929" s="36" t="str">
        <f t="shared" si="1"/>
        <v/>
      </c>
      <c r="J1929" s="16"/>
      <c r="K1929" s="15"/>
      <c r="L1929" s="15"/>
      <c r="M1929" s="36" t="str">
        <f t="array" ref="M1929">IF($A1929="","",IF($L1929="Atendido",IFERROR($I1929*INDEX(Config!$B:$B,MATCH($C1929,Config!$A:$A,0)),0),0))</f>
        <v/>
      </c>
      <c r="N1929" s="36" t="str">
        <f t="shared" si="2"/>
        <v/>
      </c>
      <c r="O1929" s="36" t="str">
        <f t="shared" si="3"/>
        <v/>
      </c>
      <c r="P1929" s="15"/>
      <c r="Q1929" s="37" t="str">
        <f t="shared" si="4"/>
        <v/>
      </c>
      <c r="R1929" s="37" t="str">
        <f t="shared" si="5"/>
        <v/>
      </c>
      <c r="S1929" s="32" t="str">
        <f t="shared" si="6"/>
        <v/>
      </c>
      <c r="T1929" s="37" t="str">
        <f t="shared" si="7"/>
        <v/>
      </c>
      <c r="U1929" s="37" t="str">
        <f t="array" ref="U1929">IF($F1929="","",IFERROR(INDEX(Config!$F:$F,MATCH($F1929,Config!$D:$D,0)),0))</f>
        <v/>
      </c>
    </row>
    <row r="1930" ht="15.0" customHeight="1">
      <c r="A1930" s="34"/>
      <c r="B1930" s="35"/>
      <c r="C1930" s="15"/>
      <c r="D1930" s="15"/>
      <c r="E1930" s="15"/>
      <c r="F1930" s="15"/>
      <c r="G1930" s="36" t="str">
        <f t="array" ref="G1930">IF($F1930="","",IFERROR(INDEX(Config!$E:$E,MATCH($F1930,Config!$D:$D,0)),0))</f>
        <v/>
      </c>
      <c r="H1930" s="16"/>
      <c r="I1930" s="36" t="str">
        <f t="shared" si="1"/>
        <v/>
      </c>
      <c r="J1930" s="16"/>
      <c r="K1930" s="15"/>
      <c r="L1930" s="15"/>
      <c r="M1930" s="36" t="str">
        <f t="array" ref="M1930">IF($A1930="","",IF($L1930="Atendido",IFERROR($I1930*INDEX(Config!$B:$B,MATCH($C1930,Config!$A:$A,0)),0),0))</f>
        <v/>
      </c>
      <c r="N1930" s="36" t="str">
        <f t="shared" si="2"/>
        <v/>
      </c>
      <c r="O1930" s="36" t="str">
        <f t="shared" si="3"/>
        <v/>
      </c>
      <c r="P1930" s="15"/>
      <c r="Q1930" s="37" t="str">
        <f t="shared" si="4"/>
        <v/>
      </c>
      <c r="R1930" s="37" t="str">
        <f t="shared" si="5"/>
        <v/>
      </c>
      <c r="S1930" s="32" t="str">
        <f t="shared" si="6"/>
        <v/>
      </c>
      <c r="T1930" s="37" t="str">
        <f t="shared" si="7"/>
        <v/>
      </c>
      <c r="U1930" s="37" t="str">
        <f t="array" ref="U1930">IF($F1930="","",IFERROR(INDEX(Config!$F:$F,MATCH($F1930,Config!$D:$D,0)),0))</f>
        <v/>
      </c>
    </row>
    <row r="1931" ht="15.0" customHeight="1">
      <c r="A1931" s="34"/>
      <c r="B1931" s="35"/>
      <c r="C1931" s="15"/>
      <c r="D1931" s="15"/>
      <c r="E1931" s="15"/>
      <c r="F1931" s="15"/>
      <c r="G1931" s="36" t="str">
        <f t="array" ref="G1931">IF($F1931="","",IFERROR(INDEX(Config!$E:$E,MATCH($F1931,Config!$D:$D,0)),0))</f>
        <v/>
      </c>
      <c r="H1931" s="16"/>
      <c r="I1931" s="36" t="str">
        <f t="shared" si="1"/>
        <v/>
      </c>
      <c r="J1931" s="16"/>
      <c r="K1931" s="15"/>
      <c r="L1931" s="15"/>
      <c r="M1931" s="36" t="str">
        <f t="array" ref="M1931">IF($A1931="","",IF($L1931="Atendido",IFERROR($I1931*INDEX(Config!$B:$B,MATCH($C1931,Config!$A:$A,0)),0),0))</f>
        <v/>
      </c>
      <c r="N1931" s="36" t="str">
        <f t="shared" si="2"/>
        <v/>
      </c>
      <c r="O1931" s="36" t="str">
        <f t="shared" si="3"/>
        <v/>
      </c>
      <c r="P1931" s="15"/>
      <c r="Q1931" s="37" t="str">
        <f t="shared" si="4"/>
        <v/>
      </c>
      <c r="R1931" s="37" t="str">
        <f t="shared" si="5"/>
        <v/>
      </c>
      <c r="S1931" s="32" t="str">
        <f t="shared" si="6"/>
        <v/>
      </c>
      <c r="T1931" s="37" t="str">
        <f t="shared" si="7"/>
        <v/>
      </c>
      <c r="U1931" s="37" t="str">
        <f t="array" ref="U1931">IF($F1931="","",IFERROR(INDEX(Config!$F:$F,MATCH($F1931,Config!$D:$D,0)),0))</f>
        <v/>
      </c>
    </row>
    <row r="1932" ht="15.0" customHeight="1">
      <c r="A1932" s="34"/>
      <c r="B1932" s="35"/>
      <c r="C1932" s="15"/>
      <c r="D1932" s="15"/>
      <c r="E1932" s="15"/>
      <c r="F1932" s="15"/>
      <c r="G1932" s="36" t="str">
        <f t="array" ref="G1932">IF($F1932="","",IFERROR(INDEX(Config!$E:$E,MATCH($F1932,Config!$D:$D,0)),0))</f>
        <v/>
      </c>
      <c r="H1932" s="16"/>
      <c r="I1932" s="36" t="str">
        <f t="shared" si="1"/>
        <v/>
      </c>
      <c r="J1932" s="16"/>
      <c r="K1932" s="15"/>
      <c r="L1932" s="15"/>
      <c r="M1932" s="36" t="str">
        <f t="array" ref="M1932">IF($A1932="","",IF($L1932="Atendido",IFERROR($I1932*INDEX(Config!$B:$B,MATCH($C1932,Config!$A:$A,0)),0),0))</f>
        <v/>
      </c>
      <c r="N1932" s="36" t="str">
        <f t="shared" si="2"/>
        <v/>
      </c>
      <c r="O1932" s="36" t="str">
        <f t="shared" si="3"/>
        <v/>
      </c>
      <c r="P1932" s="15"/>
      <c r="Q1932" s="37" t="str">
        <f t="shared" si="4"/>
        <v/>
      </c>
      <c r="R1932" s="37" t="str">
        <f t="shared" si="5"/>
        <v/>
      </c>
      <c r="S1932" s="32" t="str">
        <f t="shared" si="6"/>
        <v/>
      </c>
      <c r="T1932" s="37" t="str">
        <f t="shared" si="7"/>
        <v/>
      </c>
      <c r="U1932" s="37" t="str">
        <f t="array" ref="U1932">IF($F1932="","",IFERROR(INDEX(Config!$F:$F,MATCH($F1932,Config!$D:$D,0)),0))</f>
        <v/>
      </c>
    </row>
    <row r="1933" ht="15.0" customHeight="1">
      <c r="A1933" s="34"/>
      <c r="B1933" s="35"/>
      <c r="C1933" s="15"/>
      <c r="D1933" s="15"/>
      <c r="E1933" s="15"/>
      <c r="F1933" s="15"/>
      <c r="G1933" s="36" t="str">
        <f t="array" ref="G1933">IF($F1933="","",IFERROR(INDEX(Config!$E:$E,MATCH($F1933,Config!$D:$D,0)),0))</f>
        <v/>
      </c>
      <c r="H1933" s="16"/>
      <c r="I1933" s="36" t="str">
        <f t="shared" si="1"/>
        <v/>
      </c>
      <c r="J1933" s="16"/>
      <c r="K1933" s="15"/>
      <c r="L1933" s="15"/>
      <c r="M1933" s="36" t="str">
        <f t="array" ref="M1933">IF($A1933="","",IF($L1933="Atendido",IFERROR($I1933*INDEX(Config!$B:$B,MATCH($C1933,Config!$A:$A,0)),0),0))</f>
        <v/>
      </c>
      <c r="N1933" s="36" t="str">
        <f t="shared" si="2"/>
        <v/>
      </c>
      <c r="O1933" s="36" t="str">
        <f t="shared" si="3"/>
        <v/>
      </c>
      <c r="P1933" s="15"/>
      <c r="Q1933" s="37" t="str">
        <f t="shared" si="4"/>
        <v/>
      </c>
      <c r="R1933" s="37" t="str">
        <f t="shared" si="5"/>
        <v/>
      </c>
      <c r="S1933" s="32" t="str">
        <f t="shared" si="6"/>
        <v/>
      </c>
      <c r="T1933" s="37" t="str">
        <f t="shared" si="7"/>
        <v/>
      </c>
      <c r="U1933" s="37" t="str">
        <f t="array" ref="U1933">IF($F1933="","",IFERROR(INDEX(Config!$F:$F,MATCH($F1933,Config!$D:$D,0)),0))</f>
        <v/>
      </c>
    </row>
    <row r="1934" ht="15.0" customHeight="1">
      <c r="A1934" s="34"/>
      <c r="B1934" s="35"/>
      <c r="C1934" s="15"/>
      <c r="D1934" s="15"/>
      <c r="E1934" s="15"/>
      <c r="F1934" s="15"/>
      <c r="G1934" s="36" t="str">
        <f t="array" ref="G1934">IF($F1934="","",IFERROR(INDEX(Config!$E:$E,MATCH($F1934,Config!$D:$D,0)),0))</f>
        <v/>
      </c>
      <c r="H1934" s="16"/>
      <c r="I1934" s="36" t="str">
        <f t="shared" si="1"/>
        <v/>
      </c>
      <c r="J1934" s="16"/>
      <c r="K1934" s="15"/>
      <c r="L1934" s="15"/>
      <c r="M1934" s="36" t="str">
        <f t="array" ref="M1934">IF($A1934="","",IF($L1934="Atendido",IFERROR($I1934*INDEX(Config!$B:$B,MATCH($C1934,Config!$A:$A,0)),0),0))</f>
        <v/>
      </c>
      <c r="N1934" s="36" t="str">
        <f t="shared" si="2"/>
        <v/>
      </c>
      <c r="O1934" s="36" t="str">
        <f t="shared" si="3"/>
        <v/>
      </c>
      <c r="P1934" s="15"/>
      <c r="Q1934" s="37" t="str">
        <f t="shared" si="4"/>
        <v/>
      </c>
      <c r="R1934" s="37" t="str">
        <f t="shared" si="5"/>
        <v/>
      </c>
      <c r="S1934" s="32" t="str">
        <f t="shared" si="6"/>
        <v/>
      </c>
      <c r="T1934" s="37" t="str">
        <f t="shared" si="7"/>
        <v/>
      </c>
      <c r="U1934" s="37" t="str">
        <f t="array" ref="U1934">IF($F1934="","",IFERROR(INDEX(Config!$F:$F,MATCH($F1934,Config!$D:$D,0)),0))</f>
        <v/>
      </c>
    </row>
    <row r="1935" ht="15.0" customHeight="1">
      <c r="A1935" s="34"/>
      <c r="B1935" s="35"/>
      <c r="C1935" s="15"/>
      <c r="D1935" s="15"/>
      <c r="E1935" s="15"/>
      <c r="F1935" s="15"/>
      <c r="G1935" s="36" t="str">
        <f t="array" ref="G1935">IF($F1935="","",IFERROR(INDEX(Config!$E:$E,MATCH($F1935,Config!$D:$D,0)),0))</f>
        <v/>
      </c>
      <c r="H1935" s="16"/>
      <c r="I1935" s="36" t="str">
        <f t="shared" si="1"/>
        <v/>
      </c>
      <c r="J1935" s="16"/>
      <c r="K1935" s="15"/>
      <c r="L1935" s="15"/>
      <c r="M1935" s="36" t="str">
        <f t="array" ref="M1935">IF($A1935="","",IF($L1935="Atendido",IFERROR($I1935*INDEX(Config!$B:$B,MATCH($C1935,Config!$A:$A,0)),0),0))</f>
        <v/>
      </c>
      <c r="N1935" s="36" t="str">
        <f t="shared" si="2"/>
        <v/>
      </c>
      <c r="O1935" s="36" t="str">
        <f t="shared" si="3"/>
        <v/>
      </c>
      <c r="P1935" s="15"/>
      <c r="Q1935" s="37" t="str">
        <f t="shared" si="4"/>
        <v/>
      </c>
      <c r="R1935" s="37" t="str">
        <f t="shared" si="5"/>
        <v/>
      </c>
      <c r="S1935" s="32" t="str">
        <f t="shared" si="6"/>
        <v/>
      </c>
      <c r="T1935" s="37" t="str">
        <f t="shared" si="7"/>
        <v/>
      </c>
      <c r="U1935" s="37" t="str">
        <f t="array" ref="U1935">IF($F1935="","",IFERROR(INDEX(Config!$F:$F,MATCH($F1935,Config!$D:$D,0)),0))</f>
        <v/>
      </c>
    </row>
    <row r="1936" ht="15.0" customHeight="1">
      <c r="A1936" s="34"/>
      <c r="B1936" s="35"/>
      <c r="C1936" s="15"/>
      <c r="D1936" s="15"/>
      <c r="E1936" s="15"/>
      <c r="F1936" s="15"/>
      <c r="G1936" s="36" t="str">
        <f t="array" ref="G1936">IF($F1936="","",IFERROR(INDEX(Config!$E:$E,MATCH($F1936,Config!$D:$D,0)),0))</f>
        <v/>
      </c>
      <c r="H1936" s="16"/>
      <c r="I1936" s="36" t="str">
        <f t="shared" si="1"/>
        <v/>
      </c>
      <c r="J1936" s="16"/>
      <c r="K1936" s="15"/>
      <c r="L1936" s="15"/>
      <c r="M1936" s="36" t="str">
        <f t="array" ref="M1936">IF($A1936="","",IF($L1936="Atendido",IFERROR($I1936*INDEX(Config!$B:$B,MATCH($C1936,Config!$A:$A,0)),0),0))</f>
        <v/>
      </c>
      <c r="N1936" s="36" t="str">
        <f t="shared" si="2"/>
        <v/>
      </c>
      <c r="O1936" s="36" t="str">
        <f t="shared" si="3"/>
        <v/>
      </c>
      <c r="P1936" s="15"/>
      <c r="Q1936" s="37" t="str">
        <f t="shared" si="4"/>
        <v/>
      </c>
      <c r="R1936" s="37" t="str">
        <f t="shared" si="5"/>
        <v/>
      </c>
      <c r="S1936" s="32" t="str">
        <f t="shared" si="6"/>
        <v/>
      </c>
      <c r="T1936" s="37" t="str">
        <f t="shared" si="7"/>
        <v/>
      </c>
      <c r="U1936" s="37" t="str">
        <f t="array" ref="U1936">IF($F1936="","",IFERROR(INDEX(Config!$F:$F,MATCH($F1936,Config!$D:$D,0)),0))</f>
        <v/>
      </c>
    </row>
    <row r="1937" ht="15.0" customHeight="1">
      <c r="A1937" s="34"/>
      <c r="B1937" s="35"/>
      <c r="C1937" s="15"/>
      <c r="D1937" s="15"/>
      <c r="E1937" s="15"/>
      <c r="F1937" s="15"/>
      <c r="G1937" s="36" t="str">
        <f t="array" ref="G1937">IF($F1937="","",IFERROR(INDEX(Config!$E:$E,MATCH($F1937,Config!$D:$D,0)),0))</f>
        <v/>
      </c>
      <c r="H1937" s="16"/>
      <c r="I1937" s="36" t="str">
        <f t="shared" si="1"/>
        <v/>
      </c>
      <c r="J1937" s="16"/>
      <c r="K1937" s="15"/>
      <c r="L1937" s="15"/>
      <c r="M1937" s="36" t="str">
        <f t="array" ref="M1937">IF($A1937="","",IF($L1937="Atendido",IFERROR($I1937*INDEX(Config!$B:$B,MATCH($C1937,Config!$A:$A,0)),0),0))</f>
        <v/>
      </c>
      <c r="N1937" s="36" t="str">
        <f t="shared" si="2"/>
        <v/>
      </c>
      <c r="O1937" s="36" t="str">
        <f t="shared" si="3"/>
        <v/>
      </c>
      <c r="P1937" s="15"/>
      <c r="Q1937" s="37" t="str">
        <f t="shared" si="4"/>
        <v/>
      </c>
      <c r="R1937" s="37" t="str">
        <f t="shared" si="5"/>
        <v/>
      </c>
      <c r="S1937" s="32" t="str">
        <f t="shared" si="6"/>
        <v/>
      </c>
      <c r="T1937" s="37" t="str">
        <f t="shared" si="7"/>
        <v/>
      </c>
      <c r="U1937" s="37" t="str">
        <f t="array" ref="U1937">IF($F1937="","",IFERROR(INDEX(Config!$F:$F,MATCH($F1937,Config!$D:$D,0)),0))</f>
        <v/>
      </c>
    </row>
    <row r="1938" ht="15.0" customHeight="1">
      <c r="A1938" s="34"/>
      <c r="B1938" s="35"/>
      <c r="C1938" s="15"/>
      <c r="D1938" s="15"/>
      <c r="E1938" s="15"/>
      <c r="F1938" s="15"/>
      <c r="G1938" s="36" t="str">
        <f t="array" ref="G1938">IF($F1938="","",IFERROR(INDEX(Config!$E:$E,MATCH($F1938,Config!$D:$D,0)),0))</f>
        <v/>
      </c>
      <c r="H1938" s="16"/>
      <c r="I1938" s="36" t="str">
        <f t="shared" si="1"/>
        <v/>
      </c>
      <c r="J1938" s="16"/>
      <c r="K1938" s="15"/>
      <c r="L1938" s="15"/>
      <c r="M1938" s="36" t="str">
        <f t="array" ref="M1938">IF($A1938="","",IF($L1938="Atendido",IFERROR($I1938*INDEX(Config!$B:$B,MATCH($C1938,Config!$A:$A,0)),0),0))</f>
        <v/>
      </c>
      <c r="N1938" s="36" t="str">
        <f t="shared" si="2"/>
        <v/>
      </c>
      <c r="O1938" s="36" t="str">
        <f t="shared" si="3"/>
        <v/>
      </c>
      <c r="P1938" s="15"/>
      <c r="Q1938" s="37" t="str">
        <f t="shared" si="4"/>
        <v/>
      </c>
      <c r="R1938" s="37" t="str">
        <f t="shared" si="5"/>
        <v/>
      </c>
      <c r="S1938" s="32" t="str">
        <f t="shared" si="6"/>
        <v/>
      </c>
      <c r="T1938" s="37" t="str">
        <f t="shared" si="7"/>
        <v/>
      </c>
      <c r="U1938" s="37" t="str">
        <f t="array" ref="U1938">IF($F1938="","",IFERROR(INDEX(Config!$F:$F,MATCH($F1938,Config!$D:$D,0)),0))</f>
        <v/>
      </c>
    </row>
    <row r="1939" ht="15.0" customHeight="1">
      <c r="A1939" s="34"/>
      <c r="B1939" s="35"/>
      <c r="C1939" s="15"/>
      <c r="D1939" s="15"/>
      <c r="E1939" s="15"/>
      <c r="F1939" s="15"/>
      <c r="G1939" s="36" t="str">
        <f t="array" ref="G1939">IF($F1939="","",IFERROR(INDEX(Config!$E:$E,MATCH($F1939,Config!$D:$D,0)),0))</f>
        <v/>
      </c>
      <c r="H1939" s="16"/>
      <c r="I1939" s="36" t="str">
        <f t="shared" si="1"/>
        <v/>
      </c>
      <c r="J1939" s="16"/>
      <c r="K1939" s="15"/>
      <c r="L1939" s="15"/>
      <c r="M1939" s="36" t="str">
        <f t="array" ref="M1939">IF($A1939="","",IF($L1939="Atendido",IFERROR($I1939*INDEX(Config!$B:$B,MATCH($C1939,Config!$A:$A,0)),0),0))</f>
        <v/>
      </c>
      <c r="N1939" s="36" t="str">
        <f t="shared" si="2"/>
        <v/>
      </c>
      <c r="O1939" s="36" t="str">
        <f t="shared" si="3"/>
        <v/>
      </c>
      <c r="P1939" s="15"/>
      <c r="Q1939" s="37" t="str">
        <f t="shared" si="4"/>
        <v/>
      </c>
      <c r="R1939" s="37" t="str">
        <f t="shared" si="5"/>
        <v/>
      </c>
      <c r="S1939" s="32" t="str">
        <f t="shared" si="6"/>
        <v/>
      </c>
      <c r="T1939" s="37" t="str">
        <f t="shared" si="7"/>
        <v/>
      </c>
      <c r="U1939" s="37" t="str">
        <f t="array" ref="U1939">IF($F1939="","",IFERROR(INDEX(Config!$F:$F,MATCH($F1939,Config!$D:$D,0)),0))</f>
        <v/>
      </c>
    </row>
    <row r="1940" ht="15.0" customHeight="1">
      <c r="A1940" s="34"/>
      <c r="B1940" s="35"/>
      <c r="C1940" s="15"/>
      <c r="D1940" s="15"/>
      <c r="E1940" s="15"/>
      <c r="F1940" s="15"/>
      <c r="G1940" s="36" t="str">
        <f t="array" ref="G1940">IF($F1940="","",IFERROR(INDEX(Config!$E:$E,MATCH($F1940,Config!$D:$D,0)),0))</f>
        <v/>
      </c>
      <c r="H1940" s="16"/>
      <c r="I1940" s="36" t="str">
        <f t="shared" si="1"/>
        <v/>
      </c>
      <c r="J1940" s="16"/>
      <c r="K1940" s="15"/>
      <c r="L1940" s="15"/>
      <c r="M1940" s="36" t="str">
        <f t="array" ref="M1940">IF($A1940="","",IF($L1940="Atendido",IFERROR($I1940*INDEX(Config!$B:$B,MATCH($C1940,Config!$A:$A,0)),0),0))</f>
        <v/>
      </c>
      <c r="N1940" s="36" t="str">
        <f t="shared" si="2"/>
        <v/>
      </c>
      <c r="O1940" s="36" t="str">
        <f t="shared" si="3"/>
        <v/>
      </c>
      <c r="P1940" s="15"/>
      <c r="Q1940" s="37" t="str">
        <f t="shared" si="4"/>
        <v/>
      </c>
      <c r="R1940" s="37" t="str">
        <f t="shared" si="5"/>
        <v/>
      </c>
      <c r="S1940" s="32" t="str">
        <f t="shared" si="6"/>
        <v/>
      </c>
      <c r="T1940" s="37" t="str">
        <f t="shared" si="7"/>
        <v/>
      </c>
      <c r="U1940" s="37" t="str">
        <f t="array" ref="U1940">IF($F1940="","",IFERROR(INDEX(Config!$F:$F,MATCH($F1940,Config!$D:$D,0)),0))</f>
        <v/>
      </c>
    </row>
    <row r="1941" ht="15.0" customHeight="1">
      <c r="A1941" s="34"/>
      <c r="B1941" s="35"/>
      <c r="C1941" s="15"/>
      <c r="D1941" s="15"/>
      <c r="E1941" s="15"/>
      <c r="F1941" s="15"/>
      <c r="G1941" s="36" t="str">
        <f t="array" ref="G1941">IF($F1941="","",IFERROR(INDEX(Config!$E:$E,MATCH($F1941,Config!$D:$D,0)),0))</f>
        <v/>
      </c>
      <c r="H1941" s="16"/>
      <c r="I1941" s="36" t="str">
        <f t="shared" si="1"/>
        <v/>
      </c>
      <c r="J1941" s="16"/>
      <c r="K1941" s="15"/>
      <c r="L1941" s="15"/>
      <c r="M1941" s="36" t="str">
        <f t="array" ref="M1941">IF($A1941="","",IF($L1941="Atendido",IFERROR($I1941*INDEX(Config!$B:$B,MATCH($C1941,Config!$A:$A,0)),0),0))</f>
        <v/>
      </c>
      <c r="N1941" s="36" t="str">
        <f t="shared" si="2"/>
        <v/>
      </c>
      <c r="O1941" s="36" t="str">
        <f t="shared" si="3"/>
        <v/>
      </c>
      <c r="P1941" s="15"/>
      <c r="Q1941" s="37" t="str">
        <f t="shared" si="4"/>
        <v/>
      </c>
      <c r="R1941" s="37" t="str">
        <f t="shared" si="5"/>
        <v/>
      </c>
      <c r="S1941" s="32" t="str">
        <f t="shared" si="6"/>
        <v/>
      </c>
      <c r="T1941" s="37" t="str">
        <f t="shared" si="7"/>
        <v/>
      </c>
      <c r="U1941" s="37" t="str">
        <f t="array" ref="U1941">IF($F1941="","",IFERROR(INDEX(Config!$F:$F,MATCH($F1941,Config!$D:$D,0)),0))</f>
        <v/>
      </c>
    </row>
    <row r="1942" ht="15.0" customHeight="1">
      <c r="A1942" s="34"/>
      <c r="B1942" s="35"/>
      <c r="C1942" s="15"/>
      <c r="D1942" s="15"/>
      <c r="E1942" s="15"/>
      <c r="F1942" s="15"/>
      <c r="G1942" s="36" t="str">
        <f t="array" ref="G1942">IF($F1942="","",IFERROR(INDEX(Config!$E:$E,MATCH($F1942,Config!$D:$D,0)),0))</f>
        <v/>
      </c>
      <c r="H1942" s="16"/>
      <c r="I1942" s="36" t="str">
        <f t="shared" si="1"/>
        <v/>
      </c>
      <c r="J1942" s="16"/>
      <c r="K1942" s="15"/>
      <c r="L1942" s="15"/>
      <c r="M1942" s="36" t="str">
        <f t="array" ref="M1942">IF($A1942="","",IF($L1942="Atendido",IFERROR($I1942*INDEX(Config!$B:$B,MATCH($C1942,Config!$A:$A,0)),0),0))</f>
        <v/>
      </c>
      <c r="N1942" s="36" t="str">
        <f t="shared" si="2"/>
        <v/>
      </c>
      <c r="O1942" s="36" t="str">
        <f t="shared" si="3"/>
        <v/>
      </c>
      <c r="P1942" s="15"/>
      <c r="Q1942" s="37" t="str">
        <f t="shared" si="4"/>
        <v/>
      </c>
      <c r="R1942" s="37" t="str">
        <f t="shared" si="5"/>
        <v/>
      </c>
      <c r="S1942" s="32" t="str">
        <f t="shared" si="6"/>
        <v/>
      </c>
      <c r="T1942" s="37" t="str">
        <f t="shared" si="7"/>
        <v/>
      </c>
      <c r="U1942" s="37" t="str">
        <f t="array" ref="U1942">IF($F1942="","",IFERROR(INDEX(Config!$F:$F,MATCH($F1942,Config!$D:$D,0)),0))</f>
        <v/>
      </c>
    </row>
    <row r="1943" ht="15.0" customHeight="1">
      <c r="A1943" s="34"/>
      <c r="B1943" s="35"/>
      <c r="C1943" s="15"/>
      <c r="D1943" s="15"/>
      <c r="E1943" s="15"/>
      <c r="F1943" s="15"/>
      <c r="G1943" s="36" t="str">
        <f t="array" ref="G1943">IF($F1943="","",IFERROR(INDEX(Config!$E:$E,MATCH($F1943,Config!$D:$D,0)),0))</f>
        <v/>
      </c>
      <c r="H1943" s="16"/>
      <c r="I1943" s="36" t="str">
        <f t="shared" si="1"/>
        <v/>
      </c>
      <c r="J1943" s="16"/>
      <c r="K1943" s="15"/>
      <c r="L1943" s="15"/>
      <c r="M1943" s="36" t="str">
        <f t="array" ref="M1943">IF($A1943="","",IF($L1943="Atendido",IFERROR($I1943*INDEX(Config!$B:$B,MATCH($C1943,Config!$A:$A,0)),0),0))</f>
        <v/>
      </c>
      <c r="N1943" s="36" t="str">
        <f t="shared" si="2"/>
        <v/>
      </c>
      <c r="O1943" s="36" t="str">
        <f t="shared" si="3"/>
        <v/>
      </c>
      <c r="P1943" s="15"/>
      <c r="Q1943" s="37" t="str">
        <f t="shared" si="4"/>
        <v/>
      </c>
      <c r="R1943" s="37" t="str">
        <f t="shared" si="5"/>
        <v/>
      </c>
      <c r="S1943" s="32" t="str">
        <f t="shared" si="6"/>
        <v/>
      </c>
      <c r="T1943" s="37" t="str">
        <f t="shared" si="7"/>
        <v/>
      </c>
      <c r="U1943" s="37" t="str">
        <f t="array" ref="U1943">IF($F1943="","",IFERROR(INDEX(Config!$F:$F,MATCH($F1943,Config!$D:$D,0)),0))</f>
        <v/>
      </c>
    </row>
    <row r="1944" ht="15.0" customHeight="1">
      <c r="A1944" s="34"/>
      <c r="B1944" s="35"/>
      <c r="C1944" s="15"/>
      <c r="D1944" s="15"/>
      <c r="E1944" s="15"/>
      <c r="F1944" s="15"/>
      <c r="G1944" s="36" t="str">
        <f t="array" ref="G1944">IF($F1944="","",IFERROR(INDEX(Config!$E:$E,MATCH($F1944,Config!$D:$D,0)),0))</f>
        <v/>
      </c>
      <c r="H1944" s="16"/>
      <c r="I1944" s="36" t="str">
        <f t="shared" si="1"/>
        <v/>
      </c>
      <c r="J1944" s="16"/>
      <c r="K1944" s="15"/>
      <c r="L1944" s="15"/>
      <c r="M1944" s="36" t="str">
        <f t="array" ref="M1944">IF($A1944="","",IF($L1944="Atendido",IFERROR($I1944*INDEX(Config!$B:$B,MATCH($C1944,Config!$A:$A,0)),0),0))</f>
        <v/>
      </c>
      <c r="N1944" s="36" t="str">
        <f t="shared" si="2"/>
        <v/>
      </c>
      <c r="O1944" s="36" t="str">
        <f t="shared" si="3"/>
        <v/>
      </c>
      <c r="P1944" s="15"/>
      <c r="Q1944" s="37" t="str">
        <f t="shared" si="4"/>
        <v/>
      </c>
      <c r="R1944" s="37" t="str">
        <f t="shared" si="5"/>
        <v/>
      </c>
      <c r="S1944" s="32" t="str">
        <f t="shared" si="6"/>
        <v/>
      </c>
      <c r="T1944" s="37" t="str">
        <f t="shared" si="7"/>
        <v/>
      </c>
      <c r="U1944" s="37" t="str">
        <f t="array" ref="U1944">IF($F1944="","",IFERROR(INDEX(Config!$F:$F,MATCH($F1944,Config!$D:$D,0)),0))</f>
        <v/>
      </c>
    </row>
    <row r="1945" ht="15.0" customHeight="1">
      <c r="A1945" s="34"/>
      <c r="B1945" s="35"/>
      <c r="C1945" s="15"/>
      <c r="D1945" s="15"/>
      <c r="E1945" s="15"/>
      <c r="F1945" s="15"/>
      <c r="G1945" s="36" t="str">
        <f t="array" ref="G1945">IF($F1945="","",IFERROR(INDEX(Config!$E:$E,MATCH($F1945,Config!$D:$D,0)),0))</f>
        <v/>
      </c>
      <c r="H1945" s="16"/>
      <c r="I1945" s="36" t="str">
        <f t="shared" si="1"/>
        <v/>
      </c>
      <c r="J1945" s="16"/>
      <c r="K1945" s="15"/>
      <c r="L1945" s="15"/>
      <c r="M1945" s="36" t="str">
        <f t="array" ref="M1945">IF($A1945="","",IF($L1945="Atendido",IFERROR($I1945*INDEX(Config!$B:$B,MATCH($C1945,Config!$A:$A,0)),0),0))</f>
        <v/>
      </c>
      <c r="N1945" s="36" t="str">
        <f t="shared" si="2"/>
        <v/>
      </c>
      <c r="O1945" s="36" t="str">
        <f t="shared" si="3"/>
        <v/>
      </c>
      <c r="P1945" s="15"/>
      <c r="Q1945" s="37" t="str">
        <f t="shared" si="4"/>
        <v/>
      </c>
      <c r="R1945" s="37" t="str">
        <f t="shared" si="5"/>
        <v/>
      </c>
      <c r="S1945" s="32" t="str">
        <f t="shared" si="6"/>
        <v/>
      </c>
      <c r="T1945" s="37" t="str">
        <f t="shared" si="7"/>
        <v/>
      </c>
      <c r="U1945" s="37" t="str">
        <f t="array" ref="U1945">IF($F1945="","",IFERROR(INDEX(Config!$F:$F,MATCH($F1945,Config!$D:$D,0)),0))</f>
        <v/>
      </c>
    </row>
    <row r="1946" ht="15.0" customHeight="1">
      <c r="A1946" s="34"/>
      <c r="B1946" s="35"/>
      <c r="C1946" s="15"/>
      <c r="D1946" s="15"/>
      <c r="E1946" s="15"/>
      <c r="F1946" s="15"/>
      <c r="G1946" s="36" t="str">
        <f t="array" ref="G1946">IF($F1946="","",IFERROR(INDEX(Config!$E:$E,MATCH($F1946,Config!$D:$D,0)),0))</f>
        <v/>
      </c>
      <c r="H1946" s="16"/>
      <c r="I1946" s="36" t="str">
        <f t="shared" si="1"/>
        <v/>
      </c>
      <c r="J1946" s="16"/>
      <c r="K1946" s="15"/>
      <c r="L1946" s="15"/>
      <c r="M1946" s="36" t="str">
        <f t="array" ref="M1946">IF($A1946="","",IF($L1946="Atendido",IFERROR($I1946*INDEX(Config!$B:$B,MATCH($C1946,Config!$A:$A,0)),0),0))</f>
        <v/>
      </c>
      <c r="N1946" s="36" t="str">
        <f t="shared" si="2"/>
        <v/>
      </c>
      <c r="O1946" s="36" t="str">
        <f t="shared" si="3"/>
        <v/>
      </c>
      <c r="P1946" s="15"/>
      <c r="Q1946" s="37" t="str">
        <f t="shared" si="4"/>
        <v/>
      </c>
      <c r="R1946" s="37" t="str">
        <f t="shared" si="5"/>
        <v/>
      </c>
      <c r="S1946" s="32" t="str">
        <f t="shared" si="6"/>
        <v/>
      </c>
      <c r="T1946" s="37" t="str">
        <f t="shared" si="7"/>
        <v/>
      </c>
      <c r="U1946" s="37" t="str">
        <f t="array" ref="U1946">IF($F1946="","",IFERROR(INDEX(Config!$F:$F,MATCH($F1946,Config!$D:$D,0)),0))</f>
        <v/>
      </c>
    </row>
    <row r="1947" ht="15.0" customHeight="1">
      <c r="A1947" s="34"/>
      <c r="B1947" s="35"/>
      <c r="C1947" s="15"/>
      <c r="D1947" s="15"/>
      <c r="E1947" s="15"/>
      <c r="F1947" s="15"/>
      <c r="G1947" s="36" t="str">
        <f t="array" ref="G1947">IF($F1947="","",IFERROR(INDEX(Config!$E:$E,MATCH($F1947,Config!$D:$D,0)),0))</f>
        <v/>
      </c>
      <c r="H1947" s="16"/>
      <c r="I1947" s="36" t="str">
        <f t="shared" si="1"/>
        <v/>
      </c>
      <c r="J1947" s="16"/>
      <c r="K1947" s="15"/>
      <c r="L1947" s="15"/>
      <c r="M1947" s="36" t="str">
        <f t="array" ref="M1947">IF($A1947="","",IF($L1947="Atendido",IFERROR($I1947*INDEX(Config!$B:$B,MATCH($C1947,Config!$A:$A,0)),0),0))</f>
        <v/>
      </c>
      <c r="N1947" s="36" t="str">
        <f t="shared" si="2"/>
        <v/>
      </c>
      <c r="O1947" s="36" t="str">
        <f t="shared" si="3"/>
        <v/>
      </c>
      <c r="P1947" s="15"/>
      <c r="Q1947" s="37" t="str">
        <f t="shared" si="4"/>
        <v/>
      </c>
      <c r="R1947" s="37" t="str">
        <f t="shared" si="5"/>
        <v/>
      </c>
      <c r="S1947" s="32" t="str">
        <f t="shared" si="6"/>
        <v/>
      </c>
      <c r="T1947" s="37" t="str">
        <f t="shared" si="7"/>
        <v/>
      </c>
      <c r="U1947" s="37" t="str">
        <f t="array" ref="U1947">IF($F1947="","",IFERROR(INDEX(Config!$F:$F,MATCH($F1947,Config!$D:$D,0)),0))</f>
        <v/>
      </c>
    </row>
    <row r="1948" ht="15.0" customHeight="1">
      <c r="A1948" s="34"/>
      <c r="B1948" s="35"/>
      <c r="C1948" s="15"/>
      <c r="D1948" s="15"/>
      <c r="E1948" s="15"/>
      <c r="F1948" s="15"/>
      <c r="G1948" s="36" t="str">
        <f t="array" ref="G1948">IF($F1948="","",IFERROR(INDEX(Config!$E:$E,MATCH($F1948,Config!$D:$D,0)),0))</f>
        <v/>
      </c>
      <c r="H1948" s="16"/>
      <c r="I1948" s="36" t="str">
        <f t="shared" si="1"/>
        <v/>
      </c>
      <c r="J1948" s="16"/>
      <c r="K1948" s="15"/>
      <c r="L1948" s="15"/>
      <c r="M1948" s="36" t="str">
        <f t="array" ref="M1948">IF($A1948="","",IF($L1948="Atendido",IFERROR($I1948*INDEX(Config!$B:$B,MATCH($C1948,Config!$A:$A,0)),0),0))</f>
        <v/>
      </c>
      <c r="N1948" s="36" t="str">
        <f t="shared" si="2"/>
        <v/>
      </c>
      <c r="O1948" s="36" t="str">
        <f t="shared" si="3"/>
        <v/>
      </c>
      <c r="P1948" s="15"/>
      <c r="Q1948" s="37" t="str">
        <f t="shared" si="4"/>
        <v/>
      </c>
      <c r="R1948" s="37" t="str">
        <f t="shared" si="5"/>
        <v/>
      </c>
      <c r="S1948" s="32" t="str">
        <f t="shared" si="6"/>
        <v/>
      </c>
      <c r="T1948" s="37" t="str">
        <f t="shared" si="7"/>
        <v/>
      </c>
      <c r="U1948" s="37" t="str">
        <f t="array" ref="U1948">IF($F1948="","",IFERROR(INDEX(Config!$F:$F,MATCH($F1948,Config!$D:$D,0)),0))</f>
        <v/>
      </c>
    </row>
    <row r="1949" ht="15.0" customHeight="1">
      <c r="A1949" s="34"/>
      <c r="B1949" s="35"/>
      <c r="C1949" s="15"/>
      <c r="D1949" s="15"/>
      <c r="E1949" s="15"/>
      <c r="F1949" s="15"/>
      <c r="G1949" s="36" t="str">
        <f t="array" ref="G1949">IF($F1949="","",IFERROR(INDEX(Config!$E:$E,MATCH($F1949,Config!$D:$D,0)),0))</f>
        <v/>
      </c>
      <c r="H1949" s="16"/>
      <c r="I1949" s="36" t="str">
        <f t="shared" si="1"/>
        <v/>
      </c>
      <c r="J1949" s="16"/>
      <c r="K1949" s="15"/>
      <c r="L1949" s="15"/>
      <c r="M1949" s="36" t="str">
        <f t="array" ref="M1949">IF($A1949="","",IF($L1949="Atendido",IFERROR($I1949*INDEX(Config!$B:$B,MATCH($C1949,Config!$A:$A,0)),0),0))</f>
        <v/>
      </c>
      <c r="N1949" s="36" t="str">
        <f t="shared" si="2"/>
        <v/>
      </c>
      <c r="O1949" s="36" t="str">
        <f t="shared" si="3"/>
        <v/>
      </c>
      <c r="P1949" s="15"/>
      <c r="Q1949" s="37" t="str">
        <f t="shared" si="4"/>
        <v/>
      </c>
      <c r="R1949" s="37" t="str">
        <f t="shared" si="5"/>
        <v/>
      </c>
      <c r="S1949" s="32" t="str">
        <f t="shared" si="6"/>
        <v/>
      </c>
      <c r="T1949" s="37" t="str">
        <f t="shared" si="7"/>
        <v/>
      </c>
      <c r="U1949" s="37" t="str">
        <f t="array" ref="U1949">IF($F1949="","",IFERROR(INDEX(Config!$F:$F,MATCH($F1949,Config!$D:$D,0)),0))</f>
        <v/>
      </c>
    </row>
    <row r="1950" ht="15.0" customHeight="1">
      <c r="A1950" s="34"/>
      <c r="B1950" s="35"/>
      <c r="C1950" s="15"/>
      <c r="D1950" s="15"/>
      <c r="E1950" s="15"/>
      <c r="F1950" s="15"/>
      <c r="G1950" s="36" t="str">
        <f t="array" ref="G1950">IF($F1950="","",IFERROR(INDEX(Config!$E:$E,MATCH($F1950,Config!$D:$D,0)),0))</f>
        <v/>
      </c>
      <c r="H1950" s="16"/>
      <c r="I1950" s="36" t="str">
        <f t="shared" si="1"/>
        <v/>
      </c>
      <c r="J1950" s="16"/>
      <c r="K1950" s="15"/>
      <c r="L1950" s="15"/>
      <c r="M1950" s="36" t="str">
        <f t="array" ref="M1950">IF($A1950="","",IF($L1950="Atendido",IFERROR($I1950*INDEX(Config!$B:$B,MATCH($C1950,Config!$A:$A,0)),0),0))</f>
        <v/>
      </c>
      <c r="N1950" s="36" t="str">
        <f t="shared" si="2"/>
        <v/>
      </c>
      <c r="O1950" s="36" t="str">
        <f t="shared" si="3"/>
        <v/>
      </c>
      <c r="P1950" s="15"/>
      <c r="Q1950" s="37" t="str">
        <f t="shared" si="4"/>
        <v/>
      </c>
      <c r="R1950" s="37" t="str">
        <f t="shared" si="5"/>
        <v/>
      </c>
      <c r="S1950" s="32" t="str">
        <f t="shared" si="6"/>
        <v/>
      </c>
      <c r="T1950" s="37" t="str">
        <f t="shared" si="7"/>
        <v/>
      </c>
      <c r="U1950" s="37" t="str">
        <f t="array" ref="U1950">IF($F1950="","",IFERROR(INDEX(Config!$F:$F,MATCH($F1950,Config!$D:$D,0)),0))</f>
        <v/>
      </c>
    </row>
    <row r="1951" ht="15.0" customHeight="1">
      <c r="A1951" s="34"/>
      <c r="B1951" s="35"/>
      <c r="C1951" s="15"/>
      <c r="D1951" s="15"/>
      <c r="E1951" s="15"/>
      <c r="F1951" s="15"/>
      <c r="G1951" s="36" t="str">
        <f t="array" ref="G1951">IF($F1951="","",IFERROR(INDEX(Config!$E:$E,MATCH($F1951,Config!$D:$D,0)),0))</f>
        <v/>
      </c>
      <c r="H1951" s="16"/>
      <c r="I1951" s="36" t="str">
        <f t="shared" si="1"/>
        <v/>
      </c>
      <c r="J1951" s="16"/>
      <c r="K1951" s="15"/>
      <c r="L1951" s="15"/>
      <c r="M1951" s="36" t="str">
        <f t="array" ref="M1951">IF($A1951="","",IF($L1951="Atendido",IFERROR($I1951*INDEX(Config!$B:$B,MATCH($C1951,Config!$A:$A,0)),0),0))</f>
        <v/>
      </c>
      <c r="N1951" s="36" t="str">
        <f t="shared" si="2"/>
        <v/>
      </c>
      <c r="O1951" s="36" t="str">
        <f t="shared" si="3"/>
        <v/>
      </c>
      <c r="P1951" s="15"/>
      <c r="Q1951" s="37" t="str">
        <f t="shared" si="4"/>
        <v/>
      </c>
      <c r="R1951" s="37" t="str">
        <f t="shared" si="5"/>
        <v/>
      </c>
      <c r="S1951" s="32" t="str">
        <f t="shared" si="6"/>
        <v/>
      </c>
      <c r="T1951" s="37" t="str">
        <f t="shared" si="7"/>
        <v/>
      </c>
      <c r="U1951" s="37" t="str">
        <f t="array" ref="U1951">IF($F1951="","",IFERROR(INDEX(Config!$F:$F,MATCH($F1951,Config!$D:$D,0)),0))</f>
        <v/>
      </c>
    </row>
    <row r="1952" ht="15.0" customHeight="1">
      <c r="A1952" s="34"/>
      <c r="B1952" s="35"/>
      <c r="C1952" s="15"/>
      <c r="D1952" s="15"/>
      <c r="E1952" s="15"/>
      <c r="F1952" s="15"/>
      <c r="G1952" s="36" t="str">
        <f t="array" ref="G1952">IF($F1952="","",IFERROR(INDEX(Config!$E:$E,MATCH($F1952,Config!$D:$D,0)),0))</f>
        <v/>
      </c>
      <c r="H1952" s="16"/>
      <c r="I1952" s="36" t="str">
        <f t="shared" si="1"/>
        <v/>
      </c>
      <c r="J1952" s="16"/>
      <c r="K1952" s="15"/>
      <c r="L1952" s="15"/>
      <c r="M1952" s="36" t="str">
        <f t="array" ref="M1952">IF($A1952="","",IF($L1952="Atendido",IFERROR($I1952*INDEX(Config!$B:$B,MATCH($C1952,Config!$A:$A,0)),0),0))</f>
        <v/>
      </c>
      <c r="N1952" s="36" t="str">
        <f t="shared" si="2"/>
        <v/>
      </c>
      <c r="O1952" s="36" t="str">
        <f t="shared" si="3"/>
        <v/>
      </c>
      <c r="P1952" s="15"/>
      <c r="Q1952" s="37" t="str">
        <f t="shared" si="4"/>
        <v/>
      </c>
      <c r="R1952" s="37" t="str">
        <f t="shared" si="5"/>
        <v/>
      </c>
      <c r="S1952" s="32" t="str">
        <f t="shared" si="6"/>
        <v/>
      </c>
      <c r="T1952" s="37" t="str">
        <f t="shared" si="7"/>
        <v/>
      </c>
      <c r="U1952" s="37" t="str">
        <f t="array" ref="U1952">IF($F1952="","",IFERROR(INDEX(Config!$F:$F,MATCH($F1952,Config!$D:$D,0)),0))</f>
        <v/>
      </c>
    </row>
    <row r="1953" ht="15.0" customHeight="1">
      <c r="A1953" s="34"/>
      <c r="B1953" s="35"/>
      <c r="C1953" s="15"/>
      <c r="D1953" s="15"/>
      <c r="E1953" s="15"/>
      <c r="F1953" s="15"/>
      <c r="G1953" s="36" t="str">
        <f t="array" ref="G1953">IF($F1953="","",IFERROR(INDEX(Config!$E:$E,MATCH($F1953,Config!$D:$D,0)),0))</f>
        <v/>
      </c>
      <c r="H1953" s="16"/>
      <c r="I1953" s="36" t="str">
        <f t="shared" si="1"/>
        <v/>
      </c>
      <c r="J1953" s="16"/>
      <c r="K1953" s="15"/>
      <c r="L1953" s="15"/>
      <c r="M1953" s="36" t="str">
        <f t="array" ref="M1953">IF($A1953="","",IF($L1953="Atendido",IFERROR($I1953*INDEX(Config!$B:$B,MATCH($C1953,Config!$A:$A,0)),0),0))</f>
        <v/>
      </c>
      <c r="N1953" s="36" t="str">
        <f t="shared" si="2"/>
        <v/>
      </c>
      <c r="O1953" s="36" t="str">
        <f t="shared" si="3"/>
        <v/>
      </c>
      <c r="P1953" s="15"/>
      <c r="Q1953" s="37" t="str">
        <f t="shared" si="4"/>
        <v/>
      </c>
      <c r="R1953" s="37" t="str">
        <f t="shared" si="5"/>
        <v/>
      </c>
      <c r="S1953" s="32" t="str">
        <f t="shared" si="6"/>
        <v/>
      </c>
      <c r="T1953" s="37" t="str">
        <f t="shared" si="7"/>
        <v/>
      </c>
      <c r="U1953" s="37" t="str">
        <f t="array" ref="U1953">IF($F1953="","",IFERROR(INDEX(Config!$F:$F,MATCH($F1953,Config!$D:$D,0)),0))</f>
        <v/>
      </c>
    </row>
    <row r="1954" ht="15.0" customHeight="1">
      <c r="A1954" s="34"/>
      <c r="B1954" s="35"/>
      <c r="C1954" s="15"/>
      <c r="D1954" s="15"/>
      <c r="E1954" s="15"/>
      <c r="F1954" s="15"/>
      <c r="G1954" s="36" t="str">
        <f t="array" ref="G1954">IF($F1954="","",IFERROR(INDEX(Config!$E:$E,MATCH($F1954,Config!$D:$D,0)),0))</f>
        <v/>
      </c>
      <c r="H1954" s="16"/>
      <c r="I1954" s="36" t="str">
        <f t="shared" si="1"/>
        <v/>
      </c>
      <c r="J1954" s="16"/>
      <c r="K1954" s="15"/>
      <c r="L1954" s="15"/>
      <c r="M1954" s="36" t="str">
        <f t="array" ref="M1954">IF($A1954="","",IF($L1954="Atendido",IFERROR($I1954*INDEX(Config!$B:$B,MATCH($C1954,Config!$A:$A,0)),0),0))</f>
        <v/>
      </c>
      <c r="N1954" s="36" t="str">
        <f t="shared" si="2"/>
        <v/>
      </c>
      <c r="O1954" s="36" t="str">
        <f t="shared" si="3"/>
        <v/>
      </c>
      <c r="P1954" s="15"/>
      <c r="Q1954" s="37" t="str">
        <f t="shared" si="4"/>
        <v/>
      </c>
      <c r="R1954" s="37" t="str">
        <f t="shared" si="5"/>
        <v/>
      </c>
      <c r="S1954" s="32" t="str">
        <f t="shared" si="6"/>
        <v/>
      </c>
      <c r="T1954" s="37" t="str">
        <f t="shared" si="7"/>
        <v/>
      </c>
      <c r="U1954" s="37" t="str">
        <f t="array" ref="U1954">IF($F1954="","",IFERROR(INDEX(Config!$F:$F,MATCH($F1954,Config!$D:$D,0)),0))</f>
        <v/>
      </c>
    </row>
    <row r="1955" ht="15.0" customHeight="1">
      <c r="A1955" s="34"/>
      <c r="B1955" s="35"/>
      <c r="C1955" s="15"/>
      <c r="D1955" s="15"/>
      <c r="E1955" s="15"/>
      <c r="F1955" s="15"/>
      <c r="G1955" s="36" t="str">
        <f t="array" ref="G1955">IF($F1955="","",IFERROR(INDEX(Config!$E:$E,MATCH($F1955,Config!$D:$D,0)),0))</f>
        <v/>
      </c>
      <c r="H1955" s="16"/>
      <c r="I1955" s="36" t="str">
        <f t="shared" si="1"/>
        <v/>
      </c>
      <c r="J1955" s="16"/>
      <c r="K1955" s="15"/>
      <c r="L1955" s="15"/>
      <c r="M1955" s="36" t="str">
        <f t="array" ref="M1955">IF($A1955="","",IF($L1955="Atendido",IFERROR($I1955*INDEX(Config!$B:$B,MATCH($C1955,Config!$A:$A,0)),0),0))</f>
        <v/>
      </c>
      <c r="N1955" s="36" t="str">
        <f t="shared" si="2"/>
        <v/>
      </c>
      <c r="O1955" s="36" t="str">
        <f t="shared" si="3"/>
        <v/>
      </c>
      <c r="P1955" s="15"/>
      <c r="Q1955" s="37" t="str">
        <f t="shared" si="4"/>
        <v/>
      </c>
      <c r="R1955" s="37" t="str">
        <f t="shared" si="5"/>
        <v/>
      </c>
      <c r="S1955" s="32" t="str">
        <f t="shared" si="6"/>
        <v/>
      </c>
      <c r="T1955" s="37" t="str">
        <f t="shared" si="7"/>
        <v/>
      </c>
      <c r="U1955" s="37" t="str">
        <f t="array" ref="U1955">IF($F1955="","",IFERROR(INDEX(Config!$F:$F,MATCH($F1955,Config!$D:$D,0)),0))</f>
        <v/>
      </c>
    </row>
    <row r="1956" ht="15.0" customHeight="1">
      <c r="A1956" s="34"/>
      <c r="B1956" s="35"/>
      <c r="C1956" s="15"/>
      <c r="D1956" s="15"/>
      <c r="E1956" s="15"/>
      <c r="F1956" s="15"/>
      <c r="G1956" s="36" t="str">
        <f t="array" ref="G1956">IF($F1956="","",IFERROR(INDEX(Config!$E:$E,MATCH($F1956,Config!$D:$D,0)),0))</f>
        <v/>
      </c>
      <c r="H1956" s="16"/>
      <c r="I1956" s="36" t="str">
        <f t="shared" si="1"/>
        <v/>
      </c>
      <c r="J1956" s="16"/>
      <c r="K1956" s="15"/>
      <c r="L1956" s="15"/>
      <c r="M1956" s="36" t="str">
        <f t="array" ref="M1956">IF($A1956="","",IF($L1956="Atendido",IFERROR($I1956*INDEX(Config!$B:$B,MATCH($C1956,Config!$A:$A,0)),0),0))</f>
        <v/>
      </c>
      <c r="N1956" s="36" t="str">
        <f t="shared" si="2"/>
        <v/>
      </c>
      <c r="O1956" s="36" t="str">
        <f t="shared" si="3"/>
        <v/>
      </c>
      <c r="P1956" s="15"/>
      <c r="Q1956" s="37" t="str">
        <f t="shared" si="4"/>
        <v/>
      </c>
      <c r="R1956" s="37" t="str">
        <f t="shared" si="5"/>
        <v/>
      </c>
      <c r="S1956" s="32" t="str">
        <f t="shared" si="6"/>
        <v/>
      </c>
      <c r="T1956" s="37" t="str">
        <f t="shared" si="7"/>
        <v/>
      </c>
      <c r="U1956" s="37" t="str">
        <f t="array" ref="U1956">IF($F1956="","",IFERROR(INDEX(Config!$F:$F,MATCH($F1956,Config!$D:$D,0)),0))</f>
        <v/>
      </c>
    </row>
    <row r="1957" ht="15.0" customHeight="1">
      <c r="A1957" s="34"/>
      <c r="B1957" s="35"/>
      <c r="C1957" s="15"/>
      <c r="D1957" s="15"/>
      <c r="E1957" s="15"/>
      <c r="F1957" s="15"/>
      <c r="G1957" s="36" t="str">
        <f t="array" ref="G1957">IF($F1957="","",IFERROR(INDEX(Config!$E:$E,MATCH($F1957,Config!$D:$D,0)),0))</f>
        <v/>
      </c>
      <c r="H1957" s="16"/>
      <c r="I1957" s="36" t="str">
        <f t="shared" si="1"/>
        <v/>
      </c>
      <c r="J1957" s="16"/>
      <c r="K1957" s="15"/>
      <c r="L1957" s="15"/>
      <c r="M1957" s="36" t="str">
        <f t="array" ref="M1957">IF($A1957="","",IF($L1957="Atendido",IFERROR($I1957*INDEX(Config!$B:$B,MATCH($C1957,Config!$A:$A,0)),0),0))</f>
        <v/>
      </c>
      <c r="N1957" s="36" t="str">
        <f t="shared" si="2"/>
        <v/>
      </c>
      <c r="O1957" s="36" t="str">
        <f t="shared" si="3"/>
        <v/>
      </c>
      <c r="P1957" s="15"/>
      <c r="Q1957" s="37" t="str">
        <f t="shared" si="4"/>
        <v/>
      </c>
      <c r="R1957" s="37" t="str">
        <f t="shared" si="5"/>
        <v/>
      </c>
      <c r="S1957" s="32" t="str">
        <f t="shared" si="6"/>
        <v/>
      </c>
      <c r="T1957" s="37" t="str">
        <f t="shared" si="7"/>
        <v/>
      </c>
      <c r="U1957" s="37" t="str">
        <f t="array" ref="U1957">IF($F1957="","",IFERROR(INDEX(Config!$F:$F,MATCH($F1957,Config!$D:$D,0)),0))</f>
        <v/>
      </c>
    </row>
    <row r="1958" ht="15.0" customHeight="1">
      <c r="A1958" s="34"/>
      <c r="B1958" s="35"/>
      <c r="C1958" s="15"/>
      <c r="D1958" s="15"/>
      <c r="E1958" s="15"/>
      <c r="F1958" s="15"/>
      <c r="G1958" s="36" t="str">
        <f t="array" ref="G1958">IF($F1958="","",IFERROR(INDEX(Config!$E:$E,MATCH($F1958,Config!$D:$D,0)),0))</f>
        <v/>
      </c>
      <c r="H1958" s="16"/>
      <c r="I1958" s="36" t="str">
        <f t="shared" si="1"/>
        <v/>
      </c>
      <c r="J1958" s="16"/>
      <c r="K1958" s="15"/>
      <c r="L1958" s="15"/>
      <c r="M1958" s="36" t="str">
        <f t="array" ref="M1958">IF($A1958="","",IF($L1958="Atendido",IFERROR($I1958*INDEX(Config!$B:$B,MATCH($C1958,Config!$A:$A,0)),0),0))</f>
        <v/>
      </c>
      <c r="N1958" s="36" t="str">
        <f t="shared" si="2"/>
        <v/>
      </c>
      <c r="O1958" s="36" t="str">
        <f t="shared" si="3"/>
        <v/>
      </c>
      <c r="P1958" s="15"/>
      <c r="Q1958" s="37" t="str">
        <f t="shared" si="4"/>
        <v/>
      </c>
      <c r="R1958" s="37" t="str">
        <f t="shared" si="5"/>
        <v/>
      </c>
      <c r="S1958" s="32" t="str">
        <f t="shared" si="6"/>
        <v/>
      </c>
      <c r="T1958" s="37" t="str">
        <f t="shared" si="7"/>
        <v/>
      </c>
      <c r="U1958" s="37" t="str">
        <f t="array" ref="U1958">IF($F1958="","",IFERROR(INDEX(Config!$F:$F,MATCH($F1958,Config!$D:$D,0)),0))</f>
        <v/>
      </c>
    </row>
    <row r="1959" ht="15.0" customHeight="1">
      <c r="A1959" s="34"/>
      <c r="B1959" s="35"/>
      <c r="C1959" s="15"/>
      <c r="D1959" s="15"/>
      <c r="E1959" s="15"/>
      <c r="F1959" s="15"/>
      <c r="G1959" s="36" t="str">
        <f t="array" ref="G1959">IF($F1959="","",IFERROR(INDEX(Config!$E:$E,MATCH($F1959,Config!$D:$D,0)),0))</f>
        <v/>
      </c>
      <c r="H1959" s="16"/>
      <c r="I1959" s="36" t="str">
        <f t="shared" si="1"/>
        <v/>
      </c>
      <c r="J1959" s="16"/>
      <c r="K1959" s="15"/>
      <c r="L1959" s="15"/>
      <c r="M1959" s="36" t="str">
        <f t="array" ref="M1959">IF($A1959="","",IF($L1959="Atendido",IFERROR($I1959*INDEX(Config!$B:$B,MATCH($C1959,Config!$A:$A,0)),0),0))</f>
        <v/>
      </c>
      <c r="N1959" s="36" t="str">
        <f t="shared" si="2"/>
        <v/>
      </c>
      <c r="O1959" s="36" t="str">
        <f t="shared" si="3"/>
        <v/>
      </c>
      <c r="P1959" s="15"/>
      <c r="Q1959" s="37" t="str">
        <f t="shared" si="4"/>
        <v/>
      </c>
      <c r="R1959" s="37" t="str">
        <f t="shared" si="5"/>
        <v/>
      </c>
      <c r="S1959" s="32" t="str">
        <f t="shared" si="6"/>
        <v/>
      </c>
      <c r="T1959" s="37" t="str">
        <f t="shared" si="7"/>
        <v/>
      </c>
      <c r="U1959" s="37" t="str">
        <f t="array" ref="U1959">IF($F1959="","",IFERROR(INDEX(Config!$F:$F,MATCH($F1959,Config!$D:$D,0)),0))</f>
        <v/>
      </c>
    </row>
    <row r="1960" ht="15.0" customHeight="1">
      <c r="A1960" s="34"/>
      <c r="B1960" s="35"/>
      <c r="C1960" s="15"/>
      <c r="D1960" s="15"/>
      <c r="E1960" s="15"/>
      <c r="F1960" s="15"/>
      <c r="G1960" s="36" t="str">
        <f t="array" ref="G1960">IF($F1960="","",IFERROR(INDEX(Config!$E:$E,MATCH($F1960,Config!$D:$D,0)),0))</f>
        <v/>
      </c>
      <c r="H1960" s="16"/>
      <c r="I1960" s="36" t="str">
        <f t="shared" si="1"/>
        <v/>
      </c>
      <c r="J1960" s="16"/>
      <c r="K1960" s="15"/>
      <c r="L1960" s="15"/>
      <c r="M1960" s="36" t="str">
        <f t="array" ref="M1960">IF($A1960="","",IF($L1960="Atendido",IFERROR($I1960*INDEX(Config!$B:$B,MATCH($C1960,Config!$A:$A,0)),0),0))</f>
        <v/>
      </c>
      <c r="N1960" s="36" t="str">
        <f t="shared" si="2"/>
        <v/>
      </c>
      <c r="O1960" s="36" t="str">
        <f t="shared" si="3"/>
        <v/>
      </c>
      <c r="P1960" s="15"/>
      <c r="Q1960" s="37" t="str">
        <f t="shared" si="4"/>
        <v/>
      </c>
      <c r="R1960" s="37" t="str">
        <f t="shared" si="5"/>
        <v/>
      </c>
      <c r="S1960" s="32" t="str">
        <f t="shared" si="6"/>
        <v/>
      </c>
      <c r="T1960" s="37" t="str">
        <f t="shared" si="7"/>
        <v/>
      </c>
      <c r="U1960" s="37" t="str">
        <f t="array" ref="U1960">IF($F1960="","",IFERROR(INDEX(Config!$F:$F,MATCH($F1960,Config!$D:$D,0)),0))</f>
        <v/>
      </c>
    </row>
    <row r="1961" ht="15.0" customHeight="1">
      <c r="A1961" s="34"/>
      <c r="B1961" s="35"/>
      <c r="C1961" s="15"/>
      <c r="D1961" s="15"/>
      <c r="E1961" s="15"/>
      <c r="F1961" s="15"/>
      <c r="G1961" s="36" t="str">
        <f t="array" ref="G1961">IF($F1961="","",IFERROR(INDEX(Config!$E:$E,MATCH($F1961,Config!$D:$D,0)),0))</f>
        <v/>
      </c>
      <c r="H1961" s="16"/>
      <c r="I1961" s="36" t="str">
        <f t="shared" si="1"/>
        <v/>
      </c>
      <c r="J1961" s="16"/>
      <c r="K1961" s="15"/>
      <c r="L1961" s="15"/>
      <c r="M1961" s="36" t="str">
        <f t="array" ref="M1961">IF($A1961="","",IF($L1961="Atendido",IFERROR($I1961*INDEX(Config!$B:$B,MATCH($C1961,Config!$A:$A,0)),0),0))</f>
        <v/>
      </c>
      <c r="N1961" s="36" t="str">
        <f t="shared" si="2"/>
        <v/>
      </c>
      <c r="O1961" s="36" t="str">
        <f t="shared" si="3"/>
        <v/>
      </c>
      <c r="P1961" s="15"/>
      <c r="Q1961" s="37" t="str">
        <f t="shared" si="4"/>
        <v/>
      </c>
      <c r="R1961" s="37" t="str">
        <f t="shared" si="5"/>
        <v/>
      </c>
      <c r="S1961" s="32" t="str">
        <f t="shared" si="6"/>
        <v/>
      </c>
      <c r="T1961" s="37" t="str">
        <f t="shared" si="7"/>
        <v/>
      </c>
      <c r="U1961" s="37" t="str">
        <f t="array" ref="U1961">IF($F1961="","",IFERROR(INDEX(Config!$F:$F,MATCH($F1961,Config!$D:$D,0)),0))</f>
        <v/>
      </c>
    </row>
    <row r="1962" ht="15.0" customHeight="1">
      <c r="A1962" s="34"/>
      <c r="B1962" s="35"/>
      <c r="C1962" s="15"/>
      <c r="D1962" s="15"/>
      <c r="E1962" s="15"/>
      <c r="F1962" s="15"/>
      <c r="G1962" s="36" t="str">
        <f t="array" ref="G1962">IF($F1962="","",IFERROR(INDEX(Config!$E:$E,MATCH($F1962,Config!$D:$D,0)),0))</f>
        <v/>
      </c>
      <c r="H1962" s="16"/>
      <c r="I1962" s="36" t="str">
        <f t="shared" si="1"/>
        <v/>
      </c>
      <c r="J1962" s="16"/>
      <c r="K1962" s="15"/>
      <c r="L1962" s="15"/>
      <c r="M1962" s="36" t="str">
        <f t="array" ref="M1962">IF($A1962="","",IF($L1962="Atendido",IFERROR($I1962*INDEX(Config!$B:$B,MATCH($C1962,Config!$A:$A,0)),0),0))</f>
        <v/>
      </c>
      <c r="N1962" s="36" t="str">
        <f t="shared" si="2"/>
        <v/>
      </c>
      <c r="O1962" s="36" t="str">
        <f t="shared" si="3"/>
        <v/>
      </c>
      <c r="P1962" s="15"/>
      <c r="Q1962" s="37" t="str">
        <f t="shared" si="4"/>
        <v/>
      </c>
      <c r="R1962" s="37" t="str">
        <f t="shared" si="5"/>
        <v/>
      </c>
      <c r="S1962" s="32" t="str">
        <f t="shared" si="6"/>
        <v/>
      </c>
      <c r="T1962" s="37" t="str">
        <f t="shared" si="7"/>
        <v/>
      </c>
      <c r="U1962" s="37" t="str">
        <f t="array" ref="U1962">IF($F1962="","",IFERROR(INDEX(Config!$F:$F,MATCH($F1962,Config!$D:$D,0)),0))</f>
        <v/>
      </c>
    </row>
    <row r="1963" ht="15.0" customHeight="1">
      <c r="A1963" s="34"/>
      <c r="B1963" s="35"/>
      <c r="C1963" s="15"/>
      <c r="D1963" s="15"/>
      <c r="E1963" s="15"/>
      <c r="F1963" s="15"/>
      <c r="G1963" s="36" t="str">
        <f t="array" ref="G1963">IF($F1963="","",IFERROR(INDEX(Config!$E:$E,MATCH($F1963,Config!$D:$D,0)),0))</f>
        <v/>
      </c>
      <c r="H1963" s="16"/>
      <c r="I1963" s="36" t="str">
        <f t="shared" si="1"/>
        <v/>
      </c>
      <c r="J1963" s="16"/>
      <c r="K1963" s="15"/>
      <c r="L1963" s="15"/>
      <c r="M1963" s="36" t="str">
        <f t="array" ref="M1963">IF($A1963="","",IF($L1963="Atendido",IFERROR($I1963*INDEX(Config!$B:$B,MATCH($C1963,Config!$A:$A,0)),0),0))</f>
        <v/>
      </c>
      <c r="N1963" s="36" t="str">
        <f t="shared" si="2"/>
        <v/>
      </c>
      <c r="O1963" s="36" t="str">
        <f t="shared" si="3"/>
        <v/>
      </c>
      <c r="P1963" s="15"/>
      <c r="Q1963" s="37" t="str">
        <f t="shared" si="4"/>
        <v/>
      </c>
      <c r="R1963" s="37" t="str">
        <f t="shared" si="5"/>
        <v/>
      </c>
      <c r="S1963" s="32" t="str">
        <f t="shared" si="6"/>
        <v/>
      </c>
      <c r="T1963" s="37" t="str">
        <f t="shared" si="7"/>
        <v/>
      </c>
      <c r="U1963" s="37" t="str">
        <f t="array" ref="U1963">IF($F1963="","",IFERROR(INDEX(Config!$F:$F,MATCH($F1963,Config!$D:$D,0)),0))</f>
        <v/>
      </c>
    </row>
    <row r="1964" ht="15.0" customHeight="1">
      <c r="A1964" s="34"/>
      <c r="B1964" s="35"/>
      <c r="C1964" s="15"/>
      <c r="D1964" s="15"/>
      <c r="E1964" s="15"/>
      <c r="F1964" s="15"/>
      <c r="G1964" s="36" t="str">
        <f t="array" ref="G1964">IF($F1964="","",IFERROR(INDEX(Config!$E:$E,MATCH($F1964,Config!$D:$D,0)),0))</f>
        <v/>
      </c>
      <c r="H1964" s="16"/>
      <c r="I1964" s="36" t="str">
        <f t="shared" si="1"/>
        <v/>
      </c>
      <c r="J1964" s="16"/>
      <c r="K1964" s="15"/>
      <c r="L1964" s="15"/>
      <c r="M1964" s="36" t="str">
        <f t="array" ref="M1964">IF($A1964="","",IF($L1964="Atendido",IFERROR($I1964*INDEX(Config!$B:$B,MATCH($C1964,Config!$A:$A,0)),0),0))</f>
        <v/>
      </c>
      <c r="N1964" s="36" t="str">
        <f t="shared" si="2"/>
        <v/>
      </c>
      <c r="O1964" s="36" t="str">
        <f t="shared" si="3"/>
        <v/>
      </c>
      <c r="P1964" s="15"/>
      <c r="Q1964" s="37" t="str">
        <f t="shared" si="4"/>
        <v/>
      </c>
      <c r="R1964" s="37" t="str">
        <f t="shared" si="5"/>
        <v/>
      </c>
      <c r="S1964" s="32" t="str">
        <f t="shared" si="6"/>
        <v/>
      </c>
      <c r="T1964" s="37" t="str">
        <f t="shared" si="7"/>
        <v/>
      </c>
      <c r="U1964" s="37" t="str">
        <f t="array" ref="U1964">IF($F1964="","",IFERROR(INDEX(Config!$F:$F,MATCH($F1964,Config!$D:$D,0)),0))</f>
        <v/>
      </c>
    </row>
    <row r="1965" ht="15.0" customHeight="1">
      <c r="A1965" s="34"/>
      <c r="B1965" s="35"/>
      <c r="C1965" s="15"/>
      <c r="D1965" s="15"/>
      <c r="E1965" s="15"/>
      <c r="F1965" s="15"/>
      <c r="G1965" s="36" t="str">
        <f t="array" ref="G1965">IF($F1965="","",IFERROR(INDEX(Config!$E:$E,MATCH($F1965,Config!$D:$D,0)),0))</f>
        <v/>
      </c>
      <c r="H1965" s="16"/>
      <c r="I1965" s="36" t="str">
        <f t="shared" si="1"/>
        <v/>
      </c>
      <c r="J1965" s="16"/>
      <c r="K1965" s="15"/>
      <c r="L1965" s="15"/>
      <c r="M1965" s="36" t="str">
        <f t="array" ref="M1965">IF($A1965="","",IF($L1965="Atendido",IFERROR($I1965*INDEX(Config!$B:$B,MATCH($C1965,Config!$A:$A,0)),0),0))</f>
        <v/>
      </c>
      <c r="N1965" s="36" t="str">
        <f t="shared" si="2"/>
        <v/>
      </c>
      <c r="O1965" s="36" t="str">
        <f t="shared" si="3"/>
        <v/>
      </c>
      <c r="P1965" s="15"/>
      <c r="Q1965" s="37" t="str">
        <f t="shared" si="4"/>
        <v/>
      </c>
      <c r="R1965" s="37" t="str">
        <f t="shared" si="5"/>
        <v/>
      </c>
      <c r="S1965" s="32" t="str">
        <f t="shared" si="6"/>
        <v/>
      </c>
      <c r="T1965" s="37" t="str">
        <f t="shared" si="7"/>
        <v/>
      </c>
      <c r="U1965" s="37" t="str">
        <f t="array" ref="U1965">IF($F1965="","",IFERROR(INDEX(Config!$F:$F,MATCH($F1965,Config!$D:$D,0)),0))</f>
        <v/>
      </c>
    </row>
    <row r="1966" ht="15.0" customHeight="1">
      <c r="A1966" s="34"/>
      <c r="B1966" s="35"/>
      <c r="C1966" s="15"/>
      <c r="D1966" s="15"/>
      <c r="E1966" s="15"/>
      <c r="F1966" s="15"/>
      <c r="G1966" s="36" t="str">
        <f t="array" ref="G1966">IF($F1966="","",IFERROR(INDEX(Config!$E:$E,MATCH($F1966,Config!$D:$D,0)),0))</f>
        <v/>
      </c>
      <c r="H1966" s="16"/>
      <c r="I1966" s="36" t="str">
        <f t="shared" si="1"/>
        <v/>
      </c>
      <c r="J1966" s="16"/>
      <c r="K1966" s="15"/>
      <c r="L1966" s="15"/>
      <c r="M1966" s="36" t="str">
        <f t="array" ref="M1966">IF($A1966="","",IF($L1966="Atendido",IFERROR($I1966*INDEX(Config!$B:$B,MATCH($C1966,Config!$A:$A,0)),0),0))</f>
        <v/>
      </c>
      <c r="N1966" s="36" t="str">
        <f t="shared" si="2"/>
        <v/>
      </c>
      <c r="O1966" s="36" t="str">
        <f t="shared" si="3"/>
        <v/>
      </c>
      <c r="P1966" s="15"/>
      <c r="Q1966" s="37" t="str">
        <f t="shared" si="4"/>
        <v/>
      </c>
      <c r="R1966" s="37" t="str">
        <f t="shared" si="5"/>
        <v/>
      </c>
      <c r="S1966" s="32" t="str">
        <f t="shared" si="6"/>
        <v/>
      </c>
      <c r="T1966" s="37" t="str">
        <f t="shared" si="7"/>
        <v/>
      </c>
      <c r="U1966" s="37" t="str">
        <f t="array" ref="U1966">IF($F1966="","",IFERROR(INDEX(Config!$F:$F,MATCH($F1966,Config!$D:$D,0)),0))</f>
        <v/>
      </c>
    </row>
    <row r="1967" ht="15.0" customHeight="1">
      <c r="A1967" s="34"/>
      <c r="B1967" s="35"/>
      <c r="C1967" s="15"/>
      <c r="D1967" s="15"/>
      <c r="E1967" s="15"/>
      <c r="F1967" s="15"/>
      <c r="G1967" s="36" t="str">
        <f t="array" ref="G1967">IF($F1967="","",IFERROR(INDEX(Config!$E:$E,MATCH($F1967,Config!$D:$D,0)),0))</f>
        <v/>
      </c>
      <c r="H1967" s="16"/>
      <c r="I1967" s="36" t="str">
        <f t="shared" si="1"/>
        <v/>
      </c>
      <c r="J1967" s="16"/>
      <c r="K1967" s="15"/>
      <c r="L1967" s="15"/>
      <c r="M1967" s="36" t="str">
        <f t="array" ref="M1967">IF($A1967="","",IF($L1967="Atendido",IFERROR($I1967*INDEX(Config!$B:$B,MATCH($C1967,Config!$A:$A,0)),0),0))</f>
        <v/>
      </c>
      <c r="N1967" s="36" t="str">
        <f t="shared" si="2"/>
        <v/>
      </c>
      <c r="O1967" s="36" t="str">
        <f t="shared" si="3"/>
        <v/>
      </c>
      <c r="P1967" s="15"/>
      <c r="Q1967" s="37" t="str">
        <f t="shared" si="4"/>
        <v/>
      </c>
      <c r="R1967" s="37" t="str">
        <f t="shared" si="5"/>
        <v/>
      </c>
      <c r="S1967" s="32" t="str">
        <f t="shared" si="6"/>
        <v/>
      </c>
      <c r="T1967" s="37" t="str">
        <f t="shared" si="7"/>
        <v/>
      </c>
      <c r="U1967" s="37" t="str">
        <f t="array" ref="U1967">IF($F1967="","",IFERROR(INDEX(Config!$F:$F,MATCH($F1967,Config!$D:$D,0)),0))</f>
        <v/>
      </c>
    </row>
    <row r="1968" ht="15.0" customHeight="1">
      <c r="A1968" s="34"/>
      <c r="B1968" s="35"/>
      <c r="C1968" s="15"/>
      <c r="D1968" s="15"/>
      <c r="E1968" s="15"/>
      <c r="F1968" s="15"/>
      <c r="G1968" s="36" t="str">
        <f t="array" ref="G1968">IF($F1968="","",IFERROR(INDEX(Config!$E:$E,MATCH($F1968,Config!$D:$D,0)),0))</f>
        <v/>
      </c>
      <c r="H1968" s="16"/>
      <c r="I1968" s="36" t="str">
        <f t="shared" si="1"/>
        <v/>
      </c>
      <c r="J1968" s="16"/>
      <c r="K1968" s="15"/>
      <c r="L1968" s="15"/>
      <c r="M1968" s="36" t="str">
        <f t="array" ref="M1968">IF($A1968="","",IF($L1968="Atendido",IFERROR($I1968*INDEX(Config!$B:$B,MATCH($C1968,Config!$A:$A,0)),0),0))</f>
        <v/>
      </c>
      <c r="N1968" s="36" t="str">
        <f t="shared" si="2"/>
        <v/>
      </c>
      <c r="O1968" s="36" t="str">
        <f t="shared" si="3"/>
        <v/>
      </c>
      <c r="P1968" s="15"/>
      <c r="Q1968" s="37" t="str">
        <f t="shared" si="4"/>
        <v/>
      </c>
      <c r="R1968" s="37" t="str">
        <f t="shared" si="5"/>
        <v/>
      </c>
      <c r="S1968" s="32" t="str">
        <f t="shared" si="6"/>
        <v/>
      </c>
      <c r="T1968" s="37" t="str">
        <f t="shared" si="7"/>
        <v/>
      </c>
      <c r="U1968" s="37" t="str">
        <f t="array" ref="U1968">IF($F1968="","",IFERROR(INDEX(Config!$F:$F,MATCH($F1968,Config!$D:$D,0)),0))</f>
        <v/>
      </c>
    </row>
    <row r="1969" ht="15.0" customHeight="1">
      <c r="A1969" s="34"/>
      <c r="B1969" s="35"/>
      <c r="C1969" s="15"/>
      <c r="D1969" s="15"/>
      <c r="E1969" s="15"/>
      <c r="F1969" s="15"/>
      <c r="G1969" s="36" t="str">
        <f t="array" ref="G1969">IF($F1969="","",IFERROR(INDEX(Config!$E:$E,MATCH($F1969,Config!$D:$D,0)),0))</f>
        <v/>
      </c>
      <c r="H1969" s="16"/>
      <c r="I1969" s="36" t="str">
        <f t="shared" si="1"/>
        <v/>
      </c>
      <c r="J1969" s="16"/>
      <c r="K1969" s="15"/>
      <c r="L1969" s="15"/>
      <c r="M1969" s="36" t="str">
        <f t="array" ref="M1969">IF($A1969="","",IF($L1969="Atendido",IFERROR($I1969*INDEX(Config!$B:$B,MATCH($C1969,Config!$A:$A,0)),0),0))</f>
        <v/>
      </c>
      <c r="N1969" s="36" t="str">
        <f t="shared" si="2"/>
        <v/>
      </c>
      <c r="O1969" s="36" t="str">
        <f t="shared" si="3"/>
        <v/>
      </c>
      <c r="P1969" s="15"/>
      <c r="Q1969" s="37" t="str">
        <f t="shared" si="4"/>
        <v/>
      </c>
      <c r="R1969" s="37" t="str">
        <f t="shared" si="5"/>
        <v/>
      </c>
      <c r="S1969" s="32" t="str">
        <f t="shared" si="6"/>
        <v/>
      </c>
      <c r="T1969" s="37" t="str">
        <f t="shared" si="7"/>
        <v/>
      </c>
      <c r="U1969" s="37" t="str">
        <f t="array" ref="U1969">IF($F1969="","",IFERROR(INDEX(Config!$F:$F,MATCH($F1969,Config!$D:$D,0)),0))</f>
        <v/>
      </c>
    </row>
    <row r="1970" ht="15.0" customHeight="1">
      <c r="A1970" s="34"/>
      <c r="B1970" s="35"/>
      <c r="C1970" s="15"/>
      <c r="D1970" s="15"/>
      <c r="E1970" s="15"/>
      <c r="F1970" s="15"/>
      <c r="G1970" s="36" t="str">
        <f t="array" ref="G1970">IF($F1970="","",IFERROR(INDEX(Config!$E:$E,MATCH($F1970,Config!$D:$D,0)),0))</f>
        <v/>
      </c>
      <c r="H1970" s="16"/>
      <c r="I1970" s="36" t="str">
        <f t="shared" si="1"/>
        <v/>
      </c>
      <c r="J1970" s="16"/>
      <c r="K1970" s="15"/>
      <c r="L1970" s="15"/>
      <c r="M1970" s="36" t="str">
        <f t="array" ref="M1970">IF($A1970="","",IF($L1970="Atendido",IFERROR($I1970*INDEX(Config!$B:$B,MATCH($C1970,Config!$A:$A,0)),0),0))</f>
        <v/>
      </c>
      <c r="N1970" s="36" t="str">
        <f t="shared" si="2"/>
        <v/>
      </c>
      <c r="O1970" s="36" t="str">
        <f t="shared" si="3"/>
        <v/>
      </c>
      <c r="P1970" s="15"/>
      <c r="Q1970" s="37" t="str">
        <f t="shared" si="4"/>
        <v/>
      </c>
      <c r="R1970" s="37" t="str">
        <f t="shared" si="5"/>
        <v/>
      </c>
      <c r="S1970" s="32" t="str">
        <f t="shared" si="6"/>
        <v/>
      </c>
      <c r="T1970" s="37" t="str">
        <f t="shared" si="7"/>
        <v/>
      </c>
      <c r="U1970" s="37" t="str">
        <f t="array" ref="U1970">IF($F1970="","",IFERROR(INDEX(Config!$F:$F,MATCH($F1970,Config!$D:$D,0)),0))</f>
        <v/>
      </c>
    </row>
    <row r="1971" ht="15.0" customHeight="1">
      <c r="A1971" s="34"/>
      <c r="B1971" s="35"/>
      <c r="C1971" s="15"/>
      <c r="D1971" s="15"/>
      <c r="E1971" s="15"/>
      <c r="F1971" s="15"/>
      <c r="G1971" s="36" t="str">
        <f t="array" ref="G1971">IF($F1971="","",IFERROR(INDEX(Config!$E:$E,MATCH($F1971,Config!$D:$D,0)),0))</f>
        <v/>
      </c>
      <c r="H1971" s="16"/>
      <c r="I1971" s="36" t="str">
        <f t="shared" si="1"/>
        <v/>
      </c>
      <c r="J1971" s="16"/>
      <c r="K1971" s="15"/>
      <c r="L1971" s="15"/>
      <c r="M1971" s="36" t="str">
        <f t="array" ref="M1971">IF($A1971="","",IF($L1971="Atendido",IFERROR($I1971*INDEX(Config!$B:$B,MATCH($C1971,Config!$A:$A,0)),0),0))</f>
        <v/>
      </c>
      <c r="N1971" s="36" t="str">
        <f t="shared" si="2"/>
        <v/>
      </c>
      <c r="O1971" s="36" t="str">
        <f t="shared" si="3"/>
        <v/>
      </c>
      <c r="P1971" s="15"/>
      <c r="Q1971" s="37" t="str">
        <f t="shared" si="4"/>
        <v/>
      </c>
      <c r="R1971" s="37" t="str">
        <f t="shared" si="5"/>
        <v/>
      </c>
      <c r="S1971" s="32" t="str">
        <f t="shared" si="6"/>
        <v/>
      </c>
      <c r="T1971" s="37" t="str">
        <f t="shared" si="7"/>
        <v/>
      </c>
      <c r="U1971" s="37" t="str">
        <f t="array" ref="U1971">IF($F1971="","",IFERROR(INDEX(Config!$F:$F,MATCH($F1971,Config!$D:$D,0)),0))</f>
        <v/>
      </c>
    </row>
    <row r="1972" ht="15.0" customHeight="1">
      <c r="A1972" s="34"/>
      <c r="B1972" s="35"/>
      <c r="C1972" s="15"/>
      <c r="D1972" s="15"/>
      <c r="E1972" s="15"/>
      <c r="F1972" s="15"/>
      <c r="G1972" s="36" t="str">
        <f t="array" ref="G1972">IF($F1972="","",IFERROR(INDEX(Config!$E:$E,MATCH($F1972,Config!$D:$D,0)),0))</f>
        <v/>
      </c>
      <c r="H1972" s="16"/>
      <c r="I1972" s="36" t="str">
        <f t="shared" si="1"/>
        <v/>
      </c>
      <c r="J1972" s="16"/>
      <c r="K1972" s="15"/>
      <c r="L1972" s="15"/>
      <c r="M1972" s="36" t="str">
        <f t="array" ref="M1972">IF($A1972="","",IF($L1972="Atendido",IFERROR($I1972*INDEX(Config!$B:$B,MATCH($C1972,Config!$A:$A,0)),0),0))</f>
        <v/>
      </c>
      <c r="N1972" s="36" t="str">
        <f t="shared" si="2"/>
        <v/>
      </c>
      <c r="O1972" s="36" t="str">
        <f t="shared" si="3"/>
        <v/>
      </c>
      <c r="P1972" s="15"/>
      <c r="Q1972" s="37" t="str">
        <f t="shared" si="4"/>
        <v/>
      </c>
      <c r="R1972" s="37" t="str">
        <f t="shared" si="5"/>
        <v/>
      </c>
      <c r="S1972" s="32" t="str">
        <f t="shared" si="6"/>
        <v/>
      </c>
      <c r="T1972" s="37" t="str">
        <f t="shared" si="7"/>
        <v/>
      </c>
      <c r="U1972" s="37" t="str">
        <f t="array" ref="U1972">IF($F1972="","",IFERROR(INDEX(Config!$F:$F,MATCH($F1972,Config!$D:$D,0)),0))</f>
        <v/>
      </c>
    </row>
    <row r="1973" ht="15.0" customHeight="1">
      <c r="A1973" s="34"/>
      <c r="B1973" s="35"/>
      <c r="C1973" s="15"/>
      <c r="D1973" s="15"/>
      <c r="E1973" s="15"/>
      <c r="F1973" s="15"/>
      <c r="G1973" s="36" t="str">
        <f t="array" ref="G1973">IF($F1973="","",IFERROR(INDEX(Config!$E:$E,MATCH($F1973,Config!$D:$D,0)),0))</f>
        <v/>
      </c>
      <c r="H1973" s="16"/>
      <c r="I1973" s="36" t="str">
        <f t="shared" si="1"/>
        <v/>
      </c>
      <c r="J1973" s="16"/>
      <c r="K1973" s="15"/>
      <c r="L1973" s="15"/>
      <c r="M1973" s="36" t="str">
        <f t="array" ref="M1973">IF($A1973="","",IF($L1973="Atendido",IFERROR($I1973*INDEX(Config!$B:$B,MATCH($C1973,Config!$A:$A,0)),0),0))</f>
        <v/>
      </c>
      <c r="N1973" s="36" t="str">
        <f t="shared" si="2"/>
        <v/>
      </c>
      <c r="O1973" s="36" t="str">
        <f t="shared" si="3"/>
        <v/>
      </c>
      <c r="P1973" s="15"/>
      <c r="Q1973" s="37" t="str">
        <f t="shared" si="4"/>
        <v/>
      </c>
      <c r="R1973" s="37" t="str">
        <f t="shared" si="5"/>
        <v/>
      </c>
      <c r="S1973" s="32" t="str">
        <f t="shared" si="6"/>
        <v/>
      </c>
      <c r="T1973" s="37" t="str">
        <f t="shared" si="7"/>
        <v/>
      </c>
      <c r="U1973" s="37" t="str">
        <f t="array" ref="U1973">IF($F1973="","",IFERROR(INDEX(Config!$F:$F,MATCH($F1973,Config!$D:$D,0)),0))</f>
        <v/>
      </c>
    </row>
    <row r="1974" ht="15.0" customHeight="1">
      <c r="A1974" s="34"/>
      <c r="B1974" s="35"/>
      <c r="C1974" s="15"/>
      <c r="D1974" s="15"/>
      <c r="E1974" s="15"/>
      <c r="F1974" s="15"/>
      <c r="G1974" s="36" t="str">
        <f t="array" ref="G1974">IF($F1974="","",IFERROR(INDEX(Config!$E:$E,MATCH($F1974,Config!$D:$D,0)),0))</f>
        <v/>
      </c>
      <c r="H1974" s="16"/>
      <c r="I1974" s="36" t="str">
        <f t="shared" si="1"/>
        <v/>
      </c>
      <c r="J1974" s="16"/>
      <c r="K1974" s="15"/>
      <c r="L1974" s="15"/>
      <c r="M1974" s="36" t="str">
        <f t="array" ref="M1974">IF($A1974="","",IF($L1974="Atendido",IFERROR($I1974*INDEX(Config!$B:$B,MATCH($C1974,Config!$A:$A,0)),0),0))</f>
        <v/>
      </c>
      <c r="N1974" s="36" t="str">
        <f t="shared" si="2"/>
        <v/>
      </c>
      <c r="O1974" s="36" t="str">
        <f t="shared" si="3"/>
        <v/>
      </c>
      <c r="P1974" s="15"/>
      <c r="Q1974" s="37" t="str">
        <f t="shared" si="4"/>
        <v/>
      </c>
      <c r="R1974" s="37" t="str">
        <f t="shared" si="5"/>
        <v/>
      </c>
      <c r="S1974" s="32" t="str">
        <f t="shared" si="6"/>
        <v/>
      </c>
      <c r="T1974" s="37" t="str">
        <f t="shared" si="7"/>
        <v/>
      </c>
      <c r="U1974" s="37" t="str">
        <f t="array" ref="U1974">IF($F1974="","",IFERROR(INDEX(Config!$F:$F,MATCH($F1974,Config!$D:$D,0)),0))</f>
        <v/>
      </c>
    </row>
    <row r="1975" ht="15.0" customHeight="1">
      <c r="A1975" s="34"/>
      <c r="B1975" s="35"/>
      <c r="C1975" s="15"/>
      <c r="D1975" s="15"/>
      <c r="E1975" s="15"/>
      <c r="F1975" s="15"/>
      <c r="G1975" s="36" t="str">
        <f t="array" ref="G1975">IF($F1975="","",IFERROR(INDEX(Config!$E:$E,MATCH($F1975,Config!$D:$D,0)),0))</f>
        <v/>
      </c>
      <c r="H1975" s="16"/>
      <c r="I1975" s="36" t="str">
        <f t="shared" si="1"/>
        <v/>
      </c>
      <c r="J1975" s="16"/>
      <c r="K1975" s="15"/>
      <c r="L1975" s="15"/>
      <c r="M1975" s="36" t="str">
        <f t="array" ref="M1975">IF($A1975="","",IF($L1975="Atendido",IFERROR($I1975*INDEX(Config!$B:$B,MATCH($C1975,Config!$A:$A,0)),0),0))</f>
        <v/>
      </c>
      <c r="N1975" s="36" t="str">
        <f t="shared" si="2"/>
        <v/>
      </c>
      <c r="O1975" s="36" t="str">
        <f t="shared" si="3"/>
        <v/>
      </c>
      <c r="P1975" s="15"/>
      <c r="Q1975" s="37" t="str">
        <f t="shared" si="4"/>
        <v/>
      </c>
      <c r="R1975" s="37" t="str">
        <f t="shared" si="5"/>
        <v/>
      </c>
      <c r="S1975" s="32" t="str">
        <f t="shared" si="6"/>
        <v/>
      </c>
      <c r="T1975" s="37" t="str">
        <f t="shared" si="7"/>
        <v/>
      </c>
      <c r="U1975" s="37" t="str">
        <f t="array" ref="U1975">IF($F1975="","",IFERROR(INDEX(Config!$F:$F,MATCH($F1975,Config!$D:$D,0)),0))</f>
        <v/>
      </c>
    </row>
    <row r="1976" ht="15.0" customHeight="1">
      <c r="A1976" s="34"/>
      <c r="B1976" s="35"/>
      <c r="C1976" s="15"/>
      <c r="D1976" s="15"/>
      <c r="E1976" s="15"/>
      <c r="F1976" s="15"/>
      <c r="G1976" s="36" t="str">
        <f t="array" ref="G1976">IF($F1976="","",IFERROR(INDEX(Config!$E:$E,MATCH($F1976,Config!$D:$D,0)),0))</f>
        <v/>
      </c>
      <c r="H1976" s="16"/>
      <c r="I1976" s="36" t="str">
        <f t="shared" si="1"/>
        <v/>
      </c>
      <c r="J1976" s="16"/>
      <c r="K1976" s="15"/>
      <c r="L1976" s="15"/>
      <c r="M1976" s="36" t="str">
        <f t="array" ref="M1976">IF($A1976="","",IF($L1976="Atendido",IFERROR($I1976*INDEX(Config!$B:$B,MATCH($C1976,Config!$A:$A,0)),0),0))</f>
        <v/>
      </c>
      <c r="N1976" s="36" t="str">
        <f t="shared" si="2"/>
        <v/>
      </c>
      <c r="O1976" s="36" t="str">
        <f t="shared" si="3"/>
        <v/>
      </c>
      <c r="P1976" s="15"/>
      <c r="Q1976" s="37" t="str">
        <f t="shared" si="4"/>
        <v/>
      </c>
      <c r="R1976" s="37" t="str">
        <f t="shared" si="5"/>
        <v/>
      </c>
      <c r="S1976" s="32" t="str">
        <f t="shared" si="6"/>
        <v/>
      </c>
      <c r="T1976" s="37" t="str">
        <f t="shared" si="7"/>
        <v/>
      </c>
      <c r="U1976" s="37" t="str">
        <f t="array" ref="U1976">IF($F1976="","",IFERROR(INDEX(Config!$F:$F,MATCH($F1976,Config!$D:$D,0)),0))</f>
        <v/>
      </c>
    </row>
    <row r="1977" ht="15.0" customHeight="1">
      <c r="A1977" s="34"/>
      <c r="B1977" s="35"/>
      <c r="C1977" s="15"/>
      <c r="D1977" s="15"/>
      <c r="E1977" s="15"/>
      <c r="F1977" s="15"/>
      <c r="G1977" s="36" t="str">
        <f t="array" ref="G1977">IF($F1977="","",IFERROR(INDEX(Config!$E:$E,MATCH($F1977,Config!$D:$D,0)),0))</f>
        <v/>
      </c>
      <c r="H1977" s="16"/>
      <c r="I1977" s="36" t="str">
        <f t="shared" si="1"/>
        <v/>
      </c>
      <c r="J1977" s="16"/>
      <c r="K1977" s="15"/>
      <c r="L1977" s="15"/>
      <c r="M1977" s="36" t="str">
        <f t="array" ref="M1977">IF($A1977="","",IF($L1977="Atendido",IFERROR($I1977*INDEX(Config!$B:$B,MATCH($C1977,Config!$A:$A,0)),0),0))</f>
        <v/>
      </c>
      <c r="N1977" s="36" t="str">
        <f t="shared" si="2"/>
        <v/>
      </c>
      <c r="O1977" s="36" t="str">
        <f t="shared" si="3"/>
        <v/>
      </c>
      <c r="P1977" s="15"/>
      <c r="Q1977" s="37" t="str">
        <f t="shared" si="4"/>
        <v/>
      </c>
      <c r="R1977" s="37" t="str">
        <f t="shared" si="5"/>
        <v/>
      </c>
      <c r="S1977" s="32" t="str">
        <f t="shared" si="6"/>
        <v/>
      </c>
      <c r="T1977" s="37" t="str">
        <f t="shared" si="7"/>
        <v/>
      </c>
      <c r="U1977" s="37" t="str">
        <f t="array" ref="U1977">IF($F1977="","",IFERROR(INDEX(Config!$F:$F,MATCH($F1977,Config!$D:$D,0)),0))</f>
        <v/>
      </c>
    </row>
    <row r="1978" ht="15.0" customHeight="1">
      <c r="A1978" s="34"/>
      <c r="B1978" s="35"/>
      <c r="C1978" s="15"/>
      <c r="D1978" s="15"/>
      <c r="E1978" s="15"/>
      <c r="F1978" s="15"/>
      <c r="G1978" s="36" t="str">
        <f t="array" ref="G1978">IF($F1978="","",IFERROR(INDEX(Config!$E:$E,MATCH($F1978,Config!$D:$D,0)),0))</f>
        <v/>
      </c>
      <c r="H1978" s="16"/>
      <c r="I1978" s="36" t="str">
        <f t="shared" si="1"/>
        <v/>
      </c>
      <c r="J1978" s="16"/>
      <c r="K1978" s="15"/>
      <c r="L1978" s="15"/>
      <c r="M1978" s="36" t="str">
        <f t="array" ref="M1978">IF($A1978="","",IF($L1978="Atendido",IFERROR($I1978*INDEX(Config!$B:$B,MATCH($C1978,Config!$A:$A,0)),0),0))</f>
        <v/>
      </c>
      <c r="N1978" s="36" t="str">
        <f t="shared" si="2"/>
        <v/>
      </c>
      <c r="O1978" s="36" t="str">
        <f t="shared" si="3"/>
        <v/>
      </c>
      <c r="P1978" s="15"/>
      <c r="Q1978" s="37" t="str">
        <f t="shared" si="4"/>
        <v/>
      </c>
      <c r="R1978" s="37" t="str">
        <f t="shared" si="5"/>
        <v/>
      </c>
      <c r="S1978" s="32" t="str">
        <f t="shared" si="6"/>
        <v/>
      </c>
      <c r="T1978" s="37" t="str">
        <f t="shared" si="7"/>
        <v/>
      </c>
      <c r="U1978" s="37" t="str">
        <f t="array" ref="U1978">IF($F1978="","",IFERROR(INDEX(Config!$F:$F,MATCH($F1978,Config!$D:$D,0)),0))</f>
        <v/>
      </c>
    </row>
    <row r="1979" ht="15.0" customHeight="1">
      <c r="A1979" s="34"/>
      <c r="B1979" s="35"/>
      <c r="C1979" s="15"/>
      <c r="D1979" s="15"/>
      <c r="E1979" s="15"/>
      <c r="F1979" s="15"/>
      <c r="G1979" s="36" t="str">
        <f t="array" ref="G1979">IF($F1979="","",IFERROR(INDEX(Config!$E:$E,MATCH($F1979,Config!$D:$D,0)),0))</f>
        <v/>
      </c>
      <c r="H1979" s="16"/>
      <c r="I1979" s="36" t="str">
        <f t="shared" si="1"/>
        <v/>
      </c>
      <c r="J1979" s="16"/>
      <c r="K1979" s="15"/>
      <c r="L1979" s="15"/>
      <c r="M1979" s="36" t="str">
        <f t="array" ref="M1979">IF($A1979="","",IF($L1979="Atendido",IFERROR($I1979*INDEX(Config!$B:$B,MATCH($C1979,Config!$A:$A,0)),0),0))</f>
        <v/>
      </c>
      <c r="N1979" s="36" t="str">
        <f t="shared" si="2"/>
        <v/>
      </c>
      <c r="O1979" s="36" t="str">
        <f t="shared" si="3"/>
        <v/>
      </c>
      <c r="P1979" s="15"/>
      <c r="Q1979" s="37" t="str">
        <f t="shared" si="4"/>
        <v/>
      </c>
      <c r="R1979" s="37" t="str">
        <f t="shared" si="5"/>
        <v/>
      </c>
      <c r="S1979" s="32" t="str">
        <f t="shared" si="6"/>
        <v/>
      </c>
      <c r="T1979" s="37" t="str">
        <f t="shared" si="7"/>
        <v/>
      </c>
      <c r="U1979" s="37" t="str">
        <f t="array" ref="U1979">IF($F1979="","",IFERROR(INDEX(Config!$F:$F,MATCH($F1979,Config!$D:$D,0)),0))</f>
        <v/>
      </c>
    </row>
    <row r="1980" ht="15.0" customHeight="1">
      <c r="A1980" s="34"/>
      <c r="B1980" s="35"/>
      <c r="C1980" s="15"/>
      <c r="D1980" s="15"/>
      <c r="E1980" s="15"/>
      <c r="F1980" s="15"/>
      <c r="G1980" s="36" t="str">
        <f t="array" ref="G1980">IF($F1980="","",IFERROR(INDEX(Config!$E:$E,MATCH($F1980,Config!$D:$D,0)),0))</f>
        <v/>
      </c>
      <c r="H1980" s="16"/>
      <c r="I1980" s="36" t="str">
        <f t="shared" si="1"/>
        <v/>
      </c>
      <c r="J1980" s="16"/>
      <c r="K1980" s="15"/>
      <c r="L1980" s="15"/>
      <c r="M1980" s="36" t="str">
        <f t="array" ref="M1980">IF($A1980="","",IF($L1980="Atendido",IFERROR($I1980*INDEX(Config!$B:$B,MATCH($C1980,Config!$A:$A,0)),0),0))</f>
        <v/>
      </c>
      <c r="N1980" s="36" t="str">
        <f t="shared" si="2"/>
        <v/>
      </c>
      <c r="O1980" s="36" t="str">
        <f t="shared" si="3"/>
        <v/>
      </c>
      <c r="P1980" s="15"/>
      <c r="Q1980" s="37" t="str">
        <f t="shared" si="4"/>
        <v/>
      </c>
      <c r="R1980" s="37" t="str">
        <f t="shared" si="5"/>
        <v/>
      </c>
      <c r="S1980" s="32" t="str">
        <f t="shared" si="6"/>
        <v/>
      </c>
      <c r="T1980" s="37" t="str">
        <f t="shared" si="7"/>
        <v/>
      </c>
      <c r="U1980" s="37" t="str">
        <f t="array" ref="U1980">IF($F1980="","",IFERROR(INDEX(Config!$F:$F,MATCH($F1980,Config!$D:$D,0)),0))</f>
        <v/>
      </c>
    </row>
    <row r="1981" ht="15.0" customHeight="1">
      <c r="A1981" s="34"/>
      <c r="B1981" s="35"/>
      <c r="C1981" s="15"/>
      <c r="D1981" s="15"/>
      <c r="E1981" s="15"/>
      <c r="F1981" s="15"/>
      <c r="G1981" s="36" t="str">
        <f t="array" ref="G1981">IF($F1981="","",IFERROR(INDEX(Config!$E:$E,MATCH($F1981,Config!$D:$D,0)),0))</f>
        <v/>
      </c>
      <c r="H1981" s="16"/>
      <c r="I1981" s="36" t="str">
        <f t="shared" si="1"/>
        <v/>
      </c>
      <c r="J1981" s="16"/>
      <c r="K1981" s="15"/>
      <c r="L1981" s="15"/>
      <c r="M1981" s="36" t="str">
        <f t="array" ref="M1981">IF($A1981="","",IF($L1981="Atendido",IFERROR($I1981*INDEX(Config!$B:$B,MATCH($C1981,Config!$A:$A,0)),0),0))</f>
        <v/>
      </c>
      <c r="N1981" s="36" t="str">
        <f t="shared" si="2"/>
        <v/>
      </c>
      <c r="O1981" s="36" t="str">
        <f t="shared" si="3"/>
        <v/>
      </c>
      <c r="P1981" s="15"/>
      <c r="Q1981" s="37" t="str">
        <f t="shared" si="4"/>
        <v/>
      </c>
      <c r="R1981" s="37" t="str">
        <f t="shared" si="5"/>
        <v/>
      </c>
      <c r="S1981" s="32" t="str">
        <f t="shared" si="6"/>
        <v/>
      </c>
      <c r="T1981" s="37" t="str">
        <f t="shared" si="7"/>
        <v/>
      </c>
      <c r="U1981" s="37" t="str">
        <f t="array" ref="U1981">IF($F1981="","",IFERROR(INDEX(Config!$F:$F,MATCH($F1981,Config!$D:$D,0)),0))</f>
        <v/>
      </c>
    </row>
    <row r="1982" ht="15.0" customHeight="1">
      <c r="A1982" s="34"/>
      <c r="B1982" s="35"/>
      <c r="C1982" s="15"/>
      <c r="D1982" s="15"/>
      <c r="E1982" s="15"/>
      <c r="F1982" s="15"/>
      <c r="G1982" s="36" t="str">
        <f t="array" ref="G1982">IF($F1982="","",IFERROR(INDEX(Config!$E:$E,MATCH($F1982,Config!$D:$D,0)),0))</f>
        <v/>
      </c>
      <c r="H1982" s="16"/>
      <c r="I1982" s="36" t="str">
        <f t="shared" si="1"/>
        <v/>
      </c>
      <c r="J1982" s="16"/>
      <c r="K1982" s="15"/>
      <c r="L1982" s="15"/>
      <c r="M1982" s="36" t="str">
        <f t="array" ref="M1982">IF($A1982="","",IF($L1982="Atendido",IFERROR($I1982*INDEX(Config!$B:$B,MATCH($C1982,Config!$A:$A,0)),0),0))</f>
        <v/>
      </c>
      <c r="N1982" s="36" t="str">
        <f t="shared" si="2"/>
        <v/>
      </c>
      <c r="O1982" s="36" t="str">
        <f t="shared" si="3"/>
        <v/>
      </c>
      <c r="P1982" s="15"/>
      <c r="Q1982" s="37" t="str">
        <f t="shared" si="4"/>
        <v/>
      </c>
      <c r="R1982" s="37" t="str">
        <f t="shared" si="5"/>
        <v/>
      </c>
      <c r="S1982" s="32" t="str">
        <f t="shared" si="6"/>
        <v/>
      </c>
      <c r="T1982" s="37" t="str">
        <f t="shared" si="7"/>
        <v/>
      </c>
      <c r="U1982" s="37" t="str">
        <f t="array" ref="U1982">IF($F1982="","",IFERROR(INDEX(Config!$F:$F,MATCH($F1982,Config!$D:$D,0)),0))</f>
        <v/>
      </c>
    </row>
    <row r="1983" ht="15.0" customHeight="1">
      <c r="A1983" s="34"/>
      <c r="B1983" s="35"/>
      <c r="C1983" s="15"/>
      <c r="D1983" s="15"/>
      <c r="E1983" s="15"/>
      <c r="F1983" s="15"/>
      <c r="G1983" s="36" t="str">
        <f t="array" ref="G1983">IF($F1983="","",IFERROR(INDEX(Config!$E:$E,MATCH($F1983,Config!$D:$D,0)),0))</f>
        <v/>
      </c>
      <c r="H1983" s="16"/>
      <c r="I1983" s="36" t="str">
        <f t="shared" si="1"/>
        <v/>
      </c>
      <c r="J1983" s="16"/>
      <c r="K1983" s="15"/>
      <c r="L1983" s="15"/>
      <c r="M1983" s="36" t="str">
        <f t="array" ref="M1983">IF($A1983="","",IF($L1983="Atendido",IFERROR($I1983*INDEX(Config!$B:$B,MATCH($C1983,Config!$A:$A,0)),0),0))</f>
        <v/>
      </c>
      <c r="N1983" s="36" t="str">
        <f t="shared" si="2"/>
        <v/>
      </c>
      <c r="O1983" s="36" t="str">
        <f t="shared" si="3"/>
        <v/>
      </c>
      <c r="P1983" s="15"/>
      <c r="Q1983" s="37" t="str">
        <f t="shared" si="4"/>
        <v/>
      </c>
      <c r="R1983" s="37" t="str">
        <f t="shared" si="5"/>
        <v/>
      </c>
      <c r="S1983" s="32" t="str">
        <f t="shared" si="6"/>
        <v/>
      </c>
      <c r="T1983" s="37" t="str">
        <f t="shared" si="7"/>
        <v/>
      </c>
      <c r="U1983" s="37" t="str">
        <f t="array" ref="U1983">IF($F1983="","",IFERROR(INDEX(Config!$F:$F,MATCH($F1983,Config!$D:$D,0)),0))</f>
        <v/>
      </c>
    </row>
    <row r="1984" ht="15.0" customHeight="1">
      <c r="A1984" s="34"/>
      <c r="B1984" s="35"/>
      <c r="C1984" s="15"/>
      <c r="D1984" s="15"/>
      <c r="E1984" s="15"/>
      <c r="F1984" s="15"/>
      <c r="G1984" s="36" t="str">
        <f t="array" ref="G1984">IF($F1984="","",IFERROR(INDEX(Config!$E:$E,MATCH($F1984,Config!$D:$D,0)),0))</f>
        <v/>
      </c>
      <c r="H1984" s="16"/>
      <c r="I1984" s="36" t="str">
        <f t="shared" si="1"/>
        <v/>
      </c>
      <c r="J1984" s="16"/>
      <c r="K1984" s="15"/>
      <c r="L1984" s="15"/>
      <c r="M1984" s="36" t="str">
        <f t="array" ref="M1984">IF($A1984="","",IF($L1984="Atendido",IFERROR($I1984*INDEX(Config!$B:$B,MATCH($C1984,Config!$A:$A,0)),0),0))</f>
        <v/>
      </c>
      <c r="N1984" s="36" t="str">
        <f t="shared" si="2"/>
        <v/>
      </c>
      <c r="O1984" s="36" t="str">
        <f t="shared" si="3"/>
        <v/>
      </c>
      <c r="P1984" s="15"/>
      <c r="Q1984" s="37" t="str">
        <f t="shared" si="4"/>
        <v/>
      </c>
      <c r="R1984" s="37" t="str">
        <f t="shared" si="5"/>
        <v/>
      </c>
      <c r="S1984" s="32" t="str">
        <f t="shared" si="6"/>
        <v/>
      </c>
      <c r="T1984" s="37" t="str">
        <f t="shared" si="7"/>
        <v/>
      </c>
      <c r="U1984" s="37" t="str">
        <f t="array" ref="U1984">IF($F1984="","",IFERROR(INDEX(Config!$F:$F,MATCH($F1984,Config!$D:$D,0)),0))</f>
        <v/>
      </c>
    </row>
    <row r="1985" ht="15.0" customHeight="1">
      <c r="A1985" s="34"/>
      <c r="B1985" s="35"/>
      <c r="C1985" s="15"/>
      <c r="D1985" s="15"/>
      <c r="E1985" s="15"/>
      <c r="F1985" s="15"/>
      <c r="G1985" s="36" t="str">
        <f t="array" ref="G1985">IF($F1985="","",IFERROR(INDEX(Config!$E:$E,MATCH($F1985,Config!$D:$D,0)),0))</f>
        <v/>
      </c>
      <c r="H1985" s="16"/>
      <c r="I1985" s="36" t="str">
        <f t="shared" si="1"/>
        <v/>
      </c>
      <c r="J1985" s="16"/>
      <c r="K1985" s="15"/>
      <c r="L1985" s="15"/>
      <c r="M1985" s="36" t="str">
        <f t="array" ref="M1985">IF($A1985="","",IF($L1985="Atendido",IFERROR($I1985*INDEX(Config!$B:$B,MATCH($C1985,Config!$A:$A,0)),0),0))</f>
        <v/>
      </c>
      <c r="N1985" s="36" t="str">
        <f t="shared" si="2"/>
        <v/>
      </c>
      <c r="O1985" s="36" t="str">
        <f t="shared" si="3"/>
        <v/>
      </c>
      <c r="P1985" s="15"/>
      <c r="Q1985" s="37" t="str">
        <f t="shared" si="4"/>
        <v/>
      </c>
      <c r="R1985" s="37" t="str">
        <f t="shared" si="5"/>
        <v/>
      </c>
      <c r="S1985" s="32" t="str">
        <f t="shared" si="6"/>
        <v/>
      </c>
      <c r="T1985" s="37" t="str">
        <f t="shared" si="7"/>
        <v/>
      </c>
      <c r="U1985" s="37" t="str">
        <f t="array" ref="U1985">IF($F1985="","",IFERROR(INDEX(Config!$F:$F,MATCH($F1985,Config!$D:$D,0)),0))</f>
        <v/>
      </c>
    </row>
    <row r="1986" ht="15.0" customHeight="1">
      <c r="A1986" s="34"/>
      <c r="B1986" s="35"/>
      <c r="C1986" s="15"/>
      <c r="D1986" s="15"/>
      <c r="E1986" s="15"/>
      <c r="F1986" s="15"/>
      <c r="G1986" s="36" t="str">
        <f t="array" ref="G1986">IF($F1986="","",IFERROR(INDEX(Config!$E:$E,MATCH($F1986,Config!$D:$D,0)),0))</f>
        <v/>
      </c>
      <c r="H1986" s="16"/>
      <c r="I1986" s="36" t="str">
        <f t="shared" si="1"/>
        <v/>
      </c>
      <c r="J1986" s="16"/>
      <c r="K1986" s="15"/>
      <c r="L1986" s="15"/>
      <c r="M1986" s="36" t="str">
        <f t="array" ref="M1986">IF($A1986="","",IF($L1986="Atendido",IFERROR($I1986*INDEX(Config!$B:$B,MATCH($C1986,Config!$A:$A,0)),0),0))</f>
        <v/>
      </c>
      <c r="N1986" s="36" t="str">
        <f t="shared" si="2"/>
        <v/>
      </c>
      <c r="O1986" s="36" t="str">
        <f t="shared" si="3"/>
        <v/>
      </c>
      <c r="P1986" s="15"/>
      <c r="Q1986" s="37" t="str">
        <f t="shared" si="4"/>
        <v/>
      </c>
      <c r="R1986" s="37" t="str">
        <f t="shared" si="5"/>
        <v/>
      </c>
      <c r="S1986" s="32" t="str">
        <f t="shared" si="6"/>
        <v/>
      </c>
      <c r="T1986" s="37" t="str">
        <f t="shared" si="7"/>
        <v/>
      </c>
      <c r="U1986" s="37" t="str">
        <f t="array" ref="U1986">IF($F1986="","",IFERROR(INDEX(Config!$F:$F,MATCH($F1986,Config!$D:$D,0)),0))</f>
        <v/>
      </c>
    </row>
    <row r="1987" ht="15.0" customHeight="1">
      <c r="A1987" s="34"/>
      <c r="B1987" s="35"/>
      <c r="C1987" s="15"/>
      <c r="D1987" s="15"/>
      <c r="E1987" s="15"/>
      <c r="F1987" s="15"/>
      <c r="G1987" s="36" t="str">
        <f t="array" ref="G1987">IF($F1987="","",IFERROR(INDEX(Config!$E:$E,MATCH($F1987,Config!$D:$D,0)),0))</f>
        <v/>
      </c>
      <c r="H1987" s="16"/>
      <c r="I1987" s="36" t="str">
        <f t="shared" si="1"/>
        <v/>
      </c>
      <c r="J1987" s="16"/>
      <c r="K1987" s="15"/>
      <c r="L1987" s="15"/>
      <c r="M1987" s="36" t="str">
        <f t="array" ref="M1987">IF($A1987="","",IF($L1987="Atendido",IFERROR($I1987*INDEX(Config!$B:$B,MATCH($C1987,Config!$A:$A,0)),0),0))</f>
        <v/>
      </c>
      <c r="N1987" s="36" t="str">
        <f t="shared" si="2"/>
        <v/>
      </c>
      <c r="O1987" s="36" t="str">
        <f t="shared" si="3"/>
        <v/>
      </c>
      <c r="P1987" s="15"/>
      <c r="Q1987" s="37" t="str">
        <f t="shared" si="4"/>
        <v/>
      </c>
      <c r="R1987" s="37" t="str">
        <f t="shared" si="5"/>
        <v/>
      </c>
      <c r="S1987" s="32" t="str">
        <f t="shared" si="6"/>
        <v/>
      </c>
      <c r="T1987" s="37" t="str">
        <f t="shared" si="7"/>
        <v/>
      </c>
      <c r="U1987" s="37" t="str">
        <f t="array" ref="U1987">IF($F1987="","",IFERROR(INDEX(Config!$F:$F,MATCH($F1987,Config!$D:$D,0)),0))</f>
        <v/>
      </c>
    </row>
    <row r="1988" ht="15.0" customHeight="1">
      <c r="A1988" s="34"/>
      <c r="B1988" s="35"/>
      <c r="C1988" s="15"/>
      <c r="D1988" s="15"/>
      <c r="E1988" s="15"/>
      <c r="F1988" s="15"/>
      <c r="G1988" s="36" t="str">
        <f t="array" ref="G1988">IF($F1988="","",IFERROR(INDEX(Config!$E:$E,MATCH($F1988,Config!$D:$D,0)),0))</f>
        <v/>
      </c>
      <c r="H1988" s="16"/>
      <c r="I1988" s="36" t="str">
        <f t="shared" si="1"/>
        <v/>
      </c>
      <c r="J1988" s="16"/>
      <c r="K1988" s="15"/>
      <c r="L1988" s="15"/>
      <c r="M1988" s="36" t="str">
        <f t="array" ref="M1988">IF($A1988="","",IF($L1988="Atendido",IFERROR($I1988*INDEX(Config!$B:$B,MATCH($C1988,Config!$A:$A,0)),0),0))</f>
        <v/>
      </c>
      <c r="N1988" s="36" t="str">
        <f t="shared" si="2"/>
        <v/>
      </c>
      <c r="O1988" s="36" t="str">
        <f t="shared" si="3"/>
        <v/>
      </c>
      <c r="P1988" s="15"/>
      <c r="Q1988" s="37" t="str">
        <f t="shared" si="4"/>
        <v/>
      </c>
      <c r="R1988" s="37" t="str">
        <f t="shared" si="5"/>
        <v/>
      </c>
      <c r="S1988" s="32" t="str">
        <f t="shared" si="6"/>
        <v/>
      </c>
      <c r="T1988" s="37" t="str">
        <f t="shared" si="7"/>
        <v/>
      </c>
      <c r="U1988" s="37" t="str">
        <f t="array" ref="U1988">IF($F1988="","",IFERROR(INDEX(Config!$F:$F,MATCH($F1988,Config!$D:$D,0)),0))</f>
        <v/>
      </c>
    </row>
    <row r="1989" ht="15.0" customHeight="1">
      <c r="A1989" s="34"/>
      <c r="B1989" s="35"/>
      <c r="C1989" s="15"/>
      <c r="D1989" s="15"/>
      <c r="E1989" s="15"/>
      <c r="F1989" s="15"/>
      <c r="G1989" s="36" t="str">
        <f t="array" ref="G1989">IF($F1989="","",IFERROR(INDEX(Config!$E:$E,MATCH($F1989,Config!$D:$D,0)),0))</f>
        <v/>
      </c>
      <c r="H1989" s="16"/>
      <c r="I1989" s="36" t="str">
        <f t="shared" si="1"/>
        <v/>
      </c>
      <c r="J1989" s="16"/>
      <c r="K1989" s="15"/>
      <c r="L1989" s="15"/>
      <c r="M1989" s="36" t="str">
        <f t="array" ref="M1989">IF($A1989="","",IF($L1989="Atendido",IFERROR($I1989*INDEX(Config!$B:$B,MATCH($C1989,Config!$A:$A,0)),0),0))</f>
        <v/>
      </c>
      <c r="N1989" s="36" t="str">
        <f t="shared" si="2"/>
        <v/>
      </c>
      <c r="O1989" s="36" t="str">
        <f t="shared" si="3"/>
        <v/>
      </c>
      <c r="P1989" s="15"/>
      <c r="Q1989" s="37" t="str">
        <f t="shared" si="4"/>
        <v/>
      </c>
      <c r="R1989" s="37" t="str">
        <f t="shared" si="5"/>
        <v/>
      </c>
      <c r="S1989" s="32" t="str">
        <f t="shared" si="6"/>
        <v/>
      </c>
      <c r="T1989" s="37" t="str">
        <f t="shared" si="7"/>
        <v/>
      </c>
      <c r="U1989" s="37" t="str">
        <f t="array" ref="U1989">IF($F1989="","",IFERROR(INDEX(Config!$F:$F,MATCH($F1989,Config!$D:$D,0)),0))</f>
        <v/>
      </c>
    </row>
    <row r="1990" ht="15.0" customHeight="1">
      <c r="A1990" s="34"/>
      <c r="B1990" s="35"/>
      <c r="C1990" s="15"/>
      <c r="D1990" s="15"/>
      <c r="E1990" s="15"/>
      <c r="F1990" s="15"/>
      <c r="G1990" s="36" t="str">
        <f t="array" ref="G1990">IF($F1990="","",IFERROR(INDEX(Config!$E:$E,MATCH($F1990,Config!$D:$D,0)),0))</f>
        <v/>
      </c>
      <c r="H1990" s="16"/>
      <c r="I1990" s="36" t="str">
        <f t="shared" si="1"/>
        <v/>
      </c>
      <c r="J1990" s="16"/>
      <c r="K1990" s="15"/>
      <c r="L1990" s="15"/>
      <c r="M1990" s="36" t="str">
        <f t="array" ref="M1990">IF($A1990="","",IF($L1990="Atendido",IFERROR($I1990*INDEX(Config!$B:$B,MATCH($C1990,Config!$A:$A,0)),0),0))</f>
        <v/>
      </c>
      <c r="N1990" s="36" t="str">
        <f t="shared" si="2"/>
        <v/>
      </c>
      <c r="O1990" s="36" t="str">
        <f t="shared" si="3"/>
        <v/>
      </c>
      <c r="P1990" s="15"/>
      <c r="Q1990" s="37" t="str">
        <f t="shared" si="4"/>
        <v/>
      </c>
      <c r="R1990" s="37" t="str">
        <f t="shared" si="5"/>
        <v/>
      </c>
      <c r="S1990" s="32" t="str">
        <f t="shared" si="6"/>
        <v/>
      </c>
      <c r="T1990" s="37" t="str">
        <f t="shared" si="7"/>
        <v/>
      </c>
      <c r="U1990" s="37" t="str">
        <f t="array" ref="U1990">IF($F1990="","",IFERROR(INDEX(Config!$F:$F,MATCH($F1990,Config!$D:$D,0)),0))</f>
        <v/>
      </c>
    </row>
    <row r="1991" ht="15.0" customHeight="1">
      <c r="A1991" s="34"/>
      <c r="B1991" s="35"/>
      <c r="C1991" s="15"/>
      <c r="D1991" s="15"/>
      <c r="E1991" s="15"/>
      <c r="F1991" s="15"/>
      <c r="G1991" s="36" t="str">
        <f t="array" ref="G1991">IF($F1991="","",IFERROR(INDEX(Config!$E:$E,MATCH($F1991,Config!$D:$D,0)),0))</f>
        <v/>
      </c>
      <c r="H1991" s="16"/>
      <c r="I1991" s="36" t="str">
        <f t="shared" si="1"/>
        <v/>
      </c>
      <c r="J1991" s="16"/>
      <c r="K1991" s="15"/>
      <c r="L1991" s="15"/>
      <c r="M1991" s="36" t="str">
        <f t="array" ref="M1991">IF($A1991="","",IF($L1991="Atendido",IFERROR($I1991*INDEX(Config!$B:$B,MATCH($C1991,Config!$A:$A,0)),0),0))</f>
        <v/>
      </c>
      <c r="N1991" s="36" t="str">
        <f t="shared" si="2"/>
        <v/>
      </c>
      <c r="O1991" s="36" t="str">
        <f t="shared" si="3"/>
        <v/>
      </c>
      <c r="P1991" s="15"/>
      <c r="Q1991" s="37" t="str">
        <f t="shared" si="4"/>
        <v/>
      </c>
      <c r="R1991" s="37" t="str">
        <f t="shared" si="5"/>
        <v/>
      </c>
      <c r="S1991" s="32" t="str">
        <f t="shared" si="6"/>
        <v/>
      </c>
      <c r="T1991" s="37" t="str">
        <f t="shared" si="7"/>
        <v/>
      </c>
      <c r="U1991" s="37" t="str">
        <f t="array" ref="U1991">IF($F1991="","",IFERROR(INDEX(Config!$F:$F,MATCH($F1991,Config!$D:$D,0)),0))</f>
        <v/>
      </c>
    </row>
    <row r="1992" ht="15.0" customHeight="1">
      <c r="A1992" s="34"/>
      <c r="B1992" s="35"/>
      <c r="C1992" s="15"/>
      <c r="D1992" s="15"/>
      <c r="E1992" s="15"/>
      <c r="F1992" s="15"/>
      <c r="G1992" s="36" t="str">
        <f t="array" ref="G1992">IF($F1992="","",IFERROR(INDEX(Config!$E:$E,MATCH($F1992,Config!$D:$D,0)),0))</f>
        <v/>
      </c>
      <c r="H1992" s="16"/>
      <c r="I1992" s="36" t="str">
        <f t="shared" si="1"/>
        <v/>
      </c>
      <c r="J1992" s="16"/>
      <c r="K1992" s="15"/>
      <c r="L1992" s="15"/>
      <c r="M1992" s="36" t="str">
        <f t="array" ref="M1992">IF($A1992="","",IF($L1992="Atendido",IFERROR($I1992*INDEX(Config!$B:$B,MATCH($C1992,Config!$A:$A,0)),0),0))</f>
        <v/>
      </c>
      <c r="N1992" s="36" t="str">
        <f t="shared" si="2"/>
        <v/>
      </c>
      <c r="O1992" s="36" t="str">
        <f t="shared" si="3"/>
        <v/>
      </c>
      <c r="P1992" s="15"/>
      <c r="Q1992" s="37" t="str">
        <f t="shared" si="4"/>
        <v/>
      </c>
      <c r="R1992" s="37" t="str">
        <f t="shared" si="5"/>
        <v/>
      </c>
      <c r="S1992" s="32" t="str">
        <f t="shared" si="6"/>
        <v/>
      </c>
      <c r="T1992" s="37" t="str">
        <f t="shared" si="7"/>
        <v/>
      </c>
      <c r="U1992" s="37" t="str">
        <f t="array" ref="U1992">IF($F1992="","",IFERROR(INDEX(Config!$F:$F,MATCH($F1992,Config!$D:$D,0)),0))</f>
        <v/>
      </c>
    </row>
    <row r="1993" ht="15.0" customHeight="1">
      <c r="A1993" s="34"/>
      <c r="B1993" s="35"/>
      <c r="C1993" s="15"/>
      <c r="D1993" s="15"/>
      <c r="E1993" s="15"/>
      <c r="F1993" s="15"/>
      <c r="G1993" s="36" t="str">
        <f t="array" ref="G1993">IF($F1993="","",IFERROR(INDEX(Config!$E:$E,MATCH($F1993,Config!$D:$D,0)),0))</f>
        <v/>
      </c>
      <c r="H1993" s="16"/>
      <c r="I1993" s="36" t="str">
        <f t="shared" si="1"/>
        <v/>
      </c>
      <c r="J1993" s="16"/>
      <c r="K1993" s="15"/>
      <c r="L1993" s="15"/>
      <c r="M1993" s="36" t="str">
        <f t="array" ref="M1993">IF($A1993="","",IF($L1993="Atendido",IFERROR($I1993*INDEX(Config!$B:$B,MATCH($C1993,Config!$A:$A,0)),0),0))</f>
        <v/>
      </c>
      <c r="N1993" s="36" t="str">
        <f t="shared" si="2"/>
        <v/>
      </c>
      <c r="O1993" s="36" t="str">
        <f t="shared" si="3"/>
        <v/>
      </c>
      <c r="P1993" s="15"/>
      <c r="Q1993" s="37" t="str">
        <f t="shared" si="4"/>
        <v/>
      </c>
      <c r="R1993" s="37" t="str">
        <f t="shared" si="5"/>
        <v/>
      </c>
      <c r="S1993" s="32" t="str">
        <f t="shared" si="6"/>
        <v/>
      </c>
      <c r="T1993" s="37" t="str">
        <f t="shared" si="7"/>
        <v/>
      </c>
      <c r="U1993" s="37" t="str">
        <f t="array" ref="U1993">IF($F1993="","",IFERROR(INDEX(Config!$F:$F,MATCH($F1993,Config!$D:$D,0)),0))</f>
        <v/>
      </c>
    </row>
    <row r="1994" ht="15.0" customHeight="1">
      <c r="A1994" s="34"/>
      <c r="B1994" s="35"/>
      <c r="C1994" s="15"/>
      <c r="D1994" s="15"/>
      <c r="E1994" s="15"/>
      <c r="F1994" s="15"/>
      <c r="G1994" s="36" t="str">
        <f t="array" ref="G1994">IF($F1994="","",IFERROR(INDEX(Config!$E:$E,MATCH($F1994,Config!$D:$D,0)),0))</f>
        <v/>
      </c>
      <c r="H1994" s="16"/>
      <c r="I1994" s="36" t="str">
        <f t="shared" si="1"/>
        <v/>
      </c>
      <c r="J1994" s="16"/>
      <c r="K1994" s="15"/>
      <c r="L1994" s="15"/>
      <c r="M1994" s="36" t="str">
        <f t="array" ref="M1994">IF($A1994="","",IF($L1994="Atendido",IFERROR($I1994*INDEX(Config!$B:$B,MATCH($C1994,Config!$A:$A,0)),0),0))</f>
        <v/>
      </c>
      <c r="N1994" s="36" t="str">
        <f t="shared" si="2"/>
        <v/>
      </c>
      <c r="O1994" s="36" t="str">
        <f t="shared" si="3"/>
        <v/>
      </c>
      <c r="P1994" s="15"/>
      <c r="Q1994" s="37" t="str">
        <f t="shared" si="4"/>
        <v/>
      </c>
      <c r="R1994" s="37" t="str">
        <f t="shared" si="5"/>
        <v/>
      </c>
      <c r="S1994" s="32" t="str">
        <f t="shared" si="6"/>
        <v/>
      </c>
      <c r="T1994" s="37" t="str">
        <f t="shared" si="7"/>
        <v/>
      </c>
      <c r="U1994" s="37" t="str">
        <f t="array" ref="U1994">IF($F1994="","",IFERROR(INDEX(Config!$F:$F,MATCH($F1994,Config!$D:$D,0)),0))</f>
        <v/>
      </c>
    </row>
    <row r="1995" ht="15.0" customHeight="1">
      <c r="A1995" s="34"/>
      <c r="B1995" s="35"/>
      <c r="C1995" s="15"/>
      <c r="D1995" s="15"/>
      <c r="E1995" s="15"/>
      <c r="F1995" s="15"/>
      <c r="G1995" s="36" t="str">
        <f t="array" ref="G1995">IF($F1995="","",IFERROR(INDEX(Config!$E:$E,MATCH($F1995,Config!$D:$D,0)),0))</f>
        <v/>
      </c>
      <c r="H1995" s="16"/>
      <c r="I1995" s="36" t="str">
        <f t="shared" si="1"/>
        <v/>
      </c>
      <c r="J1995" s="16"/>
      <c r="K1995" s="15"/>
      <c r="L1995" s="15"/>
      <c r="M1995" s="36" t="str">
        <f t="array" ref="M1995">IF($A1995="","",IF($L1995="Atendido",IFERROR($I1995*INDEX(Config!$B:$B,MATCH($C1995,Config!$A:$A,0)),0),0))</f>
        <v/>
      </c>
      <c r="N1995" s="36" t="str">
        <f t="shared" si="2"/>
        <v/>
      </c>
      <c r="O1995" s="36" t="str">
        <f t="shared" si="3"/>
        <v/>
      </c>
      <c r="P1995" s="15"/>
      <c r="Q1995" s="37" t="str">
        <f t="shared" si="4"/>
        <v/>
      </c>
      <c r="R1995" s="37" t="str">
        <f t="shared" si="5"/>
        <v/>
      </c>
      <c r="S1995" s="32" t="str">
        <f t="shared" si="6"/>
        <v/>
      </c>
      <c r="T1995" s="37" t="str">
        <f t="shared" si="7"/>
        <v/>
      </c>
      <c r="U1995" s="37" t="str">
        <f t="array" ref="U1995">IF($F1995="","",IFERROR(INDEX(Config!$F:$F,MATCH($F1995,Config!$D:$D,0)),0))</f>
        <v/>
      </c>
    </row>
    <row r="1996" ht="15.0" customHeight="1">
      <c r="A1996" s="34"/>
      <c r="B1996" s="35"/>
      <c r="C1996" s="15"/>
      <c r="D1996" s="15"/>
      <c r="E1996" s="15"/>
      <c r="F1996" s="15"/>
      <c r="G1996" s="36" t="str">
        <f t="array" ref="G1996">IF($F1996="","",IFERROR(INDEX(Config!$E:$E,MATCH($F1996,Config!$D:$D,0)),0))</f>
        <v/>
      </c>
      <c r="H1996" s="16"/>
      <c r="I1996" s="36" t="str">
        <f t="shared" si="1"/>
        <v/>
      </c>
      <c r="J1996" s="16"/>
      <c r="K1996" s="15"/>
      <c r="L1996" s="15"/>
      <c r="M1996" s="36" t="str">
        <f t="array" ref="M1996">IF($A1996="","",IF($L1996="Atendido",IFERROR($I1996*INDEX(Config!$B:$B,MATCH($C1996,Config!$A:$A,0)),0),0))</f>
        <v/>
      </c>
      <c r="N1996" s="36" t="str">
        <f t="shared" si="2"/>
        <v/>
      </c>
      <c r="O1996" s="36" t="str">
        <f t="shared" si="3"/>
        <v/>
      </c>
      <c r="P1996" s="15"/>
      <c r="Q1996" s="37" t="str">
        <f t="shared" si="4"/>
        <v/>
      </c>
      <c r="R1996" s="37" t="str">
        <f t="shared" si="5"/>
        <v/>
      </c>
      <c r="S1996" s="32" t="str">
        <f t="shared" si="6"/>
        <v/>
      </c>
      <c r="T1996" s="37" t="str">
        <f t="shared" si="7"/>
        <v/>
      </c>
      <c r="U1996" s="37" t="str">
        <f t="array" ref="U1996">IF($F1996="","",IFERROR(INDEX(Config!$F:$F,MATCH($F1996,Config!$D:$D,0)),0))</f>
        <v/>
      </c>
    </row>
    <row r="1997" ht="15.0" customHeight="1">
      <c r="A1997" s="34"/>
      <c r="B1997" s="35"/>
      <c r="C1997" s="15"/>
      <c r="D1997" s="15"/>
      <c r="E1997" s="15"/>
      <c r="F1997" s="15"/>
      <c r="G1997" s="36" t="str">
        <f t="array" ref="G1997">IF($F1997="","",IFERROR(INDEX(Config!$E:$E,MATCH($F1997,Config!$D:$D,0)),0))</f>
        <v/>
      </c>
      <c r="H1997" s="16"/>
      <c r="I1997" s="36" t="str">
        <f t="shared" si="1"/>
        <v/>
      </c>
      <c r="J1997" s="16"/>
      <c r="K1997" s="15"/>
      <c r="L1997" s="15"/>
      <c r="M1997" s="36" t="str">
        <f t="array" ref="M1997">IF($A1997="","",IF($L1997="Atendido",IFERROR($I1997*INDEX(Config!$B:$B,MATCH($C1997,Config!$A:$A,0)),0),0))</f>
        <v/>
      </c>
      <c r="N1997" s="36" t="str">
        <f t="shared" si="2"/>
        <v/>
      </c>
      <c r="O1997" s="36" t="str">
        <f t="shared" si="3"/>
        <v/>
      </c>
      <c r="P1997" s="15"/>
      <c r="Q1997" s="37" t="str">
        <f t="shared" si="4"/>
        <v/>
      </c>
      <c r="R1997" s="37" t="str">
        <f t="shared" si="5"/>
        <v/>
      </c>
      <c r="S1997" s="32" t="str">
        <f t="shared" si="6"/>
        <v/>
      </c>
      <c r="T1997" s="37" t="str">
        <f t="shared" si="7"/>
        <v/>
      </c>
      <c r="U1997" s="37" t="str">
        <f t="array" ref="U1997">IF($F1997="","",IFERROR(INDEX(Config!$F:$F,MATCH($F1997,Config!$D:$D,0)),0))</f>
        <v/>
      </c>
    </row>
    <row r="1998" ht="15.0" customHeight="1">
      <c r="A1998" s="34"/>
      <c r="B1998" s="35"/>
      <c r="C1998" s="15"/>
      <c r="D1998" s="15"/>
      <c r="E1998" s="15"/>
      <c r="F1998" s="15"/>
      <c r="G1998" s="36" t="str">
        <f t="array" ref="G1998">IF($F1998="","",IFERROR(INDEX(Config!$E:$E,MATCH($F1998,Config!$D:$D,0)),0))</f>
        <v/>
      </c>
      <c r="H1998" s="16"/>
      <c r="I1998" s="36" t="str">
        <f t="shared" si="1"/>
        <v/>
      </c>
      <c r="J1998" s="16"/>
      <c r="K1998" s="15"/>
      <c r="L1998" s="15"/>
      <c r="M1998" s="36" t="str">
        <f t="array" ref="M1998">IF($A1998="","",IF($L1998="Atendido",IFERROR($I1998*INDEX(Config!$B:$B,MATCH($C1998,Config!$A:$A,0)),0),0))</f>
        <v/>
      </c>
      <c r="N1998" s="36" t="str">
        <f t="shared" si="2"/>
        <v/>
      </c>
      <c r="O1998" s="36" t="str">
        <f t="shared" si="3"/>
        <v/>
      </c>
      <c r="P1998" s="15"/>
      <c r="Q1998" s="37" t="str">
        <f t="shared" si="4"/>
        <v/>
      </c>
      <c r="R1998" s="37" t="str">
        <f t="shared" si="5"/>
        <v/>
      </c>
      <c r="S1998" s="32" t="str">
        <f t="shared" si="6"/>
        <v/>
      </c>
      <c r="T1998" s="37" t="str">
        <f t="shared" si="7"/>
        <v/>
      </c>
      <c r="U1998" s="37" t="str">
        <f t="array" ref="U1998">IF($F1998="","",IFERROR(INDEX(Config!$F:$F,MATCH($F1998,Config!$D:$D,0)),0))</f>
        <v/>
      </c>
    </row>
    <row r="1999" ht="15.0" customHeight="1">
      <c r="A1999" s="34"/>
      <c r="B1999" s="35"/>
      <c r="C1999" s="15"/>
      <c r="D1999" s="15"/>
      <c r="E1999" s="15"/>
      <c r="F1999" s="15"/>
      <c r="G1999" s="36" t="str">
        <f t="array" ref="G1999">IF($F1999="","",IFERROR(INDEX(Config!$E:$E,MATCH($F1999,Config!$D:$D,0)),0))</f>
        <v/>
      </c>
      <c r="H1999" s="16"/>
      <c r="I1999" s="36" t="str">
        <f t="shared" si="1"/>
        <v/>
      </c>
      <c r="J1999" s="16"/>
      <c r="K1999" s="15"/>
      <c r="L1999" s="15"/>
      <c r="M1999" s="36" t="str">
        <f t="array" ref="M1999">IF($A1999="","",IF($L1999="Atendido",IFERROR($I1999*INDEX(Config!$B:$B,MATCH($C1999,Config!$A:$A,0)),0),0))</f>
        <v/>
      </c>
      <c r="N1999" s="36" t="str">
        <f t="shared" si="2"/>
        <v/>
      </c>
      <c r="O1999" s="36" t="str">
        <f t="shared" si="3"/>
        <v/>
      </c>
      <c r="P1999" s="15"/>
      <c r="Q1999" s="37" t="str">
        <f t="shared" si="4"/>
        <v/>
      </c>
      <c r="R1999" s="37" t="str">
        <f t="shared" si="5"/>
        <v/>
      </c>
      <c r="S1999" s="32" t="str">
        <f t="shared" si="6"/>
        <v/>
      </c>
      <c r="T1999" s="37" t="str">
        <f t="shared" si="7"/>
        <v/>
      </c>
      <c r="U1999" s="37" t="str">
        <f t="array" ref="U1999">IF($F1999="","",IFERROR(INDEX(Config!$F:$F,MATCH($F1999,Config!$D:$D,0)),0))</f>
        <v/>
      </c>
    </row>
    <row r="2000" ht="15.0" customHeight="1">
      <c r="A2000" s="34"/>
      <c r="B2000" s="35"/>
      <c r="C2000" s="15"/>
      <c r="D2000" s="15"/>
      <c r="E2000" s="15"/>
      <c r="F2000" s="15"/>
      <c r="G2000" s="36" t="str">
        <f t="array" ref="G2000">IF($F2000="","",IFERROR(INDEX(Config!$E:$E,MATCH($F2000,Config!$D:$D,0)),0))</f>
        <v/>
      </c>
      <c r="H2000" s="16"/>
      <c r="I2000" s="36" t="str">
        <f t="shared" si="1"/>
        <v/>
      </c>
      <c r="J2000" s="16"/>
      <c r="K2000" s="15"/>
      <c r="L2000" s="15"/>
      <c r="M2000" s="36" t="str">
        <f t="array" ref="M2000">IF($A2000="","",IF($L2000="Atendido",IFERROR($I2000*INDEX(Config!$B:$B,MATCH($C2000,Config!$A:$A,0)),0),0))</f>
        <v/>
      </c>
      <c r="N2000" s="36" t="str">
        <f t="shared" si="2"/>
        <v/>
      </c>
      <c r="O2000" s="36" t="str">
        <f t="shared" si="3"/>
        <v/>
      </c>
      <c r="P2000" s="15"/>
      <c r="Q2000" s="37" t="str">
        <f t="shared" si="4"/>
        <v/>
      </c>
      <c r="R2000" s="37" t="str">
        <f t="shared" si="5"/>
        <v/>
      </c>
      <c r="S2000" s="32" t="str">
        <f t="shared" si="6"/>
        <v/>
      </c>
      <c r="T2000" s="37" t="str">
        <f t="shared" si="7"/>
        <v/>
      </c>
      <c r="U2000" s="37" t="str">
        <f t="array" ref="U2000">IF($F2000="","",IFERROR(INDEX(Config!$F:$F,MATCH($F2000,Config!$D:$D,0)),0))</f>
        <v/>
      </c>
    </row>
    <row r="2001" ht="15.0" customHeight="1">
      <c r="A2001" s="34"/>
      <c r="B2001" s="35"/>
      <c r="C2001" s="15"/>
      <c r="D2001" s="15"/>
      <c r="E2001" s="15"/>
      <c r="F2001" s="15"/>
      <c r="G2001" s="36" t="str">
        <f t="array" ref="G2001">IF($F2001="","",IFERROR(INDEX(Config!$E:$E,MATCH($F2001,Config!$D:$D,0)),0))</f>
        <v/>
      </c>
      <c r="H2001" s="16"/>
      <c r="I2001" s="36" t="str">
        <f t="shared" si="1"/>
        <v/>
      </c>
      <c r="J2001" s="16"/>
      <c r="K2001" s="15"/>
      <c r="L2001" s="15"/>
      <c r="M2001" s="36" t="str">
        <f t="array" ref="M2001">IF($A2001="","",IF($L2001="Atendido",IFERROR($I2001*INDEX(Config!$B:$B,MATCH($C2001,Config!$A:$A,0)),0),0))</f>
        <v/>
      </c>
      <c r="N2001" s="36" t="str">
        <f t="shared" si="2"/>
        <v/>
      </c>
      <c r="O2001" s="36" t="str">
        <f t="shared" si="3"/>
        <v/>
      </c>
      <c r="P2001" s="15"/>
      <c r="Q2001" s="37" t="str">
        <f t="shared" si="4"/>
        <v/>
      </c>
      <c r="R2001" s="37" t="str">
        <f t="shared" si="5"/>
        <v/>
      </c>
      <c r="S2001" s="32" t="str">
        <f t="shared" si="6"/>
        <v/>
      </c>
      <c r="T2001" s="37" t="str">
        <f t="shared" si="7"/>
        <v/>
      </c>
      <c r="U2001" s="37" t="str">
        <f t="array" ref="U2001">IF($F2001="","",IFERROR(INDEX(Config!$F:$F,MATCH($F2001,Config!$D:$D,0)),0))</f>
        <v/>
      </c>
    </row>
    <row r="2002" ht="15.0" customHeight="1">
      <c r="A2002" s="34"/>
      <c r="B2002" s="35"/>
      <c r="C2002" s="15"/>
      <c r="D2002" s="15"/>
      <c r="E2002" s="15"/>
      <c r="F2002" s="15"/>
      <c r="G2002" s="36" t="str">
        <f t="array" ref="G2002">IF($F2002="","",IFERROR(INDEX(Config!$E:$E,MATCH($F2002,Config!$D:$D,0)),0))</f>
        <v/>
      </c>
      <c r="H2002" s="16"/>
      <c r="I2002" s="36" t="str">
        <f t="shared" si="1"/>
        <v/>
      </c>
      <c r="J2002" s="16"/>
      <c r="K2002" s="15"/>
      <c r="L2002" s="15"/>
      <c r="M2002" s="36" t="str">
        <f t="array" ref="M2002">IF($A2002="","",IF($L2002="Atendido",IFERROR($I2002*INDEX(Config!$B:$B,MATCH($C2002,Config!$A:$A,0)),0),0))</f>
        <v/>
      </c>
      <c r="N2002" s="36" t="str">
        <f t="shared" si="2"/>
        <v/>
      </c>
      <c r="O2002" s="36" t="str">
        <f t="shared" si="3"/>
        <v/>
      </c>
      <c r="P2002" s="15"/>
      <c r="Q2002" s="37" t="str">
        <f t="shared" si="4"/>
        <v/>
      </c>
      <c r="R2002" s="37" t="str">
        <f t="shared" si="5"/>
        <v/>
      </c>
      <c r="S2002" s="32" t="str">
        <f t="shared" si="6"/>
        <v/>
      </c>
      <c r="T2002" s="37" t="str">
        <f t="shared" si="7"/>
        <v/>
      </c>
      <c r="U2002" s="37" t="str">
        <f t="array" ref="U2002">IF($F2002="","",IFERROR(INDEX(Config!$F:$F,MATCH($F2002,Config!$D:$D,0)),0))</f>
        <v/>
      </c>
    </row>
    <row r="2003" ht="15.0" customHeight="1">
      <c r="A2003" s="34"/>
      <c r="B2003" s="35"/>
      <c r="C2003" s="15"/>
      <c r="D2003" s="15"/>
      <c r="E2003" s="15"/>
      <c r="F2003" s="15"/>
      <c r="G2003" s="36" t="str">
        <f t="array" ref="G2003">IF($F2003="","",IFERROR(INDEX(Config!$E:$E,MATCH($F2003,Config!$D:$D,0)),0))</f>
        <v/>
      </c>
      <c r="H2003" s="16"/>
      <c r="I2003" s="36" t="str">
        <f t="shared" si="1"/>
        <v/>
      </c>
      <c r="J2003" s="16"/>
      <c r="K2003" s="15"/>
      <c r="L2003" s="15"/>
      <c r="M2003" s="36" t="str">
        <f t="array" ref="M2003">IF($A2003="","",IF($L2003="Atendido",IFERROR($I2003*INDEX(Config!$B:$B,MATCH($C2003,Config!$A:$A,0)),0),0))</f>
        <v/>
      </c>
      <c r="N2003" s="36" t="str">
        <f t="shared" si="2"/>
        <v/>
      </c>
      <c r="O2003" s="36" t="str">
        <f t="shared" si="3"/>
        <v/>
      </c>
      <c r="P2003" s="15"/>
      <c r="Q2003" s="37" t="str">
        <f t="shared" si="4"/>
        <v/>
      </c>
      <c r="R2003" s="37" t="str">
        <f t="shared" si="5"/>
        <v/>
      </c>
      <c r="S2003" s="32" t="str">
        <f t="shared" si="6"/>
        <v/>
      </c>
      <c r="T2003" s="37" t="str">
        <f t="shared" si="7"/>
        <v/>
      </c>
      <c r="U2003" s="37" t="str">
        <f t="array" ref="U2003">IF($F2003="","",IFERROR(INDEX(Config!$F:$F,MATCH($F2003,Config!$D:$D,0)),0))</f>
        <v/>
      </c>
    </row>
    <row r="2004" ht="15.0" customHeight="1">
      <c r="A2004" s="34"/>
      <c r="B2004" s="35"/>
      <c r="C2004" s="15"/>
      <c r="D2004" s="15"/>
      <c r="E2004" s="15"/>
      <c r="F2004" s="15"/>
      <c r="G2004" s="36" t="str">
        <f t="array" ref="G2004">IF($F2004="","",IFERROR(INDEX(Config!$E:$E,MATCH($F2004,Config!$D:$D,0)),0))</f>
        <v/>
      </c>
      <c r="H2004" s="16"/>
      <c r="I2004" s="36" t="str">
        <f t="shared" si="1"/>
        <v/>
      </c>
      <c r="J2004" s="16"/>
      <c r="K2004" s="15"/>
      <c r="L2004" s="15"/>
      <c r="M2004" s="36" t="str">
        <f t="array" ref="M2004">IF($A2004="","",IF($L2004="Atendido",IFERROR($I2004*INDEX(Config!$B:$B,MATCH($C2004,Config!$A:$A,0)),0),0))</f>
        <v/>
      </c>
      <c r="N2004" s="36" t="str">
        <f t="shared" si="2"/>
        <v/>
      </c>
      <c r="O2004" s="36" t="str">
        <f t="shared" si="3"/>
        <v/>
      </c>
      <c r="P2004" s="15"/>
      <c r="Q2004" s="37" t="str">
        <f t="shared" si="4"/>
        <v/>
      </c>
      <c r="R2004" s="37" t="str">
        <f t="shared" si="5"/>
        <v/>
      </c>
      <c r="S2004" s="32" t="str">
        <f t="shared" si="6"/>
        <v/>
      </c>
      <c r="T2004" s="37" t="str">
        <f t="shared" si="7"/>
        <v/>
      </c>
      <c r="U2004" s="37" t="str">
        <f t="array" ref="U2004">IF($F2004="","",IFERROR(INDEX(Config!$F:$F,MATCH($F2004,Config!$D:$D,0)),0))</f>
        <v/>
      </c>
    </row>
    <row r="2005" ht="15.0" customHeight="1">
      <c r="A2005" s="34"/>
      <c r="B2005" s="35"/>
      <c r="C2005" s="15"/>
      <c r="D2005" s="15"/>
      <c r="E2005" s="15"/>
      <c r="F2005" s="15"/>
      <c r="G2005" s="36" t="str">
        <f t="array" ref="G2005">IF($F2005="","",IFERROR(INDEX(Config!$E:$E,MATCH($F2005,Config!$D:$D,0)),0))</f>
        <v/>
      </c>
      <c r="H2005" s="16"/>
      <c r="I2005" s="36" t="str">
        <f t="shared" si="1"/>
        <v/>
      </c>
      <c r="J2005" s="16"/>
      <c r="K2005" s="15"/>
      <c r="L2005" s="15"/>
      <c r="M2005" s="36" t="str">
        <f t="array" ref="M2005">IF($A2005="","",IF($L2005="Atendido",IFERROR($I2005*INDEX(Config!$B:$B,MATCH($C2005,Config!$A:$A,0)),0),0))</f>
        <v/>
      </c>
      <c r="N2005" s="36" t="str">
        <f t="shared" si="2"/>
        <v/>
      </c>
      <c r="O2005" s="36" t="str">
        <f t="shared" si="3"/>
        <v/>
      </c>
      <c r="P2005" s="15"/>
      <c r="Q2005" s="37" t="str">
        <f t="shared" si="4"/>
        <v/>
      </c>
      <c r="R2005" s="37" t="str">
        <f t="shared" si="5"/>
        <v/>
      </c>
      <c r="S2005" s="32" t="str">
        <f t="shared" si="6"/>
        <v/>
      </c>
      <c r="T2005" s="37" t="str">
        <f t="shared" si="7"/>
        <v/>
      </c>
      <c r="U2005" s="37" t="str">
        <f t="array" ref="U2005">IF($F2005="","",IFERROR(INDEX(Config!$F:$F,MATCH($F2005,Config!$D:$D,0)),0))</f>
        <v/>
      </c>
    </row>
    <row r="2006" ht="15.0" customHeight="1">
      <c r="A2006" s="34"/>
      <c r="B2006" s="35"/>
      <c r="C2006" s="15"/>
      <c r="D2006" s="15"/>
      <c r="E2006" s="15"/>
      <c r="F2006" s="15"/>
      <c r="G2006" s="36" t="str">
        <f t="array" ref="G2006">IF($F2006="","",IFERROR(INDEX(Config!$E:$E,MATCH($F2006,Config!$D:$D,0)),0))</f>
        <v/>
      </c>
      <c r="H2006" s="16"/>
      <c r="I2006" s="36" t="str">
        <f t="shared" si="1"/>
        <v/>
      </c>
      <c r="J2006" s="16"/>
      <c r="K2006" s="15"/>
      <c r="L2006" s="15"/>
      <c r="M2006" s="36" t="str">
        <f t="array" ref="M2006">IF($A2006="","",IF($L2006="Atendido",IFERROR($I2006*INDEX(Config!$B:$B,MATCH($C2006,Config!$A:$A,0)),0),0))</f>
        <v/>
      </c>
      <c r="N2006" s="36" t="str">
        <f t="shared" si="2"/>
        <v/>
      </c>
      <c r="O2006" s="36" t="str">
        <f t="shared" si="3"/>
        <v/>
      </c>
      <c r="P2006" s="15"/>
      <c r="Q2006" s="37" t="str">
        <f t="shared" si="4"/>
        <v/>
      </c>
      <c r="R2006" s="37" t="str">
        <f t="shared" si="5"/>
        <v/>
      </c>
      <c r="S2006" s="32" t="str">
        <f t="shared" si="6"/>
        <v/>
      </c>
      <c r="T2006" s="37" t="str">
        <f t="shared" si="7"/>
        <v/>
      </c>
      <c r="U2006" s="37" t="str">
        <f t="array" ref="U2006">IF($F2006="","",IFERROR(INDEX(Config!$F:$F,MATCH($F2006,Config!$D:$D,0)),0))</f>
        <v/>
      </c>
    </row>
    <row r="2007" ht="15.0" customHeight="1">
      <c r="A2007" s="34"/>
      <c r="B2007" s="35"/>
      <c r="C2007" s="15"/>
      <c r="D2007" s="15"/>
      <c r="E2007" s="15"/>
      <c r="F2007" s="15"/>
      <c r="G2007" s="36" t="str">
        <f t="array" ref="G2007">IF($F2007="","",IFERROR(INDEX(Config!$E:$E,MATCH($F2007,Config!$D:$D,0)),0))</f>
        <v/>
      </c>
      <c r="H2007" s="16"/>
      <c r="I2007" s="36" t="str">
        <f t="shared" si="1"/>
        <v/>
      </c>
      <c r="J2007" s="16"/>
      <c r="K2007" s="15"/>
      <c r="L2007" s="15"/>
      <c r="M2007" s="36" t="str">
        <f t="array" ref="M2007">IF($A2007="","",IF($L2007="Atendido",IFERROR($I2007*INDEX(Config!$B:$B,MATCH($C2007,Config!$A:$A,0)),0),0))</f>
        <v/>
      </c>
      <c r="N2007" s="36" t="str">
        <f t="shared" si="2"/>
        <v/>
      </c>
      <c r="O2007" s="36" t="str">
        <f t="shared" si="3"/>
        <v/>
      </c>
      <c r="P2007" s="15"/>
      <c r="Q2007" s="37" t="str">
        <f t="shared" si="4"/>
        <v/>
      </c>
      <c r="R2007" s="37" t="str">
        <f t="shared" si="5"/>
        <v/>
      </c>
      <c r="S2007" s="32" t="str">
        <f t="shared" si="6"/>
        <v/>
      </c>
      <c r="T2007" s="37" t="str">
        <f t="shared" si="7"/>
        <v/>
      </c>
      <c r="U2007" s="37" t="str">
        <f t="array" ref="U2007">IF($F2007="","",IFERROR(INDEX(Config!$F:$F,MATCH($F2007,Config!$D:$D,0)),0))</f>
        <v/>
      </c>
    </row>
    <row r="2008" ht="15.0" customHeight="1">
      <c r="A2008" s="34"/>
      <c r="B2008" s="35"/>
      <c r="C2008" s="15"/>
      <c r="D2008" s="15"/>
      <c r="E2008" s="15"/>
      <c r="F2008" s="15"/>
      <c r="G2008" s="36" t="str">
        <f t="array" ref="G2008">IF($F2008="","",IFERROR(INDEX(Config!$E:$E,MATCH($F2008,Config!$D:$D,0)),0))</f>
        <v/>
      </c>
      <c r="H2008" s="16"/>
      <c r="I2008" s="36" t="str">
        <f t="shared" si="1"/>
        <v/>
      </c>
      <c r="J2008" s="16"/>
      <c r="K2008" s="15"/>
      <c r="L2008" s="15"/>
      <c r="M2008" s="36" t="str">
        <f t="array" ref="M2008">IF($A2008="","",IF($L2008="Atendido",IFERROR($I2008*INDEX(Config!$B:$B,MATCH($C2008,Config!$A:$A,0)),0),0))</f>
        <v/>
      </c>
      <c r="N2008" s="36" t="str">
        <f t="shared" si="2"/>
        <v/>
      </c>
      <c r="O2008" s="36" t="str">
        <f t="shared" si="3"/>
        <v/>
      </c>
      <c r="P2008" s="15"/>
      <c r="Q2008" s="37" t="str">
        <f t="shared" si="4"/>
        <v/>
      </c>
      <c r="R2008" s="37" t="str">
        <f t="shared" si="5"/>
        <v/>
      </c>
      <c r="S2008" s="32" t="str">
        <f t="shared" si="6"/>
        <v/>
      </c>
      <c r="T2008" s="37" t="str">
        <f t="shared" si="7"/>
        <v/>
      </c>
      <c r="U2008" s="37" t="str">
        <f t="array" ref="U2008">IF($F2008="","",IFERROR(INDEX(Config!$F:$F,MATCH($F2008,Config!$D:$D,0)),0))</f>
        <v/>
      </c>
    </row>
    <row r="2009" ht="15.0" customHeight="1">
      <c r="A2009" s="34"/>
      <c r="B2009" s="35"/>
      <c r="C2009" s="15"/>
      <c r="D2009" s="15"/>
      <c r="E2009" s="15"/>
      <c r="F2009" s="15"/>
      <c r="G2009" s="36" t="str">
        <f t="array" ref="G2009">IF($F2009="","",IFERROR(INDEX(Config!$E:$E,MATCH($F2009,Config!$D:$D,0)),0))</f>
        <v/>
      </c>
      <c r="H2009" s="16"/>
      <c r="I2009" s="36" t="str">
        <f t="shared" si="1"/>
        <v/>
      </c>
      <c r="J2009" s="16"/>
      <c r="K2009" s="15"/>
      <c r="L2009" s="15"/>
      <c r="M2009" s="36" t="str">
        <f t="array" ref="M2009">IF($A2009="","",IF($L2009="Atendido",IFERROR($I2009*INDEX(Config!$B:$B,MATCH($C2009,Config!$A:$A,0)),0),0))</f>
        <v/>
      </c>
      <c r="N2009" s="36" t="str">
        <f t="shared" si="2"/>
        <v/>
      </c>
      <c r="O2009" s="36" t="str">
        <f t="shared" si="3"/>
        <v/>
      </c>
      <c r="P2009" s="15"/>
      <c r="Q2009" s="37" t="str">
        <f t="shared" si="4"/>
        <v/>
      </c>
      <c r="R2009" s="37" t="str">
        <f t="shared" si="5"/>
        <v/>
      </c>
      <c r="S2009" s="32" t="str">
        <f t="shared" si="6"/>
        <v/>
      </c>
      <c r="T2009" s="37" t="str">
        <f t="shared" si="7"/>
        <v/>
      </c>
      <c r="U2009" s="37" t="str">
        <f t="array" ref="U2009">IF($F2009="","",IFERROR(INDEX(Config!$F:$F,MATCH($F2009,Config!$D:$D,0)),0))</f>
        <v/>
      </c>
    </row>
    <row r="2010" ht="15.0" customHeight="1">
      <c r="A2010" s="34"/>
      <c r="B2010" s="35"/>
      <c r="C2010" s="15"/>
      <c r="D2010" s="15"/>
      <c r="E2010" s="15"/>
      <c r="F2010" s="15"/>
      <c r="G2010" s="36" t="str">
        <f t="array" ref="G2010">IF($F2010="","",IFERROR(INDEX(Config!$E:$E,MATCH($F2010,Config!$D:$D,0)),0))</f>
        <v/>
      </c>
      <c r="H2010" s="16"/>
      <c r="I2010" s="36" t="str">
        <f t="shared" si="1"/>
        <v/>
      </c>
      <c r="J2010" s="16"/>
      <c r="K2010" s="15"/>
      <c r="L2010" s="15"/>
      <c r="M2010" s="36" t="str">
        <f t="array" ref="M2010">IF($A2010="","",IF($L2010="Atendido",IFERROR($I2010*INDEX(Config!$B:$B,MATCH($C2010,Config!$A:$A,0)),0),0))</f>
        <v/>
      </c>
      <c r="N2010" s="36" t="str">
        <f t="shared" si="2"/>
        <v/>
      </c>
      <c r="O2010" s="36" t="str">
        <f t="shared" si="3"/>
        <v/>
      </c>
      <c r="P2010" s="15"/>
      <c r="Q2010" s="37" t="str">
        <f t="shared" si="4"/>
        <v/>
      </c>
      <c r="R2010" s="37" t="str">
        <f t="shared" si="5"/>
        <v/>
      </c>
      <c r="S2010" s="32" t="str">
        <f t="shared" si="6"/>
        <v/>
      </c>
      <c r="T2010" s="37" t="str">
        <f t="shared" si="7"/>
        <v/>
      </c>
      <c r="U2010" s="37" t="str">
        <f t="array" ref="U2010">IF($F2010="","",IFERROR(INDEX(Config!$F:$F,MATCH($F2010,Config!$D:$D,0)),0))</f>
        <v/>
      </c>
    </row>
    <row r="2011" ht="15.0" customHeight="1">
      <c r="A2011" s="34"/>
      <c r="B2011" s="35"/>
      <c r="C2011" s="15"/>
      <c r="D2011" s="15"/>
      <c r="E2011" s="15"/>
      <c r="F2011" s="15"/>
      <c r="G2011" s="36" t="str">
        <f t="array" ref="G2011">IF($F2011="","",IFERROR(INDEX(Config!$E:$E,MATCH($F2011,Config!$D:$D,0)),0))</f>
        <v/>
      </c>
      <c r="H2011" s="16"/>
      <c r="I2011" s="36" t="str">
        <f t="shared" si="1"/>
        <v/>
      </c>
      <c r="J2011" s="16"/>
      <c r="K2011" s="15"/>
      <c r="L2011" s="15"/>
      <c r="M2011" s="36" t="str">
        <f t="array" ref="M2011">IF($A2011="","",IF($L2011="Atendido",IFERROR($I2011*INDEX(Config!$B:$B,MATCH($C2011,Config!$A:$A,0)),0),0))</f>
        <v/>
      </c>
      <c r="N2011" s="36" t="str">
        <f t="shared" si="2"/>
        <v/>
      </c>
      <c r="O2011" s="36" t="str">
        <f t="shared" si="3"/>
        <v/>
      </c>
      <c r="P2011" s="15"/>
      <c r="Q2011" s="37" t="str">
        <f t="shared" si="4"/>
        <v/>
      </c>
      <c r="R2011" s="37" t="str">
        <f t="shared" si="5"/>
        <v/>
      </c>
      <c r="S2011" s="32" t="str">
        <f t="shared" si="6"/>
        <v/>
      </c>
      <c r="T2011" s="37" t="str">
        <f t="shared" si="7"/>
        <v/>
      </c>
      <c r="U2011" s="37" t="str">
        <f t="array" ref="U2011">IF($F2011="","",IFERROR(INDEX(Config!$F:$F,MATCH($F2011,Config!$D:$D,0)),0))</f>
        <v/>
      </c>
    </row>
    <row r="2012" ht="15.0" customHeight="1">
      <c r="A2012" s="34"/>
      <c r="B2012" s="35"/>
      <c r="C2012" s="15"/>
      <c r="D2012" s="15"/>
      <c r="E2012" s="15"/>
      <c r="F2012" s="15"/>
      <c r="G2012" s="36" t="str">
        <f t="array" ref="G2012">IF($F2012="","",IFERROR(INDEX(Config!$E:$E,MATCH($F2012,Config!$D:$D,0)),0))</f>
        <v/>
      </c>
      <c r="H2012" s="16"/>
      <c r="I2012" s="36" t="str">
        <f t="shared" si="1"/>
        <v/>
      </c>
      <c r="J2012" s="16"/>
      <c r="K2012" s="15"/>
      <c r="L2012" s="15"/>
      <c r="M2012" s="36" t="str">
        <f t="array" ref="M2012">IF($A2012="","",IF($L2012="Atendido",IFERROR($I2012*INDEX(Config!$B:$B,MATCH($C2012,Config!$A:$A,0)),0),0))</f>
        <v/>
      </c>
      <c r="N2012" s="36" t="str">
        <f t="shared" si="2"/>
        <v/>
      </c>
      <c r="O2012" s="36" t="str">
        <f t="shared" si="3"/>
        <v/>
      </c>
      <c r="P2012" s="15"/>
      <c r="Q2012" s="37" t="str">
        <f t="shared" si="4"/>
        <v/>
      </c>
      <c r="R2012" s="37" t="str">
        <f t="shared" si="5"/>
        <v/>
      </c>
      <c r="S2012" s="32" t="str">
        <f t="shared" si="6"/>
        <v/>
      </c>
      <c r="T2012" s="37" t="str">
        <f t="shared" si="7"/>
        <v/>
      </c>
      <c r="U2012" s="37" t="str">
        <f t="array" ref="U2012">IF($F2012="","",IFERROR(INDEX(Config!$F:$F,MATCH($F2012,Config!$D:$D,0)),0))</f>
        <v/>
      </c>
    </row>
    <row r="2013" ht="15.0" customHeight="1">
      <c r="A2013" s="34"/>
      <c r="B2013" s="35"/>
      <c r="C2013" s="15"/>
      <c r="D2013" s="15"/>
      <c r="E2013" s="15"/>
      <c r="F2013" s="15"/>
      <c r="G2013" s="36" t="str">
        <f t="array" ref="G2013">IF($F2013="","",IFERROR(INDEX(Config!$E:$E,MATCH($F2013,Config!$D:$D,0)),0))</f>
        <v/>
      </c>
      <c r="H2013" s="16"/>
      <c r="I2013" s="36" t="str">
        <f t="shared" si="1"/>
        <v/>
      </c>
      <c r="J2013" s="16"/>
      <c r="K2013" s="15"/>
      <c r="L2013" s="15"/>
      <c r="M2013" s="36" t="str">
        <f t="array" ref="M2013">IF($A2013="","",IF($L2013="Atendido",IFERROR($I2013*INDEX(Config!$B:$B,MATCH($C2013,Config!$A:$A,0)),0),0))</f>
        <v/>
      </c>
      <c r="N2013" s="36" t="str">
        <f t="shared" si="2"/>
        <v/>
      </c>
      <c r="O2013" s="36" t="str">
        <f t="shared" si="3"/>
        <v/>
      </c>
      <c r="P2013" s="15"/>
      <c r="Q2013" s="37" t="str">
        <f t="shared" si="4"/>
        <v/>
      </c>
      <c r="R2013" s="37" t="str">
        <f t="shared" si="5"/>
        <v/>
      </c>
      <c r="S2013" s="32" t="str">
        <f t="shared" si="6"/>
        <v/>
      </c>
      <c r="T2013" s="37" t="str">
        <f t="shared" si="7"/>
        <v/>
      </c>
      <c r="U2013" s="37" t="str">
        <f t="array" ref="U2013">IF($F2013="","",IFERROR(INDEX(Config!$F:$F,MATCH($F2013,Config!$D:$D,0)),0))</f>
        <v/>
      </c>
    </row>
    <row r="2014" ht="15.0" customHeight="1">
      <c r="A2014" s="34"/>
      <c r="B2014" s="35"/>
      <c r="C2014" s="15"/>
      <c r="D2014" s="15"/>
      <c r="E2014" s="15"/>
      <c r="F2014" s="15"/>
      <c r="G2014" s="36" t="str">
        <f t="array" ref="G2014">IF($F2014="","",IFERROR(INDEX(Config!$E:$E,MATCH($F2014,Config!$D:$D,0)),0))</f>
        <v/>
      </c>
      <c r="H2014" s="16"/>
      <c r="I2014" s="36" t="str">
        <f t="shared" si="1"/>
        <v/>
      </c>
      <c r="J2014" s="16"/>
      <c r="K2014" s="15"/>
      <c r="L2014" s="15"/>
      <c r="M2014" s="36" t="str">
        <f t="array" ref="M2014">IF($A2014="","",IF($L2014="Atendido",IFERROR($I2014*INDEX(Config!$B:$B,MATCH($C2014,Config!$A:$A,0)),0),0))</f>
        <v/>
      </c>
      <c r="N2014" s="36" t="str">
        <f t="shared" si="2"/>
        <v/>
      </c>
      <c r="O2014" s="36" t="str">
        <f t="shared" si="3"/>
        <v/>
      </c>
      <c r="P2014" s="15"/>
      <c r="Q2014" s="37" t="str">
        <f t="shared" si="4"/>
        <v/>
      </c>
      <c r="R2014" s="37" t="str">
        <f t="shared" si="5"/>
        <v/>
      </c>
      <c r="S2014" s="32" t="str">
        <f t="shared" si="6"/>
        <v/>
      </c>
      <c r="T2014" s="37" t="str">
        <f t="shared" si="7"/>
        <v/>
      </c>
      <c r="U2014" s="37" t="str">
        <f t="array" ref="U2014">IF($F2014="","",IFERROR(INDEX(Config!$F:$F,MATCH($F2014,Config!$D:$D,0)),0))</f>
        <v/>
      </c>
    </row>
    <row r="2015" ht="15.0" customHeight="1">
      <c r="A2015" s="34"/>
      <c r="B2015" s="35"/>
      <c r="C2015" s="15"/>
      <c r="D2015" s="15"/>
      <c r="E2015" s="15"/>
      <c r="F2015" s="15"/>
      <c r="G2015" s="36" t="str">
        <f t="array" ref="G2015">IF($F2015="","",IFERROR(INDEX(Config!$E:$E,MATCH($F2015,Config!$D:$D,0)),0))</f>
        <v/>
      </c>
      <c r="H2015" s="16"/>
      <c r="I2015" s="36" t="str">
        <f t="shared" si="1"/>
        <v/>
      </c>
      <c r="J2015" s="16"/>
      <c r="K2015" s="15"/>
      <c r="L2015" s="15"/>
      <c r="M2015" s="36" t="str">
        <f t="array" ref="M2015">IF($A2015="","",IF($L2015="Atendido",IFERROR($I2015*INDEX(Config!$B:$B,MATCH($C2015,Config!$A:$A,0)),0),0))</f>
        <v/>
      </c>
      <c r="N2015" s="36" t="str">
        <f t="shared" si="2"/>
        <v/>
      </c>
      <c r="O2015" s="36" t="str">
        <f t="shared" si="3"/>
        <v/>
      </c>
      <c r="P2015" s="15"/>
      <c r="Q2015" s="37" t="str">
        <f t="shared" si="4"/>
        <v/>
      </c>
      <c r="R2015" s="37" t="str">
        <f t="shared" si="5"/>
        <v/>
      </c>
      <c r="S2015" s="32" t="str">
        <f t="shared" si="6"/>
        <v/>
      </c>
      <c r="T2015" s="37" t="str">
        <f t="shared" si="7"/>
        <v/>
      </c>
      <c r="U2015" s="37" t="str">
        <f t="array" ref="U2015">IF($F2015="","",IFERROR(INDEX(Config!$F:$F,MATCH($F2015,Config!$D:$D,0)),0))</f>
        <v/>
      </c>
    </row>
    <row r="2016" ht="15.0" customHeight="1">
      <c r="A2016" s="34"/>
      <c r="B2016" s="35"/>
      <c r="C2016" s="15"/>
      <c r="D2016" s="15"/>
      <c r="E2016" s="15"/>
      <c r="F2016" s="15"/>
      <c r="G2016" s="36" t="str">
        <f t="array" ref="G2016">IF($F2016="","",IFERROR(INDEX(Config!$E:$E,MATCH($F2016,Config!$D:$D,0)),0))</f>
        <v/>
      </c>
      <c r="H2016" s="16"/>
      <c r="I2016" s="36" t="str">
        <f t="shared" si="1"/>
        <v/>
      </c>
      <c r="J2016" s="16"/>
      <c r="K2016" s="15"/>
      <c r="L2016" s="15"/>
      <c r="M2016" s="36" t="str">
        <f t="array" ref="M2016">IF($A2016="","",IF($L2016="Atendido",IFERROR($I2016*INDEX(Config!$B:$B,MATCH($C2016,Config!$A:$A,0)),0),0))</f>
        <v/>
      </c>
      <c r="N2016" s="36" t="str">
        <f t="shared" si="2"/>
        <v/>
      </c>
      <c r="O2016" s="36" t="str">
        <f t="shared" si="3"/>
        <v/>
      </c>
      <c r="P2016" s="15"/>
      <c r="Q2016" s="37" t="str">
        <f t="shared" si="4"/>
        <v/>
      </c>
      <c r="R2016" s="37" t="str">
        <f t="shared" si="5"/>
        <v/>
      </c>
      <c r="S2016" s="32" t="str">
        <f t="shared" si="6"/>
        <v/>
      </c>
      <c r="T2016" s="37" t="str">
        <f t="shared" si="7"/>
        <v/>
      </c>
      <c r="U2016" s="37" t="str">
        <f t="array" ref="U2016">IF($F2016="","",IFERROR(INDEX(Config!$F:$F,MATCH($F2016,Config!$D:$D,0)),0))</f>
        <v/>
      </c>
    </row>
    <row r="2017" ht="15.0" customHeight="1">
      <c r="A2017" s="34"/>
      <c r="B2017" s="35"/>
      <c r="C2017" s="15"/>
      <c r="D2017" s="15"/>
      <c r="E2017" s="15"/>
      <c r="F2017" s="15"/>
      <c r="G2017" s="36" t="str">
        <f t="array" ref="G2017">IF($F2017="","",IFERROR(INDEX(Config!$E:$E,MATCH($F2017,Config!$D:$D,0)),0))</f>
        <v/>
      </c>
      <c r="H2017" s="16"/>
      <c r="I2017" s="36" t="str">
        <f t="shared" si="1"/>
        <v/>
      </c>
      <c r="J2017" s="16"/>
      <c r="K2017" s="15"/>
      <c r="L2017" s="15"/>
      <c r="M2017" s="36" t="str">
        <f t="array" ref="M2017">IF($A2017="","",IF($L2017="Atendido",IFERROR($I2017*INDEX(Config!$B:$B,MATCH($C2017,Config!$A:$A,0)),0),0))</f>
        <v/>
      </c>
      <c r="N2017" s="36" t="str">
        <f t="shared" si="2"/>
        <v/>
      </c>
      <c r="O2017" s="36" t="str">
        <f t="shared" si="3"/>
        <v/>
      </c>
      <c r="P2017" s="15"/>
      <c r="Q2017" s="37" t="str">
        <f t="shared" si="4"/>
        <v/>
      </c>
      <c r="R2017" s="37" t="str">
        <f t="shared" si="5"/>
        <v/>
      </c>
      <c r="S2017" s="32" t="str">
        <f t="shared" si="6"/>
        <v/>
      </c>
      <c r="T2017" s="37" t="str">
        <f t="shared" si="7"/>
        <v/>
      </c>
      <c r="U2017" s="37" t="str">
        <f t="array" ref="U2017">IF($F2017="","",IFERROR(INDEX(Config!$F:$F,MATCH($F2017,Config!$D:$D,0)),0))</f>
        <v/>
      </c>
    </row>
    <row r="2018" ht="15.0" customHeight="1">
      <c r="A2018" s="34"/>
      <c r="B2018" s="35"/>
      <c r="C2018" s="15"/>
      <c r="D2018" s="15"/>
      <c r="E2018" s="15"/>
      <c r="F2018" s="15"/>
      <c r="G2018" s="36" t="str">
        <f t="array" ref="G2018">IF($F2018="","",IFERROR(INDEX(Config!$E:$E,MATCH($F2018,Config!$D:$D,0)),0))</f>
        <v/>
      </c>
      <c r="H2018" s="16"/>
      <c r="I2018" s="36" t="str">
        <f t="shared" si="1"/>
        <v/>
      </c>
      <c r="J2018" s="16"/>
      <c r="K2018" s="15"/>
      <c r="L2018" s="15"/>
      <c r="M2018" s="36" t="str">
        <f t="array" ref="M2018">IF($A2018="","",IF($L2018="Atendido",IFERROR($I2018*INDEX(Config!$B:$B,MATCH($C2018,Config!$A:$A,0)),0),0))</f>
        <v/>
      </c>
      <c r="N2018" s="36" t="str">
        <f t="shared" si="2"/>
        <v/>
      </c>
      <c r="O2018" s="36" t="str">
        <f t="shared" si="3"/>
        <v/>
      </c>
      <c r="P2018" s="15"/>
      <c r="Q2018" s="37" t="str">
        <f t="shared" si="4"/>
        <v/>
      </c>
      <c r="R2018" s="37" t="str">
        <f t="shared" si="5"/>
        <v/>
      </c>
      <c r="S2018" s="32" t="str">
        <f t="shared" si="6"/>
        <v/>
      </c>
      <c r="T2018" s="37" t="str">
        <f t="shared" si="7"/>
        <v/>
      </c>
      <c r="U2018" s="37" t="str">
        <f t="array" ref="U2018">IF($F2018="","",IFERROR(INDEX(Config!$F:$F,MATCH($F2018,Config!$D:$D,0)),0))</f>
        <v/>
      </c>
    </row>
    <row r="2019" ht="15.0" customHeight="1">
      <c r="A2019" s="34"/>
      <c r="B2019" s="35"/>
      <c r="C2019" s="15"/>
      <c r="D2019" s="15"/>
      <c r="E2019" s="15"/>
      <c r="F2019" s="15"/>
      <c r="G2019" s="36" t="str">
        <f t="array" ref="G2019">IF($F2019="","",IFERROR(INDEX(Config!$E:$E,MATCH($F2019,Config!$D:$D,0)),0))</f>
        <v/>
      </c>
      <c r="H2019" s="16"/>
      <c r="I2019" s="36" t="str">
        <f t="shared" si="1"/>
        <v/>
      </c>
      <c r="J2019" s="16"/>
      <c r="K2019" s="15"/>
      <c r="L2019" s="15"/>
      <c r="M2019" s="36" t="str">
        <f t="array" ref="M2019">IF($A2019="","",IF($L2019="Atendido",IFERROR($I2019*INDEX(Config!$B:$B,MATCH($C2019,Config!$A:$A,0)),0),0))</f>
        <v/>
      </c>
      <c r="N2019" s="36" t="str">
        <f t="shared" si="2"/>
        <v/>
      </c>
      <c r="O2019" s="36" t="str">
        <f t="shared" si="3"/>
        <v/>
      </c>
      <c r="P2019" s="15"/>
      <c r="Q2019" s="37" t="str">
        <f t="shared" si="4"/>
        <v/>
      </c>
      <c r="R2019" s="37" t="str">
        <f t="shared" si="5"/>
        <v/>
      </c>
      <c r="S2019" s="32" t="str">
        <f t="shared" si="6"/>
        <v/>
      </c>
      <c r="T2019" s="37" t="str">
        <f t="shared" si="7"/>
        <v/>
      </c>
      <c r="U2019" s="37" t="str">
        <f t="array" ref="U2019">IF($F2019="","",IFERROR(INDEX(Config!$F:$F,MATCH($F2019,Config!$D:$D,0)),0))</f>
        <v/>
      </c>
    </row>
    <row r="2020" ht="15.0" customHeight="1">
      <c r="A2020" s="34"/>
      <c r="B2020" s="35"/>
      <c r="C2020" s="15"/>
      <c r="D2020" s="15"/>
      <c r="E2020" s="15"/>
      <c r="F2020" s="15"/>
      <c r="G2020" s="36" t="str">
        <f t="array" ref="G2020">IF($F2020="","",IFERROR(INDEX(Config!$E:$E,MATCH($F2020,Config!$D:$D,0)),0))</f>
        <v/>
      </c>
      <c r="H2020" s="16"/>
      <c r="I2020" s="36" t="str">
        <f t="shared" si="1"/>
        <v/>
      </c>
      <c r="J2020" s="16"/>
      <c r="K2020" s="15"/>
      <c r="L2020" s="15"/>
      <c r="M2020" s="36" t="str">
        <f t="array" ref="M2020">IF($A2020="","",IF($L2020="Atendido",IFERROR($I2020*INDEX(Config!$B:$B,MATCH($C2020,Config!$A:$A,0)),0),0))</f>
        <v/>
      </c>
      <c r="N2020" s="36" t="str">
        <f t="shared" si="2"/>
        <v/>
      </c>
      <c r="O2020" s="36" t="str">
        <f t="shared" si="3"/>
        <v/>
      </c>
      <c r="P2020" s="15"/>
      <c r="Q2020" s="37" t="str">
        <f t="shared" si="4"/>
        <v/>
      </c>
      <c r="R2020" s="37" t="str">
        <f t="shared" si="5"/>
        <v/>
      </c>
      <c r="S2020" s="32" t="str">
        <f t="shared" si="6"/>
        <v/>
      </c>
      <c r="T2020" s="37" t="str">
        <f t="shared" si="7"/>
        <v/>
      </c>
      <c r="U2020" s="37" t="str">
        <f t="array" ref="U2020">IF($F2020="","",IFERROR(INDEX(Config!$F:$F,MATCH($F2020,Config!$D:$D,0)),0))</f>
        <v/>
      </c>
    </row>
    <row r="2021" ht="15.0" customHeight="1">
      <c r="A2021" s="34"/>
      <c r="B2021" s="35"/>
      <c r="C2021" s="15"/>
      <c r="D2021" s="15"/>
      <c r="E2021" s="15"/>
      <c r="F2021" s="15"/>
      <c r="G2021" s="36" t="str">
        <f t="array" ref="G2021">IF($F2021="","",IFERROR(INDEX(Config!$E:$E,MATCH($F2021,Config!$D:$D,0)),0))</f>
        <v/>
      </c>
      <c r="H2021" s="16"/>
      <c r="I2021" s="36" t="str">
        <f t="shared" si="1"/>
        <v/>
      </c>
      <c r="J2021" s="16"/>
      <c r="K2021" s="15"/>
      <c r="L2021" s="15"/>
      <c r="M2021" s="36" t="str">
        <f t="array" ref="M2021">IF($A2021="","",IF($L2021="Atendido",IFERROR($I2021*INDEX(Config!$B:$B,MATCH($C2021,Config!$A:$A,0)),0),0))</f>
        <v/>
      </c>
      <c r="N2021" s="36" t="str">
        <f t="shared" si="2"/>
        <v/>
      </c>
      <c r="O2021" s="36" t="str">
        <f t="shared" si="3"/>
        <v/>
      </c>
      <c r="P2021" s="15"/>
      <c r="Q2021" s="37" t="str">
        <f t="shared" si="4"/>
        <v/>
      </c>
      <c r="R2021" s="37" t="str">
        <f t="shared" si="5"/>
        <v/>
      </c>
      <c r="S2021" s="32" t="str">
        <f t="shared" si="6"/>
        <v/>
      </c>
      <c r="T2021" s="37" t="str">
        <f t="shared" si="7"/>
        <v/>
      </c>
      <c r="U2021" s="37" t="str">
        <f t="array" ref="U2021">IF($F2021="","",IFERROR(INDEX(Config!$F:$F,MATCH($F2021,Config!$D:$D,0)),0))</f>
        <v/>
      </c>
    </row>
    <row r="2022" ht="15.0" customHeight="1">
      <c r="A2022" s="34"/>
      <c r="B2022" s="35"/>
      <c r="C2022" s="15"/>
      <c r="D2022" s="15"/>
      <c r="E2022" s="15"/>
      <c r="F2022" s="15"/>
      <c r="G2022" s="36" t="str">
        <f t="array" ref="G2022">IF($F2022="","",IFERROR(INDEX(Config!$E:$E,MATCH($F2022,Config!$D:$D,0)),0))</f>
        <v/>
      </c>
      <c r="H2022" s="16"/>
      <c r="I2022" s="36" t="str">
        <f t="shared" si="1"/>
        <v/>
      </c>
      <c r="J2022" s="16"/>
      <c r="K2022" s="15"/>
      <c r="L2022" s="15"/>
      <c r="M2022" s="36" t="str">
        <f t="array" ref="M2022">IF($A2022="","",IF($L2022="Atendido",IFERROR($I2022*INDEX(Config!$B:$B,MATCH($C2022,Config!$A:$A,0)),0),0))</f>
        <v/>
      </c>
      <c r="N2022" s="36" t="str">
        <f t="shared" si="2"/>
        <v/>
      </c>
      <c r="O2022" s="36" t="str">
        <f t="shared" si="3"/>
        <v/>
      </c>
      <c r="P2022" s="15"/>
      <c r="Q2022" s="37" t="str">
        <f t="shared" si="4"/>
        <v/>
      </c>
      <c r="R2022" s="37" t="str">
        <f t="shared" si="5"/>
        <v/>
      </c>
      <c r="S2022" s="32" t="str">
        <f t="shared" si="6"/>
        <v/>
      </c>
      <c r="T2022" s="37" t="str">
        <f t="shared" si="7"/>
        <v/>
      </c>
      <c r="U2022" s="37" t="str">
        <f t="array" ref="U2022">IF($F2022="","",IFERROR(INDEX(Config!$F:$F,MATCH($F2022,Config!$D:$D,0)),0))</f>
        <v/>
      </c>
    </row>
    <row r="2023" ht="15.0" customHeight="1">
      <c r="A2023" s="34"/>
      <c r="B2023" s="35"/>
      <c r="C2023" s="15"/>
      <c r="D2023" s="15"/>
      <c r="E2023" s="15"/>
      <c r="F2023" s="15"/>
      <c r="G2023" s="36" t="str">
        <f t="array" ref="G2023">IF($F2023="","",IFERROR(INDEX(Config!$E:$E,MATCH($F2023,Config!$D:$D,0)),0))</f>
        <v/>
      </c>
      <c r="H2023" s="16"/>
      <c r="I2023" s="36" t="str">
        <f t="shared" si="1"/>
        <v/>
      </c>
      <c r="J2023" s="16"/>
      <c r="K2023" s="15"/>
      <c r="L2023" s="15"/>
      <c r="M2023" s="36" t="str">
        <f t="array" ref="M2023">IF($A2023="","",IF($L2023="Atendido",IFERROR($I2023*INDEX(Config!$B:$B,MATCH($C2023,Config!$A:$A,0)),0),0))</f>
        <v/>
      </c>
      <c r="N2023" s="36" t="str">
        <f t="shared" si="2"/>
        <v/>
      </c>
      <c r="O2023" s="36" t="str">
        <f t="shared" si="3"/>
        <v/>
      </c>
      <c r="P2023" s="15"/>
      <c r="Q2023" s="37" t="str">
        <f t="shared" si="4"/>
        <v/>
      </c>
      <c r="R2023" s="37" t="str">
        <f t="shared" si="5"/>
        <v/>
      </c>
      <c r="S2023" s="32" t="str">
        <f t="shared" si="6"/>
        <v/>
      </c>
      <c r="T2023" s="37" t="str">
        <f t="shared" si="7"/>
        <v/>
      </c>
      <c r="U2023" s="37" t="str">
        <f t="array" ref="U2023">IF($F2023="","",IFERROR(INDEX(Config!$F:$F,MATCH($F2023,Config!$D:$D,0)),0))</f>
        <v/>
      </c>
    </row>
    <row r="2024" ht="15.0" customHeight="1">
      <c r="A2024" s="34"/>
      <c r="B2024" s="35"/>
      <c r="C2024" s="15"/>
      <c r="D2024" s="15"/>
      <c r="E2024" s="15"/>
      <c r="F2024" s="15"/>
      <c r="G2024" s="36" t="str">
        <f t="array" ref="G2024">IF($F2024="","",IFERROR(INDEX(Config!$E:$E,MATCH($F2024,Config!$D:$D,0)),0))</f>
        <v/>
      </c>
      <c r="H2024" s="16"/>
      <c r="I2024" s="36" t="str">
        <f t="shared" si="1"/>
        <v/>
      </c>
      <c r="J2024" s="16"/>
      <c r="K2024" s="15"/>
      <c r="L2024" s="15"/>
      <c r="M2024" s="36" t="str">
        <f t="array" ref="M2024">IF($A2024="","",IF($L2024="Atendido",IFERROR($I2024*INDEX(Config!$B:$B,MATCH($C2024,Config!$A:$A,0)),0),0))</f>
        <v/>
      </c>
      <c r="N2024" s="36" t="str">
        <f t="shared" si="2"/>
        <v/>
      </c>
      <c r="O2024" s="36" t="str">
        <f t="shared" si="3"/>
        <v/>
      </c>
      <c r="P2024" s="15"/>
      <c r="Q2024" s="37" t="str">
        <f t="shared" si="4"/>
        <v/>
      </c>
      <c r="R2024" s="37" t="str">
        <f t="shared" si="5"/>
        <v/>
      </c>
      <c r="S2024" s="32" t="str">
        <f t="shared" si="6"/>
        <v/>
      </c>
      <c r="T2024" s="37" t="str">
        <f t="shared" si="7"/>
        <v/>
      </c>
      <c r="U2024" s="37" t="str">
        <f t="array" ref="U2024">IF($F2024="","",IFERROR(INDEX(Config!$F:$F,MATCH($F2024,Config!$D:$D,0)),0))</f>
        <v/>
      </c>
    </row>
    <row r="2025" ht="15.0" customHeight="1">
      <c r="A2025" s="34"/>
      <c r="B2025" s="35"/>
      <c r="C2025" s="15"/>
      <c r="D2025" s="15"/>
      <c r="E2025" s="15"/>
      <c r="F2025" s="15"/>
      <c r="G2025" s="36" t="str">
        <f t="array" ref="G2025">IF($F2025="","",IFERROR(INDEX(Config!$E:$E,MATCH($F2025,Config!$D:$D,0)),0))</f>
        <v/>
      </c>
      <c r="H2025" s="16"/>
      <c r="I2025" s="36" t="str">
        <f t="shared" si="1"/>
        <v/>
      </c>
      <c r="J2025" s="16"/>
      <c r="K2025" s="15"/>
      <c r="L2025" s="15"/>
      <c r="M2025" s="36" t="str">
        <f t="array" ref="M2025">IF($A2025="","",IF($L2025="Atendido",IFERROR($I2025*INDEX(Config!$B:$B,MATCH($C2025,Config!$A:$A,0)),0),0))</f>
        <v/>
      </c>
      <c r="N2025" s="36" t="str">
        <f t="shared" si="2"/>
        <v/>
      </c>
      <c r="O2025" s="36" t="str">
        <f t="shared" si="3"/>
        <v/>
      </c>
      <c r="P2025" s="15"/>
      <c r="Q2025" s="37" t="str">
        <f t="shared" si="4"/>
        <v/>
      </c>
      <c r="R2025" s="37" t="str">
        <f t="shared" si="5"/>
        <v/>
      </c>
      <c r="S2025" s="32" t="str">
        <f t="shared" si="6"/>
        <v/>
      </c>
      <c r="T2025" s="37" t="str">
        <f t="shared" si="7"/>
        <v/>
      </c>
      <c r="U2025" s="37" t="str">
        <f t="array" ref="U2025">IF($F2025="","",IFERROR(INDEX(Config!$F:$F,MATCH($F2025,Config!$D:$D,0)),0))</f>
        <v/>
      </c>
    </row>
    <row r="2026" ht="15.0" customHeight="1">
      <c r="A2026" s="34"/>
      <c r="B2026" s="35"/>
      <c r="C2026" s="15"/>
      <c r="D2026" s="15"/>
      <c r="E2026" s="15"/>
      <c r="F2026" s="15"/>
      <c r="G2026" s="36" t="str">
        <f t="array" ref="G2026">IF($F2026="","",IFERROR(INDEX(Config!$E:$E,MATCH($F2026,Config!$D:$D,0)),0))</f>
        <v/>
      </c>
      <c r="H2026" s="16"/>
      <c r="I2026" s="36" t="str">
        <f t="shared" si="1"/>
        <v/>
      </c>
      <c r="J2026" s="16"/>
      <c r="K2026" s="15"/>
      <c r="L2026" s="15"/>
      <c r="M2026" s="36" t="str">
        <f t="array" ref="M2026">IF($A2026="","",IF($L2026="Atendido",IFERROR($I2026*INDEX(Config!$B:$B,MATCH($C2026,Config!$A:$A,0)),0),0))</f>
        <v/>
      </c>
      <c r="N2026" s="36" t="str">
        <f t="shared" si="2"/>
        <v/>
      </c>
      <c r="O2026" s="36" t="str">
        <f t="shared" si="3"/>
        <v/>
      </c>
      <c r="P2026" s="15"/>
      <c r="Q2026" s="37" t="str">
        <f t="shared" si="4"/>
        <v/>
      </c>
      <c r="R2026" s="37" t="str">
        <f t="shared" si="5"/>
        <v/>
      </c>
      <c r="S2026" s="32" t="str">
        <f t="shared" si="6"/>
        <v/>
      </c>
      <c r="T2026" s="37" t="str">
        <f t="shared" si="7"/>
        <v/>
      </c>
      <c r="U2026" s="37" t="str">
        <f t="array" ref="U2026">IF($F2026="","",IFERROR(INDEX(Config!$F:$F,MATCH($F2026,Config!$D:$D,0)),0))</f>
        <v/>
      </c>
    </row>
    <row r="2027" ht="15.0" customHeight="1">
      <c r="A2027" s="34"/>
      <c r="B2027" s="35"/>
      <c r="C2027" s="15"/>
      <c r="D2027" s="15"/>
      <c r="E2027" s="15"/>
      <c r="F2027" s="15"/>
      <c r="G2027" s="36" t="str">
        <f t="array" ref="G2027">IF($F2027="","",IFERROR(INDEX(Config!$E:$E,MATCH($F2027,Config!$D:$D,0)),0))</f>
        <v/>
      </c>
      <c r="H2027" s="16"/>
      <c r="I2027" s="36" t="str">
        <f t="shared" si="1"/>
        <v/>
      </c>
      <c r="J2027" s="16"/>
      <c r="K2027" s="15"/>
      <c r="L2027" s="15"/>
      <c r="M2027" s="36" t="str">
        <f t="array" ref="M2027">IF($A2027="","",IF($L2027="Atendido",IFERROR($I2027*INDEX(Config!$B:$B,MATCH($C2027,Config!$A:$A,0)),0),0))</f>
        <v/>
      </c>
      <c r="N2027" s="36" t="str">
        <f t="shared" si="2"/>
        <v/>
      </c>
      <c r="O2027" s="36" t="str">
        <f t="shared" si="3"/>
        <v/>
      </c>
      <c r="P2027" s="15"/>
      <c r="Q2027" s="37" t="str">
        <f t="shared" si="4"/>
        <v/>
      </c>
      <c r="R2027" s="37" t="str">
        <f t="shared" si="5"/>
        <v/>
      </c>
      <c r="S2027" s="32" t="str">
        <f t="shared" si="6"/>
        <v/>
      </c>
      <c r="T2027" s="37" t="str">
        <f t="shared" si="7"/>
        <v/>
      </c>
      <c r="U2027" s="37" t="str">
        <f t="array" ref="U2027">IF($F2027="","",IFERROR(INDEX(Config!$F:$F,MATCH($F2027,Config!$D:$D,0)),0))</f>
        <v/>
      </c>
    </row>
    <row r="2028" ht="15.0" customHeight="1">
      <c r="A2028" s="34"/>
      <c r="B2028" s="35"/>
      <c r="C2028" s="15"/>
      <c r="D2028" s="15"/>
      <c r="E2028" s="15"/>
      <c r="F2028" s="15"/>
      <c r="G2028" s="36" t="str">
        <f t="array" ref="G2028">IF($F2028="","",IFERROR(INDEX(Config!$E:$E,MATCH($F2028,Config!$D:$D,0)),0))</f>
        <v/>
      </c>
      <c r="H2028" s="16"/>
      <c r="I2028" s="36" t="str">
        <f t="shared" si="1"/>
        <v/>
      </c>
      <c r="J2028" s="16"/>
      <c r="K2028" s="15"/>
      <c r="L2028" s="15"/>
      <c r="M2028" s="36" t="str">
        <f t="array" ref="M2028">IF($A2028="","",IF($L2028="Atendido",IFERROR($I2028*INDEX(Config!$B:$B,MATCH($C2028,Config!$A:$A,0)),0),0))</f>
        <v/>
      </c>
      <c r="N2028" s="36" t="str">
        <f t="shared" si="2"/>
        <v/>
      </c>
      <c r="O2028" s="36" t="str">
        <f t="shared" si="3"/>
        <v/>
      </c>
      <c r="P2028" s="15"/>
      <c r="Q2028" s="37" t="str">
        <f t="shared" si="4"/>
        <v/>
      </c>
      <c r="R2028" s="37" t="str">
        <f t="shared" si="5"/>
        <v/>
      </c>
      <c r="S2028" s="32" t="str">
        <f t="shared" si="6"/>
        <v/>
      </c>
      <c r="T2028" s="37" t="str">
        <f t="shared" si="7"/>
        <v/>
      </c>
      <c r="U2028" s="37" t="str">
        <f t="array" ref="U2028">IF($F2028="","",IFERROR(INDEX(Config!$F:$F,MATCH($F2028,Config!$D:$D,0)),0))</f>
        <v/>
      </c>
    </row>
    <row r="2029" ht="15.0" customHeight="1">
      <c r="A2029" s="34"/>
      <c r="B2029" s="35"/>
      <c r="C2029" s="15"/>
      <c r="D2029" s="15"/>
      <c r="E2029" s="15"/>
      <c r="F2029" s="15"/>
      <c r="G2029" s="36" t="str">
        <f t="array" ref="G2029">IF($F2029="","",IFERROR(INDEX(Config!$E:$E,MATCH($F2029,Config!$D:$D,0)),0))</f>
        <v/>
      </c>
      <c r="H2029" s="16"/>
      <c r="I2029" s="36" t="str">
        <f t="shared" si="1"/>
        <v/>
      </c>
      <c r="J2029" s="16"/>
      <c r="K2029" s="15"/>
      <c r="L2029" s="15"/>
      <c r="M2029" s="36" t="str">
        <f t="array" ref="M2029">IF($A2029="","",IF($L2029="Atendido",IFERROR($I2029*INDEX(Config!$B:$B,MATCH($C2029,Config!$A:$A,0)),0),0))</f>
        <v/>
      </c>
      <c r="N2029" s="36" t="str">
        <f t="shared" si="2"/>
        <v/>
      </c>
      <c r="O2029" s="36" t="str">
        <f t="shared" si="3"/>
        <v/>
      </c>
      <c r="P2029" s="15"/>
      <c r="Q2029" s="37" t="str">
        <f t="shared" si="4"/>
        <v/>
      </c>
      <c r="R2029" s="37" t="str">
        <f t="shared" si="5"/>
        <v/>
      </c>
      <c r="S2029" s="32" t="str">
        <f t="shared" si="6"/>
        <v/>
      </c>
      <c r="T2029" s="37" t="str">
        <f t="shared" si="7"/>
        <v/>
      </c>
      <c r="U2029" s="37" t="str">
        <f t="array" ref="U2029">IF($F2029="","",IFERROR(INDEX(Config!$F:$F,MATCH($F2029,Config!$D:$D,0)),0))</f>
        <v/>
      </c>
    </row>
    <row r="2030" ht="15.0" customHeight="1">
      <c r="A2030" s="34"/>
      <c r="B2030" s="35"/>
      <c r="C2030" s="15"/>
      <c r="D2030" s="15"/>
      <c r="E2030" s="15"/>
      <c r="F2030" s="15"/>
      <c r="G2030" s="36" t="str">
        <f t="array" ref="G2030">IF($F2030="","",IFERROR(INDEX(Config!$E:$E,MATCH($F2030,Config!$D:$D,0)),0))</f>
        <v/>
      </c>
      <c r="H2030" s="16"/>
      <c r="I2030" s="36" t="str">
        <f t="shared" si="1"/>
        <v/>
      </c>
      <c r="J2030" s="16"/>
      <c r="K2030" s="15"/>
      <c r="L2030" s="15"/>
      <c r="M2030" s="36" t="str">
        <f t="array" ref="M2030">IF($A2030="","",IF($L2030="Atendido",IFERROR($I2030*INDEX(Config!$B:$B,MATCH($C2030,Config!$A:$A,0)),0),0))</f>
        <v/>
      </c>
      <c r="N2030" s="36" t="str">
        <f t="shared" si="2"/>
        <v/>
      </c>
      <c r="O2030" s="36" t="str">
        <f t="shared" si="3"/>
        <v/>
      </c>
      <c r="P2030" s="15"/>
      <c r="Q2030" s="37" t="str">
        <f t="shared" si="4"/>
        <v/>
      </c>
      <c r="R2030" s="37" t="str">
        <f t="shared" si="5"/>
        <v/>
      </c>
      <c r="S2030" s="32" t="str">
        <f t="shared" si="6"/>
        <v/>
      </c>
      <c r="T2030" s="37" t="str">
        <f t="shared" si="7"/>
        <v/>
      </c>
      <c r="U2030" s="37" t="str">
        <f t="array" ref="U2030">IF($F2030="","",IFERROR(INDEX(Config!$F:$F,MATCH($F2030,Config!$D:$D,0)),0))</f>
        <v/>
      </c>
    </row>
    <row r="2031" ht="15.0" customHeight="1">
      <c r="A2031" s="34"/>
      <c r="B2031" s="35"/>
      <c r="C2031" s="15"/>
      <c r="D2031" s="15"/>
      <c r="E2031" s="15"/>
      <c r="F2031" s="15"/>
      <c r="G2031" s="36" t="str">
        <f t="array" ref="G2031">IF($F2031="","",IFERROR(INDEX(Config!$E:$E,MATCH($F2031,Config!$D:$D,0)),0))</f>
        <v/>
      </c>
      <c r="H2031" s="16"/>
      <c r="I2031" s="36" t="str">
        <f t="shared" si="1"/>
        <v/>
      </c>
      <c r="J2031" s="16"/>
      <c r="K2031" s="15"/>
      <c r="L2031" s="15"/>
      <c r="M2031" s="36" t="str">
        <f t="array" ref="M2031">IF($A2031="","",IF($L2031="Atendido",IFERROR($I2031*INDEX(Config!$B:$B,MATCH($C2031,Config!$A:$A,0)),0),0))</f>
        <v/>
      </c>
      <c r="N2031" s="36" t="str">
        <f t="shared" si="2"/>
        <v/>
      </c>
      <c r="O2031" s="36" t="str">
        <f t="shared" si="3"/>
        <v/>
      </c>
      <c r="P2031" s="15"/>
      <c r="Q2031" s="37" t="str">
        <f t="shared" si="4"/>
        <v/>
      </c>
      <c r="R2031" s="37" t="str">
        <f t="shared" si="5"/>
        <v/>
      </c>
      <c r="S2031" s="32" t="str">
        <f t="shared" si="6"/>
        <v/>
      </c>
      <c r="T2031" s="37" t="str">
        <f t="shared" si="7"/>
        <v/>
      </c>
      <c r="U2031" s="37" t="str">
        <f t="array" ref="U2031">IF($F2031="","",IFERROR(INDEX(Config!$F:$F,MATCH($F2031,Config!$D:$D,0)),0))</f>
        <v/>
      </c>
    </row>
    <row r="2032" ht="15.0" customHeight="1">
      <c r="A2032" s="34"/>
      <c r="B2032" s="35"/>
      <c r="C2032" s="15"/>
      <c r="D2032" s="15"/>
      <c r="E2032" s="15"/>
      <c r="F2032" s="15"/>
      <c r="G2032" s="36" t="str">
        <f t="array" ref="G2032">IF($F2032="","",IFERROR(INDEX(Config!$E:$E,MATCH($F2032,Config!$D:$D,0)),0))</f>
        <v/>
      </c>
      <c r="H2032" s="16"/>
      <c r="I2032" s="36" t="str">
        <f t="shared" si="1"/>
        <v/>
      </c>
      <c r="J2032" s="16"/>
      <c r="K2032" s="15"/>
      <c r="L2032" s="15"/>
      <c r="M2032" s="36" t="str">
        <f t="array" ref="M2032">IF($A2032="","",IF($L2032="Atendido",IFERROR($I2032*INDEX(Config!$B:$B,MATCH($C2032,Config!$A:$A,0)),0),0))</f>
        <v/>
      </c>
      <c r="N2032" s="36" t="str">
        <f t="shared" si="2"/>
        <v/>
      </c>
      <c r="O2032" s="36" t="str">
        <f t="shared" si="3"/>
        <v/>
      </c>
      <c r="P2032" s="15"/>
      <c r="Q2032" s="37" t="str">
        <f t="shared" si="4"/>
        <v/>
      </c>
      <c r="R2032" s="37" t="str">
        <f t="shared" si="5"/>
        <v/>
      </c>
      <c r="S2032" s="32" t="str">
        <f t="shared" si="6"/>
        <v/>
      </c>
      <c r="T2032" s="37" t="str">
        <f t="shared" si="7"/>
        <v/>
      </c>
      <c r="U2032" s="37" t="str">
        <f t="array" ref="U2032">IF($F2032="","",IFERROR(INDEX(Config!$F:$F,MATCH($F2032,Config!$D:$D,0)),0))</f>
        <v/>
      </c>
    </row>
    <row r="2033" ht="15.0" customHeight="1">
      <c r="A2033" s="34"/>
      <c r="B2033" s="35"/>
      <c r="C2033" s="15"/>
      <c r="D2033" s="15"/>
      <c r="E2033" s="15"/>
      <c r="F2033" s="15"/>
      <c r="G2033" s="36" t="str">
        <f t="array" ref="G2033">IF($F2033="","",IFERROR(INDEX(Config!$E:$E,MATCH($F2033,Config!$D:$D,0)),0))</f>
        <v/>
      </c>
      <c r="H2033" s="16"/>
      <c r="I2033" s="36" t="str">
        <f t="shared" si="1"/>
        <v/>
      </c>
      <c r="J2033" s="16"/>
      <c r="K2033" s="15"/>
      <c r="L2033" s="15"/>
      <c r="M2033" s="36" t="str">
        <f t="array" ref="M2033">IF($A2033="","",IF($L2033="Atendido",IFERROR($I2033*INDEX(Config!$B:$B,MATCH($C2033,Config!$A:$A,0)),0),0))</f>
        <v/>
      </c>
      <c r="N2033" s="36" t="str">
        <f t="shared" si="2"/>
        <v/>
      </c>
      <c r="O2033" s="36" t="str">
        <f t="shared" si="3"/>
        <v/>
      </c>
      <c r="P2033" s="15"/>
      <c r="Q2033" s="37" t="str">
        <f t="shared" si="4"/>
        <v/>
      </c>
      <c r="R2033" s="37" t="str">
        <f t="shared" si="5"/>
        <v/>
      </c>
      <c r="S2033" s="32" t="str">
        <f t="shared" si="6"/>
        <v/>
      </c>
      <c r="T2033" s="37" t="str">
        <f t="shared" si="7"/>
        <v/>
      </c>
      <c r="U2033" s="37" t="str">
        <f t="array" ref="U2033">IF($F2033="","",IFERROR(INDEX(Config!$F:$F,MATCH($F2033,Config!$D:$D,0)),0))</f>
        <v/>
      </c>
    </row>
    <row r="2034" ht="15.0" customHeight="1">
      <c r="A2034" s="34"/>
      <c r="B2034" s="35"/>
      <c r="C2034" s="15"/>
      <c r="D2034" s="15"/>
      <c r="E2034" s="15"/>
      <c r="F2034" s="15"/>
      <c r="G2034" s="36" t="str">
        <f t="array" ref="G2034">IF($F2034="","",IFERROR(INDEX(Config!$E:$E,MATCH($F2034,Config!$D:$D,0)),0))</f>
        <v/>
      </c>
      <c r="H2034" s="16"/>
      <c r="I2034" s="36" t="str">
        <f t="shared" si="1"/>
        <v/>
      </c>
      <c r="J2034" s="16"/>
      <c r="K2034" s="15"/>
      <c r="L2034" s="15"/>
      <c r="M2034" s="36" t="str">
        <f t="array" ref="M2034">IF($A2034="","",IF($L2034="Atendido",IFERROR($I2034*INDEX(Config!$B:$B,MATCH($C2034,Config!$A:$A,0)),0),0))</f>
        <v/>
      </c>
      <c r="N2034" s="36" t="str">
        <f t="shared" si="2"/>
        <v/>
      </c>
      <c r="O2034" s="36" t="str">
        <f t="shared" si="3"/>
        <v/>
      </c>
      <c r="P2034" s="15"/>
      <c r="Q2034" s="37" t="str">
        <f t="shared" si="4"/>
        <v/>
      </c>
      <c r="R2034" s="37" t="str">
        <f t="shared" si="5"/>
        <v/>
      </c>
      <c r="S2034" s="32" t="str">
        <f t="shared" si="6"/>
        <v/>
      </c>
      <c r="T2034" s="37" t="str">
        <f t="shared" si="7"/>
        <v/>
      </c>
      <c r="U2034" s="37" t="str">
        <f t="array" ref="U2034">IF($F2034="","",IFERROR(INDEX(Config!$F:$F,MATCH($F2034,Config!$D:$D,0)),0))</f>
        <v/>
      </c>
    </row>
    <row r="2035" ht="15.0" customHeight="1">
      <c r="A2035" s="34"/>
      <c r="B2035" s="35"/>
      <c r="C2035" s="15"/>
      <c r="D2035" s="15"/>
      <c r="E2035" s="15"/>
      <c r="F2035" s="15"/>
      <c r="G2035" s="36" t="str">
        <f t="array" ref="G2035">IF($F2035="","",IFERROR(INDEX(Config!$E:$E,MATCH($F2035,Config!$D:$D,0)),0))</f>
        <v/>
      </c>
      <c r="H2035" s="16"/>
      <c r="I2035" s="36" t="str">
        <f t="shared" si="1"/>
        <v/>
      </c>
      <c r="J2035" s="16"/>
      <c r="K2035" s="15"/>
      <c r="L2035" s="15"/>
      <c r="M2035" s="36" t="str">
        <f t="array" ref="M2035">IF($A2035="","",IF($L2035="Atendido",IFERROR($I2035*INDEX(Config!$B:$B,MATCH($C2035,Config!$A:$A,0)),0),0))</f>
        <v/>
      </c>
      <c r="N2035" s="36" t="str">
        <f t="shared" si="2"/>
        <v/>
      </c>
      <c r="O2035" s="36" t="str">
        <f t="shared" si="3"/>
        <v/>
      </c>
      <c r="P2035" s="15"/>
      <c r="Q2035" s="37" t="str">
        <f t="shared" si="4"/>
        <v/>
      </c>
      <c r="R2035" s="37" t="str">
        <f t="shared" si="5"/>
        <v/>
      </c>
      <c r="S2035" s="32" t="str">
        <f t="shared" si="6"/>
        <v/>
      </c>
      <c r="T2035" s="37" t="str">
        <f t="shared" si="7"/>
        <v/>
      </c>
      <c r="U2035" s="37" t="str">
        <f t="array" ref="U2035">IF($F2035="","",IFERROR(INDEX(Config!$F:$F,MATCH($F2035,Config!$D:$D,0)),0))</f>
        <v/>
      </c>
    </row>
    <row r="2036" ht="15.0" customHeight="1">
      <c r="A2036" s="34"/>
      <c r="B2036" s="35"/>
      <c r="C2036" s="15"/>
      <c r="D2036" s="15"/>
      <c r="E2036" s="15"/>
      <c r="F2036" s="15"/>
      <c r="G2036" s="36" t="str">
        <f t="array" ref="G2036">IF($F2036="","",IFERROR(INDEX(Config!$E:$E,MATCH($F2036,Config!$D:$D,0)),0))</f>
        <v/>
      </c>
      <c r="H2036" s="16"/>
      <c r="I2036" s="36" t="str">
        <f t="shared" si="1"/>
        <v/>
      </c>
      <c r="J2036" s="16"/>
      <c r="K2036" s="15"/>
      <c r="L2036" s="15"/>
      <c r="M2036" s="36" t="str">
        <f t="array" ref="M2036">IF($A2036="","",IF($L2036="Atendido",IFERROR($I2036*INDEX(Config!$B:$B,MATCH($C2036,Config!$A:$A,0)),0),0))</f>
        <v/>
      </c>
      <c r="N2036" s="36" t="str">
        <f t="shared" si="2"/>
        <v/>
      </c>
      <c r="O2036" s="36" t="str">
        <f t="shared" si="3"/>
        <v/>
      </c>
      <c r="P2036" s="15"/>
      <c r="Q2036" s="37" t="str">
        <f t="shared" si="4"/>
        <v/>
      </c>
      <c r="R2036" s="37" t="str">
        <f t="shared" si="5"/>
        <v/>
      </c>
      <c r="S2036" s="32" t="str">
        <f t="shared" si="6"/>
        <v/>
      </c>
      <c r="T2036" s="37" t="str">
        <f t="shared" si="7"/>
        <v/>
      </c>
      <c r="U2036" s="37" t="str">
        <f t="array" ref="U2036">IF($F2036="","",IFERROR(INDEX(Config!$F:$F,MATCH($F2036,Config!$D:$D,0)),0))</f>
        <v/>
      </c>
    </row>
    <row r="2037" ht="15.0" customHeight="1">
      <c r="A2037" s="34"/>
      <c r="B2037" s="35"/>
      <c r="C2037" s="15"/>
      <c r="D2037" s="15"/>
      <c r="E2037" s="15"/>
      <c r="F2037" s="15"/>
      <c r="G2037" s="36" t="str">
        <f t="array" ref="G2037">IF($F2037="","",IFERROR(INDEX(Config!$E:$E,MATCH($F2037,Config!$D:$D,0)),0))</f>
        <v/>
      </c>
      <c r="H2037" s="16"/>
      <c r="I2037" s="36" t="str">
        <f t="shared" si="1"/>
        <v/>
      </c>
      <c r="J2037" s="16"/>
      <c r="K2037" s="15"/>
      <c r="L2037" s="15"/>
      <c r="M2037" s="36" t="str">
        <f t="array" ref="M2037">IF($A2037="","",IF($L2037="Atendido",IFERROR($I2037*INDEX(Config!$B:$B,MATCH($C2037,Config!$A:$A,0)),0),0))</f>
        <v/>
      </c>
      <c r="N2037" s="36" t="str">
        <f t="shared" si="2"/>
        <v/>
      </c>
      <c r="O2037" s="36" t="str">
        <f t="shared" si="3"/>
        <v/>
      </c>
      <c r="P2037" s="15"/>
      <c r="Q2037" s="37" t="str">
        <f t="shared" si="4"/>
        <v/>
      </c>
      <c r="R2037" s="37" t="str">
        <f t="shared" si="5"/>
        <v/>
      </c>
      <c r="S2037" s="32" t="str">
        <f t="shared" si="6"/>
        <v/>
      </c>
      <c r="T2037" s="37" t="str">
        <f t="shared" si="7"/>
        <v/>
      </c>
      <c r="U2037" s="37" t="str">
        <f t="array" ref="U2037">IF($F2037="","",IFERROR(INDEX(Config!$F:$F,MATCH($F2037,Config!$D:$D,0)),0))</f>
        <v/>
      </c>
    </row>
    <row r="2038" ht="15.0" customHeight="1">
      <c r="A2038" s="34"/>
      <c r="B2038" s="35"/>
      <c r="C2038" s="15"/>
      <c r="D2038" s="15"/>
      <c r="E2038" s="15"/>
      <c r="F2038" s="15"/>
      <c r="G2038" s="36" t="str">
        <f t="array" ref="G2038">IF($F2038="","",IFERROR(INDEX(Config!$E:$E,MATCH($F2038,Config!$D:$D,0)),0))</f>
        <v/>
      </c>
      <c r="H2038" s="16"/>
      <c r="I2038" s="36" t="str">
        <f t="shared" si="1"/>
        <v/>
      </c>
      <c r="J2038" s="16"/>
      <c r="K2038" s="15"/>
      <c r="L2038" s="15"/>
      <c r="M2038" s="36" t="str">
        <f t="array" ref="M2038">IF($A2038="","",IF($L2038="Atendido",IFERROR($I2038*INDEX(Config!$B:$B,MATCH($C2038,Config!$A:$A,0)),0),0))</f>
        <v/>
      </c>
      <c r="N2038" s="36" t="str">
        <f t="shared" si="2"/>
        <v/>
      </c>
      <c r="O2038" s="36" t="str">
        <f t="shared" si="3"/>
        <v/>
      </c>
      <c r="P2038" s="15"/>
      <c r="Q2038" s="37" t="str">
        <f t="shared" si="4"/>
        <v/>
      </c>
      <c r="R2038" s="37" t="str">
        <f t="shared" si="5"/>
        <v/>
      </c>
      <c r="S2038" s="32" t="str">
        <f t="shared" si="6"/>
        <v/>
      </c>
      <c r="T2038" s="37" t="str">
        <f t="shared" si="7"/>
        <v/>
      </c>
      <c r="U2038" s="37" t="str">
        <f t="array" ref="U2038">IF($F2038="","",IFERROR(INDEX(Config!$F:$F,MATCH($F2038,Config!$D:$D,0)),0))</f>
        <v/>
      </c>
    </row>
    <row r="2039" ht="15.0" customHeight="1">
      <c r="A2039" s="34"/>
      <c r="B2039" s="35"/>
      <c r="C2039" s="15"/>
      <c r="D2039" s="15"/>
      <c r="E2039" s="15"/>
      <c r="F2039" s="15"/>
      <c r="G2039" s="36" t="str">
        <f t="array" ref="G2039">IF($F2039="","",IFERROR(INDEX(Config!$E:$E,MATCH($F2039,Config!$D:$D,0)),0))</f>
        <v/>
      </c>
      <c r="H2039" s="16"/>
      <c r="I2039" s="36" t="str">
        <f t="shared" si="1"/>
        <v/>
      </c>
      <c r="J2039" s="16"/>
      <c r="K2039" s="15"/>
      <c r="L2039" s="15"/>
      <c r="M2039" s="36" t="str">
        <f t="array" ref="M2039">IF($A2039="","",IF($L2039="Atendido",IFERROR($I2039*INDEX(Config!$B:$B,MATCH($C2039,Config!$A:$A,0)),0),0))</f>
        <v/>
      </c>
      <c r="N2039" s="36" t="str">
        <f t="shared" si="2"/>
        <v/>
      </c>
      <c r="O2039" s="36" t="str">
        <f t="shared" si="3"/>
        <v/>
      </c>
      <c r="P2039" s="15"/>
      <c r="Q2039" s="37" t="str">
        <f t="shared" si="4"/>
        <v/>
      </c>
      <c r="R2039" s="37" t="str">
        <f t="shared" si="5"/>
        <v/>
      </c>
      <c r="S2039" s="32" t="str">
        <f t="shared" si="6"/>
        <v/>
      </c>
      <c r="T2039" s="37" t="str">
        <f t="shared" si="7"/>
        <v/>
      </c>
      <c r="U2039" s="37" t="str">
        <f t="array" ref="U2039">IF($F2039="","",IFERROR(INDEX(Config!$F:$F,MATCH($F2039,Config!$D:$D,0)),0))</f>
        <v/>
      </c>
    </row>
    <row r="2040" ht="15.0" customHeight="1">
      <c r="A2040" s="34"/>
      <c r="B2040" s="35"/>
      <c r="C2040" s="15"/>
      <c r="D2040" s="15"/>
      <c r="E2040" s="15"/>
      <c r="F2040" s="15"/>
      <c r="G2040" s="36" t="str">
        <f t="array" ref="G2040">IF($F2040="","",IFERROR(INDEX(Config!$E:$E,MATCH($F2040,Config!$D:$D,0)),0))</f>
        <v/>
      </c>
      <c r="H2040" s="16"/>
      <c r="I2040" s="36" t="str">
        <f t="shared" si="1"/>
        <v/>
      </c>
      <c r="J2040" s="16"/>
      <c r="K2040" s="15"/>
      <c r="L2040" s="15"/>
      <c r="M2040" s="36" t="str">
        <f t="array" ref="M2040">IF($A2040="","",IF($L2040="Atendido",IFERROR($I2040*INDEX(Config!$B:$B,MATCH($C2040,Config!$A:$A,0)),0),0))</f>
        <v/>
      </c>
      <c r="N2040" s="36" t="str">
        <f t="shared" si="2"/>
        <v/>
      </c>
      <c r="O2040" s="36" t="str">
        <f t="shared" si="3"/>
        <v/>
      </c>
      <c r="P2040" s="15"/>
      <c r="Q2040" s="37" t="str">
        <f t="shared" si="4"/>
        <v/>
      </c>
      <c r="R2040" s="37" t="str">
        <f t="shared" si="5"/>
        <v/>
      </c>
      <c r="S2040" s="32" t="str">
        <f t="shared" si="6"/>
        <v/>
      </c>
      <c r="T2040" s="37" t="str">
        <f t="shared" si="7"/>
        <v/>
      </c>
      <c r="U2040" s="37" t="str">
        <f t="array" ref="U2040">IF($F2040="","",IFERROR(INDEX(Config!$F:$F,MATCH($F2040,Config!$D:$D,0)),0))</f>
        <v/>
      </c>
    </row>
    <row r="2041" ht="15.0" customHeight="1">
      <c r="A2041" s="34"/>
      <c r="B2041" s="35"/>
      <c r="C2041" s="15"/>
      <c r="D2041" s="15"/>
      <c r="E2041" s="15"/>
      <c r="F2041" s="15"/>
      <c r="G2041" s="36" t="str">
        <f t="array" ref="G2041">IF($F2041="","",IFERROR(INDEX(Config!$E:$E,MATCH($F2041,Config!$D:$D,0)),0))</f>
        <v/>
      </c>
      <c r="H2041" s="16"/>
      <c r="I2041" s="36" t="str">
        <f t="shared" si="1"/>
        <v/>
      </c>
      <c r="J2041" s="16"/>
      <c r="K2041" s="15"/>
      <c r="L2041" s="15"/>
      <c r="M2041" s="36" t="str">
        <f t="array" ref="M2041">IF($A2041="","",IF($L2041="Atendido",IFERROR($I2041*INDEX(Config!$B:$B,MATCH($C2041,Config!$A:$A,0)),0),0))</f>
        <v/>
      </c>
      <c r="N2041" s="36" t="str">
        <f t="shared" si="2"/>
        <v/>
      </c>
      <c r="O2041" s="36" t="str">
        <f t="shared" si="3"/>
        <v/>
      </c>
      <c r="P2041" s="15"/>
      <c r="Q2041" s="37" t="str">
        <f t="shared" si="4"/>
        <v/>
      </c>
      <c r="R2041" s="37" t="str">
        <f t="shared" si="5"/>
        <v/>
      </c>
      <c r="S2041" s="32" t="str">
        <f t="shared" si="6"/>
        <v/>
      </c>
      <c r="T2041" s="37" t="str">
        <f t="shared" si="7"/>
        <v/>
      </c>
      <c r="U2041" s="37" t="str">
        <f t="array" ref="U2041">IF($F2041="","",IFERROR(INDEX(Config!$F:$F,MATCH($F2041,Config!$D:$D,0)),0))</f>
        <v/>
      </c>
    </row>
    <row r="2042" ht="15.0" customHeight="1">
      <c r="A2042" s="34"/>
      <c r="B2042" s="35"/>
      <c r="C2042" s="15"/>
      <c r="D2042" s="15"/>
      <c r="E2042" s="15"/>
      <c r="F2042" s="15"/>
      <c r="G2042" s="36" t="str">
        <f t="array" ref="G2042">IF($F2042="","",IFERROR(INDEX(Config!$E:$E,MATCH($F2042,Config!$D:$D,0)),0))</f>
        <v/>
      </c>
      <c r="H2042" s="16"/>
      <c r="I2042" s="36" t="str">
        <f t="shared" si="1"/>
        <v/>
      </c>
      <c r="J2042" s="16"/>
      <c r="K2042" s="15"/>
      <c r="L2042" s="15"/>
      <c r="M2042" s="36" t="str">
        <f t="array" ref="M2042">IF($A2042="","",IF($L2042="Atendido",IFERROR($I2042*INDEX(Config!$B:$B,MATCH($C2042,Config!$A:$A,0)),0),0))</f>
        <v/>
      </c>
      <c r="N2042" s="36" t="str">
        <f t="shared" si="2"/>
        <v/>
      </c>
      <c r="O2042" s="36" t="str">
        <f t="shared" si="3"/>
        <v/>
      </c>
      <c r="P2042" s="15"/>
      <c r="Q2042" s="37" t="str">
        <f t="shared" si="4"/>
        <v/>
      </c>
      <c r="R2042" s="37" t="str">
        <f t="shared" si="5"/>
        <v/>
      </c>
      <c r="S2042" s="32" t="str">
        <f t="shared" si="6"/>
        <v/>
      </c>
      <c r="T2042" s="37" t="str">
        <f t="shared" si="7"/>
        <v/>
      </c>
      <c r="U2042" s="37" t="str">
        <f t="array" ref="U2042">IF($F2042="","",IFERROR(INDEX(Config!$F:$F,MATCH($F2042,Config!$D:$D,0)),0))</f>
        <v/>
      </c>
    </row>
    <row r="2043" ht="15.0" customHeight="1">
      <c r="A2043" s="34"/>
      <c r="B2043" s="35"/>
      <c r="C2043" s="15"/>
      <c r="D2043" s="15"/>
      <c r="E2043" s="15"/>
      <c r="F2043" s="15"/>
      <c r="G2043" s="36" t="str">
        <f t="array" ref="G2043">IF($F2043="","",IFERROR(INDEX(Config!$E:$E,MATCH($F2043,Config!$D:$D,0)),0))</f>
        <v/>
      </c>
      <c r="H2043" s="16"/>
      <c r="I2043" s="36" t="str">
        <f t="shared" si="1"/>
        <v/>
      </c>
      <c r="J2043" s="16"/>
      <c r="K2043" s="15"/>
      <c r="L2043" s="15"/>
      <c r="M2043" s="36" t="str">
        <f t="array" ref="M2043">IF($A2043="","",IF($L2043="Atendido",IFERROR($I2043*INDEX(Config!$B:$B,MATCH($C2043,Config!$A:$A,0)),0),0))</f>
        <v/>
      </c>
      <c r="N2043" s="36" t="str">
        <f t="shared" si="2"/>
        <v/>
      </c>
      <c r="O2043" s="36" t="str">
        <f t="shared" si="3"/>
        <v/>
      </c>
      <c r="P2043" s="15"/>
      <c r="Q2043" s="37" t="str">
        <f t="shared" si="4"/>
        <v/>
      </c>
      <c r="R2043" s="37" t="str">
        <f t="shared" si="5"/>
        <v/>
      </c>
      <c r="S2043" s="32" t="str">
        <f t="shared" si="6"/>
        <v/>
      </c>
      <c r="T2043" s="37" t="str">
        <f t="shared" si="7"/>
        <v/>
      </c>
      <c r="U2043" s="37" t="str">
        <f t="array" ref="U2043">IF($F2043="","",IFERROR(INDEX(Config!$F:$F,MATCH($F2043,Config!$D:$D,0)),0))</f>
        <v/>
      </c>
    </row>
    <row r="2044" ht="15.0" customHeight="1">
      <c r="A2044" s="34"/>
      <c r="B2044" s="35"/>
      <c r="C2044" s="15"/>
      <c r="D2044" s="15"/>
      <c r="E2044" s="15"/>
      <c r="F2044" s="15"/>
      <c r="G2044" s="36" t="str">
        <f t="array" ref="G2044">IF($F2044="","",IFERROR(INDEX(Config!$E:$E,MATCH($F2044,Config!$D:$D,0)),0))</f>
        <v/>
      </c>
      <c r="H2044" s="16"/>
      <c r="I2044" s="36" t="str">
        <f t="shared" si="1"/>
        <v/>
      </c>
      <c r="J2044" s="16"/>
      <c r="K2044" s="15"/>
      <c r="L2044" s="15"/>
      <c r="M2044" s="36" t="str">
        <f t="array" ref="M2044">IF($A2044="","",IF($L2044="Atendido",IFERROR($I2044*INDEX(Config!$B:$B,MATCH($C2044,Config!$A:$A,0)),0),0))</f>
        <v/>
      </c>
      <c r="N2044" s="36" t="str">
        <f t="shared" si="2"/>
        <v/>
      </c>
      <c r="O2044" s="36" t="str">
        <f t="shared" si="3"/>
        <v/>
      </c>
      <c r="P2044" s="15"/>
      <c r="Q2044" s="37" t="str">
        <f t="shared" si="4"/>
        <v/>
      </c>
      <c r="R2044" s="37" t="str">
        <f t="shared" si="5"/>
        <v/>
      </c>
      <c r="S2044" s="32" t="str">
        <f t="shared" si="6"/>
        <v/>
      </c>
      <c r="T2044" s="37" t="str">
        <f t="shared" si="7"/>
        <v/>
      </c>
      <c r="U2044" s="37" t="str">
        <f t="array" ref="U2044">IF($F2044="","",IFERROR(INDEX(Config!$F:$F,MATCH($F2044,Config!$D:$D,0)),0))</f>
        <v/>
      </c>
    </row>
    <row r="2045" ht="15.0" customHeight="1">
      <c r="A2045" s="34"/>
      <c r="B2045" s="35"/>
      <c r="C2045" s="15"/>
      <c r="D2045" s="15"/>
      <c r="E2045" s="15"/>
      <c r="F2045" s="15"/>
      <c r="G2045" s="36" t="str">
        <f t="array" ref="G2045">IF($F2045="","",IFERROR(INDEX(Config!$E:$E,MATCH($F2045,Config!$D:$D,0)),0))</f>
        <v/>
      </c>
      <c r="H2045" s="16"/>
      <c r="I2045" s="36" t="str">
        <f t="shared" si="1"/>
        <v/>
      </c>
      <c r="J2045" s="16"/>
      <c r="K2045" s="15"/>
      <c r="L2045" s="15"/>
      <c r="M2045" s="36" t="str">
        <f t="array" ref="M2045">IF($A2045="","",IF($L2045="Atendido",IFERROR($I2045*INDEX(Config!$B:$B,MATCH($C2045,Config!$A:$A,0)),0),0))</f>
        <v/>
      </c>
      <c r="N2045" s="36" t="str">
        <f t="shared" si="2"/>
        <v/>
      </c>
      <c r="O2045" s="36" t="str">
        <f t="shared" si="3"/>
        <v/>
      </c>
      <c r="P2045" s="15"/>
      <c r="Q2045" s="37" t="str">
        <f t="shared" si="4"/>
        <v/>
      </c>
      <c r="R2045" s="37" t="str">
        <f t="shared" si="5"/>
        <v/>
      </c>
      <c r="S2045" s="32" t="str">
        <f t="shared" si="6"/>
        <v/>
      </c>
      <c r="T2045" s="37" t="str">
        <f t="shared" si="7"/>
        <v/>
      </c>
      <c r="U2045" s="37" t="str">
        <f t="array" ref="U2045">IF($F2045="","",IFERROR(INDEX(Config!$F:$F,MATCH($F2045,Config!$D:$D,0)),0))</f>
        <v/>
      </c>
    </row>
    <row r="2046" ht="15.0" customHeight="1">
      <c r="A2046" s="34"/>
      <c r="B2046" s="35"/>
      <c r="C2046" s="15"/>
      <c r="D2046" s="15"/>
      <c r="E2046" s="15"/>
      <c r="F2046" s="15"/>
      <c r="G2046" s="36" t="str">
        <f t="array" ref="G2046">IF($F2046="","",IFERROR(INDEX(Config!$E:$E,MATCH($F2046,Config!$D:$D,0)),0))</f>
        <v/>
      </c>
      <c r="H2046" s="16"/>
      <c r="I2046" s="36" t="str">
        <f t="shared" si="1"/>
        <v/>
      </c>
      <c r="J2046" s="16"/>
      <c r="K2046" s="15"/>
      <c r="L2046" s="15"/>
      <c r="M2046" s="36" t="str">
        <f t="array" ref="M2046">IF($A2046="","",IF($L2046="Atendido",IFERROR($I2046*INDEX(Config!$B:$B,MATCH($C2046,Config!$A:$A,0)),0),0))</f>
        <v/>
      </c>
      <c r="N2046" s="36" t="str">
        <f t="shared" si="2"/>
        <v/>
      </c>
      <c r="O2046" s="36" t="str">
        <f t="shared" si="3"/>
        <v/>
      </c>
      <c r="P2046" s="15"/>
      <c r="Q2046" s="37" t="str">
        <f t="shared" si="4"/>
        <v/>
      </c>
      <c r="R2046" s="37" t="str">
        <f t="shared" si="5"/>
        <v/>
      </c>
      <c r="S2046" s="32" t="str">
        <f t="shared" si="6"/>
        <v/>
      </c>
      <c r="T2046" s="37" t="str">
        <f t="shared" si="7"/>
        <v/>
      </c>
      <c r="U2046" s="37" t="str">
        <f t="array" ref="U2046">IF($F2046="","",IFERROR(INDEX(Config!$F:$F,MATCH($F2046,Config!$D:$D,0)),0))</f>
        <v/>
      </c>
    </row>
    <row r="2047" ht="15.0" customHeight="1">
      <c r="A2047" s="34"/>
      <c r="B2047" s="35"/>
      <c r="C2047" s="15"/>
      <c r="D2047" s="15"/>
      <c r="E2047" s="15"/>
      <c r="F2047" s="15"/>
      <c r="G2047" s="36" t="str">
        <f t="array" ref="G2047">IF($F2047="","",IFERROR(INDEX(Config!$E:$E,MATCH($F2047,Config!$D:$D,0)),0))</f>
        <v/>
      </c>
      <c r="H2047" s="16"/>
      <c r="I2047" s="36" t="str">
        <f t="shared" si="1"/>
        <v/>
      </c>
      <c r="J2047" s="16"/>
      <c r="K2047" s="15"/>
      <c r="L2047" s="15"/>
      <c r="M2047" s="36" t="str">
        <f t="array" ref="M2047">IF($A2047="","",IF($L2047="Atendido",IFERROR($I2047*INDEX(Config!$B:$B,MATCH($C2047,Config!$A:$A,0)),0),0))</f>
        <v/>
      </c>
      <c r="N2047" s="36" t="str">
        <f t="shared" si="2"/>
        <v/>
      </c>
      <c r="O2047" s="36" t="str">
        <f t="shared" si="3"/>
        <v/>
      </c>
      <c r="P2047" s="15"/>
      <c r="Q2047" s="37" t="str">
        <f t="shared" si="4"/>
        <v/>
      </c>
      <c r="R2047" s="37" t="str">
        <f t="shared" si="5"/>
        <v/>
      </c>
      <c r="S2047" s="32" t="str">
        <f t="shared" si="6"/>
        <v/>
      </c>
      <c r="T2047" s="37" t="str">
        <f t="shared" si="7"/>
        <v/>
      </c>
      <c r="U2047" s="37" t="str">
        <f t="array" ref="U2047">IF($F2047="","",IFERROR(INDEX(Config!$F:$F,MATCH($F2047,Config!$D:$D,0)),0))</f>
        <v/>
      </c>
    </row>
    <row r="2048" ht="15.0" customHeight="1">
      <c r="A2048" s="34"/>
      <c r="B2048" s="35"/>
      <c r="C2048" s="15"/>
      <c r="D2048" s="15"/>
      <c r="E2048" s="15"/>
      <c r="F2048" s="15"/>
      <c r="G2048" s="36" t="str">
        <f t="array" ref="G2048">IF($F2048="","",IFERROR(INDEX(Config!$E:$E,MATCH($F2048,Config!$D:$D,0)),0))</f>
        <v/>
      </c>
      <c r="H2048" s="16"/>
      <c r="I2048" s="36" t="str">
        <f t="shared" si="1"/>
        <v/>
      </c>
      <c r="J2048" s="16"/>
      <c r="K2048" s="15"/>
      <c r="L2048" s="15"/>
      <c r="M2048" s="36" t="str">
        <f t="array" ref="M2048">IF($A2048="","",IF($L2048="Atendido",IFERROR($I2048*INDEX(Config!$B:$B,MATCH($C2048,Config!$A:$A,0)),0),0))</f>
        <v/>
      </c>
      <c r="N2048" s="36" t="str">
        <f t="shared" si="2"/>
        <v/>
      </c>
      <c r="O2048" s="36" t="str">
        <f t="shared" si="3"/>
        <v/>
      </c>
      <c r="P2048" s="15"/>
      <c r="Q2048" s="37" t="str">
        <f t="shared" si="4"/>
        <v/>
      </c>
      <c r="R2048" s="37" t="str">
        <f t="shared" si="5"/>
        <v/>
      </c>
      <c r="S2048" s="32" t="str">
        <f t="shared" si="6"/>
        <v/>
      </c>
      <c r="T2048" s="37" t="str">
        <f t="shared" si="7"/>
        <v/>
      </c>
      <c r="U2048" s="37" t="str">
        <f t="array" ref="U2048">IF($F2048="","",IFERROR(INDEX(Config!$F:$F,MATCH($F2048,Config!$D:$D,0)),0))</f>
        <v/>
      </c>
    </row>
    <row r="2049" ht="15.0" customHeight="1">
      <c r="A2049" s="34"/>
      <c r="B2049" s="35"/>
      <c r="C2049" s="15"/>
      <c r="D2049" s="15"/>
      <c r="E2049" s="15"/>
      <c r="F2049" s="15"/>
      <c r="G2049" s="36" t="str">
        <f t="array" ref="G2049">IF($F2049="","",IFERROR(INDEX(Config!$E:$E,MATCH($F2049,Config!$D:$D,0)),0))</f>
        <v/>
      </c>
      <c r="H2049" s="16"/>
      <c r="I2049" s="36" t="str">
        <f t="shared" si="1"/>
        <v/>
      </c>
      <c r="J2049" s="16"/>
      <c r="K2049" s="15"/>
      <c r="L2049" s="15"/>
      <c r="M2049" s="36" t="str">
        <f t="array" ref="M2049">IF($A2049="","",IF($L2049="Atendido",IFERROR($I2049*INDEX(Config!$B:$B,MATCH($C2049,Config!$A:$A,0)),0),0))</f>
        <v/>
      </c>
      <c r="N2049" s="36" t="str">
        <f t="shared" si="2"/>
        <v/>
      </c>
      <c r="O2049" s="36" t="str">
        <f t="shared" si="3"/>
        <v/>
      </c>
      <c r="P2049" s="15"/>
      <c r="Q2049" s="37" t="str">
        <f t="shared" si="4"/>
        <v/>
      </c>
      <c r="R2049" s="37" t="str">
        <f t="shared" si="5"/>
        <v/>
      </c>
      <c r="S2049" s="32" t="str">
        <f t="shared" si="6"/>
        <v/>
      </c>
      <c r="T2049" s="37" t="str">
        <f t="shared" si="7"/>
        <v/>
      </c>
      <c r="U2049" s="37" t="str">
        <f t="array" ref="U2049">IF($F2049="","",IFERROR(INDEX(Config!$F:$F,MATCH($F2049,Config!$D:$D,0)),0))</f>
        <v/>
      </c>
    </row>
    <row r="2050" ht="15.0" customHeight="1">
      <c r="A2050" s="34"/>
      <c r="B2050" s="35"/>
      <c r="C2050" s="15"/>
      <c r="D2050" s="15"/>
      <c r="E2050" s="15"/>
      <c r="F2050" s="15"/>
      <c r="G2050" s="36" t="str">
        <f t="array" ref="G2050">IF($F2050="","",IFERROR(INDEX(Config!$E:$E,MATCH($F2050,Config!$D:$D,0)),0))</f>
        <v/>
      </c>
      <c r="H2050" s="16"/>
      <c r="I2050" s="36" t="str">
        <f t="shared" si="1"/>
        <v/>
      </c>
      <c r="J2050" s="16"/>
      <c r="K2050" s="15"/>
      <c r="L2050" s="15"/>
      <c r="M2050" s="36" t="str">
        <f t="array" ref="M2050">IF($A2050="","",IF($L2050="Atendido",IFERROR($I2050*INDEX(Config!$B:$B,MATCH($C2050,Config!$A:$A,0)),0),0))</f>
        <v/>
      </c>
      <c r="N2050" s="36" t="str">
        <f t="shared" si="2"/>
        <v/>
      </c>
      <c r="O2050" s="36" t="str">
        <f t="shared" si="3"/>
        <v/>
      </c>
      <c r="P2050" s="15"/>
      <c r="Q2050" s="37" t="str">
        <f t="shared" si="4"/>
        <v/>
      </c>
      <c r="R2050" s="37" t="str">
        <f t="shared" si="5"/>
        <v/>
      </c>
      <c r="S2050" s="32" t="str">
        <f t="shared" si="6"/>
        <v/>
      </c>
      <c r="T2050" s="37" t="str">
        <f t="shared" si="7"/>
        <v/>
      </c>
      <c r="U2050" s="37" t="str">
        <f t="array" ref="U2050">IF($F2050="","",IFERROR(INDEX(Config!$F:$F,MATCH($F2050,Config!$D:$D,0)),0))</f>
        <v/>
      </c>
    </row>
    <row r="2051" ht="15.0" customHeight="1">
      <c r="A2051" s="34"/>
      <c r="B2051" s="35"/>
      <c r="C2051" s="15"/>
      <c r="D2051" s="15"/>
      <c r="E2051" s="15"/>
      <c r="F2051" s="15"/>
      <c r="G2051" s="36" t="str">
        <f t="array" ref="G2051">IF($F2051="","",IFERROR(INDEX(Config!$E:$E,MATCH($F2051,Config!$D:$D,0)),0))</f>
        <v/>
      </c>
      <c r="H2051" s="16"/>
      <c r="I2051" s="36" t="str">
        <f t="shared" si="1"/>
        <v/>
      </c>
      <c r="J2051" s="16"/>
      <c r="K2051" s="15"/>
      <c r="L2051" s="15"/>
      <c r="M2051" s="36" t="str">
        <f t="array" ref="M2051">IF($A2051="","",IF($L2051="Atendido",IFERROR($I2051*INDEX(Config!$B:$B,MATCH($C2051,Config!$A:$A,0)),0),0))</f>
        <v/>
      </c>
      <c r="N2051" s="36" t="str">
        <f t="shared" si="2"/>
        <v/>
      </c>
      <c r="O2051" s="36" t="str">
        <f t="shared" si="3"/>
        <v/>
      </c>
      <c r="P2051" s="15"/>
      <c r="Q2051" s="37" t="str">
        <f t="shared" si="4"/>
        <v/>
      </c>
      <c r="R2051" s="37" t="str">
        <f t="shared" si="5"/>
        <v/>
      </c>
      <c r="S2051" s="32" t="str">
        <f t="shared" si="6"/>
        <v/>
      </c>
      <c r="T2051" s="37" t="str">
        <f t="shared" si="7"/>
        <v/>
      </c>
      <c r="U2051" s="37" t="str">
        <f t="array" ref="U2051">IF($F2051="","",IFERROR(INDEX(Config!$F:$F,MATCH($F2051,Config!$D:$D,0)),0))</f>
        <v/>
      </c>
    </row>
    <row r="2052" ht="15.0" customHeight="1">
      <c r="A2052" s="34"/>
      <c r="B2052" s="35"/>
      <c r="C2052" s="15"/>
      <c r="D2052" s="15"/>
      <c r="E2052" s="15"/>
      <c r="F2052" s="15"/>
      <c r="G2052" s="36" t="str">
        <f t="array" ref="G2052">IF($F2052="","",IFERROR(INDEX(Config!$E:$E,MATCH($F2052,Config!$D:$D,0)),0))</f>
        <v/>
      </c>
      <c r="H2052" s="16"/>
      <c r="I2052" s="36" t="str">
        <f t="shared" si="1"/>
        <v/>
      </c>
      <c r="J2052" s="16"/>
      <c r="K2052" s="15"/>
      <c r="L2052" s="15"/>
      <c r="M2052" s="36" t="str">
        <f t="array" ref="M2052">IF($A2052="","",IF($L2052="Atendido",IFERROR($I2052*INDEX(Config!$B:$B,MATCH($C2052,Config!$A:$A,0)),0),0))</f>
        <v/>
      </c>
      <c r="N2052" s="36" t="str">
        <f t="shared" si="2"/>
        <v/>
      </c>
      <c r="O2052" s="36" t="str">
        <f t="shared" si="3"/>
        <v/>
      </c>
      <c r="P2052" s="15"/>
      <c r="Q2052" s="37" t="str">
        <f t="shared" si="4"/>
        <v/>
      </c>
      <c r="R2052" s="37" t="str">
        <f t="shared" si="5"/>
        <v/>
      </c>
      <c r="S2052" s="32" t="str">
        <f t="shared" si="6"/>
        <v/>
      </c>
      <c r="T2052" s="37" t="str">
        <f t="shared" si="7"/>
        <v/>
      </c>
      <c r="U2052" s="37" t="str">
        <f t="array" ref="U2052">IF($F2052="","",IFERROR(INDEX(Config!$F:$F,MATCH($F2052,Config!$D:$D,0)),0))</f>
        <v/>
      </c>
    </row>
    <row r="2053" ht="15.0" customHeight="1">
      <c r="A2053" s="34"/>
      <c r="B2053" s="35"/>
      <c r="C2053" s="15"/>
      <c r="D2053" s="15"/>
      <c r="E2053" s="15"/>
      <c r="F2053" s="15"/>
      <c r="G2053" s="36" t="str">
        <f t="array" ref="G2053">IF($F2053="","",IFERROR(INDEX(Config!$E:$E,MATCH($F2053,Config!$D:$D,0)),0))</f>
        <v/>
      </c>
      <c r="H2053" s="16"/>
      <c r="I2053" s="36" t="str">
        <f t="shared" si="1"/>
        <v/>
      </c>
      <c r="J2053" s="16"/>
      <c r="K2053" s="15"/>
      <c r="L2053" s="15"/>
      <c r="M2053" s="36" t="str">
        <f t="array" ref="M2053">IF($A2053="","",IF($L2053="Atendido",IFERROR($I2053*INDEX(Config!$B:$B,MATCH($C2053,Config!$A:$A,0)),0),0))</f>
        <v/>
      </c>
      <c r="N2053" s="36" t="str">
        <f t="shared" si="2"/>
        <v/>
      </c>
      <c r="O2053" s="36" t="str">
        <f t="shared" si="3"/>
        <v/>
      </c>
      <c r="P2053" s="15"/>
      <c r="Q2053" s="37" t="str">
        <f t="shared" si="4"/>
        <v/>
      </c>
      <c r="R2053" s="37" t="str">
        <f t="shared" si="5"/>
        <v/>
      </c>
      <c r="S2053" s="32" t="str">
        <f t="shared" si="6"/>
        <v/>
      </c>
      <c r="T2053" s="37" t="str">
        <f t="shared" si="7"/>
        <v/>
      </c>
      <c r="U2053" s="37" t="str">
        <f t="array" ref="U2053">IF($F2053="","",IFERROR(INDEX(Config!$F:$F,MATCH($F2053,Config!$D:$D,0)),0))</f>
        <v/>
      </c>
    </row>
    <row r="2054" ht="15.0" customHeight="1">
      <c r="A2054" s="34"/>
      <c r="B2054" s="35"/>
      <c r="C2054" s="15"/>
      <c r="D2054" s="15"/>
      <c r="E2054" s="15"/>
      <c r="F2054" s="15"/>
      <c r="G2054" s="36" t="str">
        <f t="array" ref="G2054">IF($F2054="","",IFERROR(INDEX(Config!$E:$E,MATCH($F2054,Config!$D:$D,0)),0))</f>
        <v/>
      </c>
      <c r="H2054" s="16"/>
      <c r="I2054" s="36" t="str">
        <f t="shared" si="1"/>
        <v/>
      </c>
      <c r="J2054" s="16"/>
      <c r="K2054" s="15"/>
      <c r="L2054" s="15"/>
      <c r="M2054" s="36" t="str">
        <f t="array" ref="M2054">IF($A2054="","",IF($L2054="Atendido",IFERROR($I2054*INDEX(Config!$B:$B,MATCH($C2054,Config!$A:$A,0)),0),0))</f>
        <v/>
      </c>
      <c r="N2054" s="36" t="str">
        <f t="shared" si="2"/>
        <v/>
      </c>
      <c r="O2054" s="36" t="str">
        <f t="shared" si="3"/>
        <v/>
      </c>
      <c r="P2054" s="15"/>
      <c r="Q2054" s="37" t="str">
        <f t="shared" si="4"/>
        <v/>
      </c>
      <c r="R2054" s="37" t="str">
        <f t="shared" si="5"/>
        <v/>
      </c>
      <c r="S2054" s="32" t="str">
        <f t="shared" si="6"/>
        <v/>
      </c>
      <c r="T2054" s="37" t="str">
        <f t="shared" si="7"/>
        <v/>
      </c>
      <c r="U2054" s="37" t="str">
        <f t="array" ref="U2054">IF($F2054="","",IFERROR(INDEX(Config!$F:$F,MATCH($F2054,Config!$D:$D,0)),0))</f>
        <v/>
      </c>
    </row>
    <row r="2055" ht="15.0" customHeight="1">
      <c r="A2055" s="34"/>
      <c r="B2055" s="35"/>
      <c r="C2055" s="15"/>
      <c r="D2055" s="15"/>
      <c r="E2055" s="15"/>
      <c r="F2055" s="15"/>
      <c r="G2055" s="36" t="str">
        <f t="array" ref="G2055">IF($F2055="","",IFERROR(INDEX(Config!$E:$E,MATCH($F2055,Config!$D:$D,0)),0))</f>
        <v/>
      </c>
      <c r="H2055" s="16"/>
      <c r="I2055" s="36" t="str">
        <f t="shared" si="1"/>
        <v/>
      </c>
      <c r="J2055" s="16"/>
      <c r="K2055" s="15"/>
      <c r="L2055" s="15"/>
      <c r="M2055" s="36" t="str">
        <f t="array" ref="M2055">IF($A2055="","",IF($L2055="Atendido",IFERROR($I2055*INDEX(Config!$B:$B,MATCH($C2055,Config!$A:$A,0)),0),0))</f>
        <v/>
      </c>
      <c r="N2055" s="36" t="str">
        <f t="shared" si="2"/>
        <v/>
      </c>
      <c r="O2055" s="36" t="str">
        <f t="shared" si="3"/>
        <v/>
      </c>
      <c r="P2055" s="15"/>
      <c r="Q2055" s="37" t="str">
        <f t="shared" si="4"/>
        <v/>
      </c>
      <c r="R2055" s="37" t="str">
        <f t="shared" si="5"/>
        <v/>
      </c>
      <c r="S2055" s="32" t="str">
        <f t="shared" si="6"/>
        <v/>
      </c>
      <c r="T2055" s="37" t="str">
        <f t="shared" si="7"/>
        <v/>
      </c>
      <c r="U2055" s="37" t="str">
        <f t="array" ref="U2055">IF($F2055="","",IFERROR(INDEX(Config!$F:$F,MATCH($F2055,Config!$D:$D,0)),0))</f>
        <v/>
      </c>
    </row>
    <row r="2056" ht="15.0" customHeight="1">
      <c r="A2056" s="34"/>
      <c r="B2056" s="35"/>
      <c r="C2056" s="15"/>
      <c r="D2056" s="15"/>
      <c r="E2056" s="15"/>
      <c r="F2056" s="15"/>
      <c r="G2056" s="36" t="str">
        <f t="array" ref="G2056">IF($F2056="","",IFERROR(INDEX(Config!$E:$E,MATCH($F2056,Config!$D:$D,0)),0))</f>
        <v/>
      </c>
      <c r="H2056" s="16"/>
      <c r="I2056" s="36" t="str">
        <f t="shared" si="1"/>
        <v/>
      </c>
      <c r="J2056" s="16"/>
      <c r="K2056" s="15"/>
      <c r="L2056" s="15"/>
      <c r="M2056" s="36" t="str">
        <f t="array" ref="M2056">IF($A2056="","",IF($L2056="Atendido",IFERROR($I2056*INDEX(Config!$B:$B,MATCH($C2056,Config!$A:$A,0)),0),0))</f>
        <v/>
      </c>
      <c r="N2056" s="36" t="str">
        <f t="shared" si="2"/>
        <v/>
      </c>
      <c r="O2056" s="36" t="str">
        <f t="shared" si="3"/>
        <v/>
      </c>
      <c r="P2056" s="15"/>
      <c r="Q2056" s="37" t="str">
        <f t="shared" si="4"/>
        <v/>
      </c>
      <c r="R2056" s="37" t="str">
        <f t="shared" si="5"/>
        <v/>
      </c>
      <c r="S2056" s="32" t="str">
        <f t="shared" si="6"/>
        <v/>
      </c>
      <c r="T2056" s="37" t="str">
        <f t="shared" si="7"/>
        <v/>
      </c>
      <c r="U2056" s="37" t="str">
        <f t="array" ref="U2056">IF($F2056="","",IFERROR(INDEX(Config!$F:$F,MATCH($F2056,Config!$D:$D,0)),0))</f>
        <v/>
      </c>
    </row>
    <row r="2057" ht="15.0" customHeight="1">
      <c r="A2057" s="34"/>
      <c r="B2057" s="35"/>
      <c r="C2057" s="15"/>
      <c r="D2057" s="15"/>
      <c r="E2057" s="15"/>
      <c r="F2057" s="15"/>
      <c r="G2057" s="36" t="str">
        <f t="array" ref="G2057">IF($F2057="","",IFERROR(INDEX(Config!$E:$E,MATCH($F2057,Config!$D:$D,0)),0))</f>
        <v/>
      </c>
      <c r="H2057" s="16"/>
      <c r="I2057" s="36" t="str">
        <f t="shared" si="1"/>
        <v/>
      </c>
      <c r="J2057" s="16"/>
      <c r="K2057" s="15"/>
      <c r="L2057" s="15"/>
      <c r="M2057" s="36" t="str">
        <f t="array" ref="M2057">IF($A2057="","",IF($L2057="Atendido",IFERROR($I2057*INDEX(Config!$B:$B,MATCH($C2057,Config!$A:$A,0)),0),0))</f>
        <v/>
      </c>
      <c r="N2057" s="36" t="str">
        <f t="shared" si="2"/>
        <v/>
      </c>
      <c r="O2057" s="36" t="str">
        <f t="shared" si="3"/>
        <v/>
      </c>
      <c r="P2057" s="15"/>
      <c r="Q2057" s="37" t="str">
        <f t="shared" si="4"/>
        <v/>
      </c>
      <c r="R2057" s="37" t="str">
        <f t="shared" si="5"/>
        <v/>
      </c>
      <c r="S2057" s="32" t="str">
        <f t="shared" si="6"/>
        <v/>
      </c>
      <c r="T2057" s="37" t="str">
        <f t="shared" si="7"/>
        <v/>
      </c>
      <c r="U2057" s="37" t="str">
        <f t="array" ref="U2057">IF($F2057="","",IFERROR(INDEX(Config!$F:$F,MATCH($F2057,Config!$D:$D,0)),0))</f>
        <v/>
      </c>
    </row>
    <row r="2058" ht="15.0" customHeight="1">
      <c r="A2058" s="34"/>
      <c r="B2058" s="35"/>
      <c r="C2058" s="15"/>
      <c r="D2058" s="15"/>
      <c r="E2058" s="15"/>
      <c r="F2058" s="15"/>
      <c r="G2058" s="36" t="str">
        <f t="array" ref="G2058">IF($F2058="","",IFERROR(INDEX(Config!$E:$E,MATCH($F2058,Config!$D:$D,0)),0))</f>
        <v/>
      </c>
      <c r="H2058" s="16"/>
      <c r="I2058" s="36" t="str">
        <f t="shared" si="1"/>
        <v/>
      </c>
      <c r="J2058" s="16"/>
      <c r="K2058" s="15"/>
      <c r="L2058" s="15"/>
      <c r="M2058" s="36" t="str">
        <f t="array" ref="M2058">IF($A2058="","",IF($L2058="Atendido",IFERROR($I2058*INDEX(Config!$B:$B,MATCH($C2058,Config!$A:$A,0)),0),0))</f>
        <v/>
      </c>
      <c r="N2058" s="36" t="str">
        <f t="shared" si="2"/>
        <v/>
      </c>
      <c r="O2058" s="36" t="str">
        <f t="shared" si="3"/>
        <v/>
      </c>
      <c r="P2058" s="15"/>
      <c r="Q2058" s="37" t="str">
        <f t="shared" si="4"/>
        <v/>
      </c>
      <c r="R2058" s="37" t="str">
        <f t="shared" si="5"/>
        <v/>
      </c>
      <c r="S2058" s="32" t="str">
        <f t="shared" si="6"/>
        <v/>
      </c>
      <c r="T2058" s="37" t="str">
        <f t="shared" si="7"/>
        <v/>
      </c>
      <c r="U2058" s="37" t="str">
        <f t="array" ref="U2058">IF($F2058="","",IFERROR(INDEX(Config!$F:$F,MATCH($F2058,Config!$D:$D,0)),0))</f>
        <v/>
      </c>
    </row>
    <row r="2059" ht="15.0" customHeight="1">
      <c r="A2059" s="34"/>
      <c r="B2059" s="35"/>
      <c r="C2059" s="15"/>
      <c r="D2059" s="15"/>
      <c r="E2059" s="15"/>
      <c r="F2059" s="15"/>
      <c r="G2059" s="36" t="str">
        <f t="array" ref="G2059">IF($F2059="","",IFERROR(INDEX(Config!$E:$E,MATCH($F2059,Config!$D:$D,0)),0))</f>
        <v/>
      </c>
      <c r="H2059" s="16"/>
      <c r="I2059" s="36" t="str">
        <f t="shared" si="1"/>
        <v/>
      </c>
      <c r="J2059" s="16"/>
      <c r="K2059" s="15"/>
      <c r="L2059" s="15"/>
      <c r="M2059" s="36" t="str">
        <f t="array" ref="M2059">IF($A2059="","",IF($L2059="Atendido",IFERROR($I2059*INDEX(Config!$B:$B,MATCH($C2059,Config!$A:$A,0)),0),0))</f>
        <v/>
      </c>
      <c r="N2059" s="36" t="str">
        <f t="shared" si="2"/>
        <v/>
      </c>
      <c r="O2059" s="36" t="str">
        <f t="shared" si="3"/>
        <v/>
      </c>
      <c r="P2059" s="15"/>
      <c r="Q2059" s="37" t="str">
        <f t="shared" si="4"/>
        <v/>
      </c>
      <c r="R2059" s="37" t="str">
        <f t="shared" si="5"/>
        <v/>
      </c>
      <c r="S2059" s="32" t="str">
        <f t="shared" si="6"/>
        <v/>
      </c>
      <c r="T2059" s="37" t="str">
        <f t="shared" si="7"/>
        <v/>
      </c>
      <c r="U2059" s="37" t="str">
        <f t="array" ref="U2059">IF($F2059="","",IFERROR(INDEX(Config!$F:$F,MATCH($F2059,Config!$D:$D,0)),0))</f>
        <v/>
      </c>
    </row>
    <row r="2060" ht="15.0" customHeight="1">
      <c r="A2060" s="34"/>
      <c r="B2060" s="35"/>
      <c r="C2060" s="15"/>
      <c r="D2060" s="15"/>
      <c r="E2060" s="15"/>
      <c r="F2060" s="15"/>
      <c r="G2060" s="36" t="str">
        <f t="array" ref="G2060">IF($F2060="","",IFERROR(INDEX(Config!$E:$E,MATCH($F2060,Config!$D:$D,0)),0))</f>
        <v/>
      </c>
      <c r="H2060" s="16"/>
      <c r="I2060" s="36" t="str">
        <f t="shared" si="1"/>
        <v/>
      </c>
      <c r="J2060" s="16"/>
      <c r="K2060" s="15"/>
      <c r="L2060" s="15"/>
      <c r="M2060" s="36" t="str">
        <f t="array" ref="M2060">IF($A2060="","",IF($L2060="Atendido",IFERROR($I2060*INDEX(Config!$B:$B,MATCH($C2060,Config!$A:$A,0)),0),0))</f>
        <v/>
      </c>
      <c r="N2060" s="36" t="str">
        <f t="shared" si="2"/>
        <v/>
      </c>
      <c r="O2060" s="36" t="str">
        <f t="shared" si="3"/>
        <v/>
      </c>
      <c r="P2060" s="15"/>
      <c r="Q2060" s="37" t="str">
        <f t="shared" si="4"/>
        <v/>
      </c>
      <c r="R2060" s="37" t="str">
        <f t="shared" si="5"/>
        <v/>
      </c>
      <c r="S2060" s="32" t="str">
        <f t="shared" si="6"/>
        <v/>
      </c>
      <c r="T2060" s="37" t="str">
        <f t="shared" si="7"/>
        <v/>
      </c>
      <c r="U2060" s="37" t="str">
        <f t="array" ref="U2060">IF($F2060="","",IFERROR(INDEX(Config!$F:$F,MATCH($F2060,Config!$D:$D,0)),0))</f>
        <v/>
      </c>
    </row>
    <row r="2061" ht="15.0" customHeight="1">
      <c r="A2061" s="34"/>
      <c r="B2061" s="35"/>
      <c r="C2061" s="15"/>
      <c r="D2061" s="15"/>
      <c r="E2061" s="15"/>
      <c r="F2061" s="15"/>
      <c r="G2061" s="36" t="str">
        <f t="array" ref="G2061">IF($F2061="","",IFERROR(INDEX(Config!$E:$E,MATCH($F2061,Config!$D:$D,0)),0))</f>
        <v/>
      </c>
      <c r="H2061" s="16"/>
      <c r="I2061" s="36" t="str">
        <f t="shared" si="1"/>
        <v/>
      </c>
      <c r="J2061" s="16"/>
      <c r="K2061" s="15"/>
      <c r="L2061" s="15"/>
      <c r="M2061" s="36" t="str">
        <f t="array" ref="M2061">IF($A2061="","",IF($L2061="Atendido",IFERROR($I2061*INDEX(Config!$B:$B,MATCH($C2061,Config!$A:$A,0)),0),0))</f>
        <v/>
      </c>
      <c r="N2061" s="36" t="str">
        <f t="shared" si="2"/>
        <v/>
      </c>
      <c r="O2061" s="36" t="str">
        <f t="shared" si="3"/>
        <v/>
      </c>
      <c r="P2061" s="15"/>
      <c r="Q2061" s="37" t="str">
        <f t="shared" si="4"/>
        <v/>
      </c>
      <c r="R2061" s="37" t="str">
        <f t="shared" si="5"/>
        <v/>
      </c>
      <c r="S2061" s="32" t="str">
        <f t="shared" si="6"/>
        <v/>
      </c>
      <c r="T2061" s="37" t="str">
        <f t="shared" si="7"/>
        <v/>
      </c>
      <c r="U2061" s="37" t="str">
        <f t="array" ref="U2061">IF($F2061="","",IFERROR(INDEX(Config!$F:$F,MATCH($F2061,Config!$D:$D,0)),0))</f>
        <v/>
      </c>
    </row>
    <row r="2062" ht="15.0" customHeight="1">
      <c r="A2062" s="34"/>
      <c r="B2062" s="35"/>
      <c r="C2062" s="15"/>
      <c r="D2062" s="15"/>
      <c r="E2062" s="15"/>
      <c r="F2062" s="15"/>
      <c r="G2062" s="36" t="str">
        <f t="array" ref="G2062">IF($F2062="","",IFERROR(INDEX(Config!$E:$E,MATCH($F2062,Config!$D:$D,0)),0))</f>
        <v/>
      </c>
      <c r="H2062" s="16"/>
      <c r="I2062" s="36" t="str">
        <f t="shared" si="1"/>
        <v/>
      </c>
      <c r="J2062" s="16"/>
      <c r="K2062" s="15"/>
      <c r="L2062" s="15"/>
      <c r="M2062" s="36" t="str">
        <f t="array" ref="M2062">IF($A2062="","",IF($L2062="Atendido",IFERROR($I2062*INDEX(Config!$B:$B,MATCH($C2062,Config!$A:$A,0)),0),0))</f>
        <v/>
      </c>
      <c r="N2062" s="36" t="str">
        <f t="shared" si="2"/>
        <v/>
      </c>
      <c r="O2062" s="36" t="str">
        <f t="shared" si="3"/>
        <v/>
      </c>
      <c r="P2062" s="15"/>
      <c r="Q2062" s="37" t="str">
        <f t="shared" si="4"/>
        <v/>
      </c>
      <c r="R2062" s="37" t="str">
        <f t="shared" si="5"/>
        <v/>
      </c>
      <c r="S2062" s="32" t="str">
        <f t="shared" si="6"/>
        <v/>
      </c>
      <c r="T2062" s="37" t="str">
        <f t="shared" si="7"/>
        <v/>
      </c>
      <c r="U2062" s="37" t="str">
        <f t="array" ref="U2062">IF($F2062="","",IFERROR(INDEX(Config!$F:$F,MATCH($F2062,Config!$D:$D,0)),0))</f>
        <v/>
      </c>
    </row>
    <row r="2063" ht="15.0" customHeight="1">
      <c r="A2063" s="34"/>
      <c r="B2063" s="35"/>
      <c r="C2063" s="15"/>
      <c r="D2063" s="15"/>
      <c r="E2063" s="15"/>
      <c r="F2063" s="15"/>
      <c r="G2063" s="36" t="str">
        <f t="array" ref="G2063">IF($F2063="","",IFERROR(INDEX(Config!$E:$E,MATCH($F2063,Config!$D:$D,0)),0))</f>
        <v/>
      </c>
      <c r="H2063" s="16"/>
      <c r="I2063" s="36" t="str">
        <f t="shared" si="1"/>
        <v/>
      </c>
      <c r="J2063" s="16"/>
      <c r="K2063" s="15"/>
      <c r="L2063" s="15"/>
      <c r="M2063" s="36" t="str">
        <f t="array" ref="M2063">IF($A2063="","",IF($L2063="Atendido",IFERROR($I2063*INDEX(Config!$B:$B,MATCH($C2063,Config!$A:$A,0)),0),0))</f>
        <v/>
      </c>
      <c r="N2063" s="36" t="str">
        <f t="shared" si="2"/>
        <v/>
      </c>
      <c r="O2063" s="36" t="str">
        <f t="shared" si="3"/>
        <v/>
      </c>
      <c r="P2063" s="15"/>
      <c r="Q2063" s="37" t="str">
        <f t="shared" si="4"/>
        <v/>
      </c>
      <c r="R2063" s="37" t="str">
        <f t="shared" si="5"/>
        <v/>
      </c>
      <c r="S2063" s="32" t="str">
        <f t="shared" si="6"/>
        <v/>
      </c>
      <c r="T2063" s="37" t="str">
        <f t="shared" si="7"/>
        <v/>
      </c>
      <c r="U2063" s="37" t="str">
        <f t="array" ref="U2063">IF($F2063="","",IFERROR(INDEX(Config!$F:$F,MATCH($F2063,Config!$D:$D,0)),0))</f>
        <v/>
      </c>
    </row>
    <row r="2064" ht="15.0" customHeight="1">
      <c r="A2064" s="34"/>
      <c r="B2064" s="35"/>
      <c r="C2064" s="15"/>
      <c r="D2064" s="15"/>
      <c r="E2064" s="15"/>
      <c r="F2064" s="15"/>
      <c r="G2064" s="36" t="str">
        <f t="array" ref="G2064">IF($F2064="","",IFERROR(INDEX(Config!$E:$E,MATCH($F2064,Config!$D:$D,0)),0))</f>
        <v/>
      </c>
      <c r="H2064" s="16"/>
      <c r="I2064" s="36" t="str">
        <f t="shared" si="1"/>
        <v/>
      </c>
      <c r="J2064" s="16"/>
      <c r="K2064" s="15"/>
      <c r="L2064" s="15"/>
      <c r="M2064" s="36" t="str">
        <f t="array" ref="M2064">IF($A2064="","",IF($L2064="Atendido",IFERROR($I2064*INDEX(Config!$B:$B,MATCH($C2064,Config!$A:$A,0)),0),0))</f>
        <v/>
      </c>
      <c r="N2064" s="36" t="str">
        <f t="shared" si="2"/>
        <v/>
      </c>
      <c r="O2064" s="36" t="str">
        <f t="shared" si="3"/>
        <v/>
      </c>
      <c r="P2064" s="15"/>
      <c r="Q2064" s="37" t="str">
        <f t="shared" si="4"/>
        <v/>
      </c>
      <c r="R2064" s="37" t="str">
        <f t="shared" si="5"/>
        <v/>
      </c>
      <c r="S2064" s="32" t="str">
        <f t="shared" si="6"/>
        <v/>
      </c>
      <c r="T2064" s="37" t="str">
        <f t="shared" si="7"/>
        <v/>
      </c>
      <c r="U2064" s="37" t="str">
        <f t="array" ref="U2064">IF($F2064="","",IFERROR(INDEX(Config!$F:$F,MATCH($F2064,Config!$D:$D,0)),0))</f>
        <v/>
      </c>
    </row>
    <row r="2065" ht="15.0" customHeight="1">
      <c r="A2065" s="34"/>
      <c r="B2065" s="35"/>
      <c r="C2065" s="15"/>
      <c r="D2065" s="15"/>
      <c r="E2065" s="15"/>
      <c r="F2065" s="15"/>
      <c r="G2065" s="36" t="str">
        <f t="array" ref="G2065">IF($F2065="","",IFERROR(INDEX(Config!$E:$E,MATCH($F2065,Config!$D:$D,0)),0))</f>
        <v/>
      </c>
      <c r="H2065" s="16"/>
      <c r="I2065" s="36" t="str">
        <f t="shared" si="1"/>
        <v/>
      </c>
      <c r="J2065" s="16"/>
      <c r="K2065" s="15"/>
      <c r="L2065" s="15"/>
      <c r="M2065" s="36" t="str">
        <f t="array" ref="M2065">IF($A2065="","",IF($L2065="Atendido",IFERROR($I2065*INDEX(Config!$B:$B,MATCH($C2065,Config!$A:$A,0)),0),0))</f>
        <v/>
      </c>
      <c r="N2065" s="36" t="str">
        <f t="shared" si="2"/>
        <v/>
      </c>
      <c r="O2065" s="36" t="str">
        <f t="shared" si="3"/>
        <v/>
      </c>
      <c r="P2065" s="15"/>
      <c r="Q2065" s="37" t="str">
        <f t="shared" si="4"/>
        <v/>
      </c>
      <c r="R2065" s="37" t="str">
        <f t="shared" si="5"/>
        <v/>
      </c>
      <c r="S2065" s="32" t="str">
        <f t="shared" si="6"/>
        <v/>
      </c>
      <c r="T2065" s="37" t="str">
        <f t="shared" si="7"/>
        <v/>
      </c>
      <c r="U2065" s="37" t="str">
        <f t="array" ref="U2065">IF($F2065="","",IFERROR(INDEX(Config!$F:$F,MATCH($F2065,Config!$D:$D,0)),0))</f>
        <v/>
      </c>
    </row>
    <row r="2066" ht="15.0" customHeight="1">
      <c r="A2066" s="34"/>
      <c r="B2066" s="35"/>
      <c r="C2066" s="15"/>
      <c r="D2066" s="15"/>
      <c r="E2066" s="15"/>
      <c r="F2066" s="15"/>
      <c r="G2066" s="36" t="str">
        <f t="array" ref="G2066">IF($F2066="","",IFERROR(INDEX(Config!$E:$E,MATCH($F2066,Config!$D:$D,0)),0))</f>
        <v/>
      </c>
      <c r="H2066" s="16"/>
      <c r="I2066" s="36" t="str">
        <f t="shared" si="1"/>
        <v/>
      </c>
      <c r="J2066" s="16"/>
      <c r="K2066" s="15"/>
      <c r="L2066" s="15"/>
      <c r="M2066" s="36" t="str">
        <f t="array" ref="M2066">IF($A2066="","",IF($L2066="Atendido",IFERROR($I2066*INDEX(Config!$B:$B,MATCH($C2066,Config!$A:$A,0)),0),0))</f>
        <v/>
      </c>
      <c r="N2066" s="36" t="str">
        <f t="shared" si="2"/>
        <v/>
      </c>
      <c r="O2066" s="36" t="str">
        <f t="shared" si="3"/>
        <v/>
      </c>
      <c r="P2066" s="15"/>
      <c r="Q2066" s="37" t="str">
        <f t="shared" si="4"/>
        <v/>
      </c>
      <c r="R2066" s="37" t="str">
        <f t="shared" si="5"/>
        <v/>
      </c>
      <c r="S2066" s="32" t="str">
        <f t="shared" si="6"/>
        <v/>
      </c>
      <c r="T2066" s="37" t="str">
        <f t="shared" si="7"/>
        <v/>
      </c>
      <c r="U2066" s="37" t="str">
        <f t="array" ref="U2066">IF($F2066="","",IFERROR(INDEX(Config!$F:$F,MATCH($F2066,Config!$D:$D,0)),0))</f>
        <v/>
      </c>
    </row>
    <row r="2067" ht="15.0" customHeight="1">
      <c r="A2067" s="34"/>
      <c r="B2067" s="35"/>
      <c r="C2067" s="15"/>
      <c r="D2067" s="15"/>
      <c r="E2067" s="15"/>
      <c r="F2067" s="15"/>
      <c r="G2067" s="36" t="str">
        <f t="array" ref="G2067">IF($F2067="","",IFERROR(INDEX(Config!$E:$E,MATCH($F2067,Config!$D:$D,0)),0))</f>
        <v/>
      </c>
      <c r="H2067" s="16"/>
      <c r="I2067" s="36" t="str">
        <f t="shared" si="1"/>
        <v/>
      </c>
      <c r="J2067" s="16"/>
      <c r="K2067" s="15"/>
      <c r="L2067" s="15"/>
      <c r="M2067" s="36" t="str">
        <f t="array" ref="M2067">IF($A2067="","",IF($L2067="Atendido",IFERROR($I2067*INDEX(Config!$B:$B,MATCH($C2067,Config!$A:$A,0)),0),0))</f>
        <v/>
      </c>
      <c r="N2067" s="36" t="str">
        <f t="shared" si="2"/>
        <v/>
      </c>
      <c r="O2067" s="36" t="str">
        <f t="shared" si="3"/>
        <v/>
      </c>
      <c r="P2067" s="15"/>
      <c r="Q2067" s="37" t="str">
        <f t="shared" si="4"/>
        <v/>
      </c>
      <c r="R2067" s="37" t="str">
        <f t="shared" si="5"/>
        <v/>
      </c>
      <c r="S2067" s="32" t="str">
        <f t="shared" si="6"/>
        <v/>
      </c>
      <c r="T2067" s="37" t="str">
        <f t="shared" si="7"/>
        <v/>
      </c>
      <c r="U2067" s="37" t="str">
        <f t="array" ref="U2067">IF($F2067="","",IFERROR(INDEX(Config!$F:$F,MATCH($F2067,Config!$D:$D,0)),0))</f>
        <v/>
      </c>
    </row>
    <row r="2068" ht="15.0" customHeight="1">
      <c r="A2068" s="34"/>
      <c r="B2068" s="35"/>
      <c r="C2068" s="15"/>
      <c r="D2068" s="15"/>
      <c r="E2068" s="15"/>
      <c r="F2068" s="15"/>
      <c r="G2068" s="36" t="str">
        <f t="array" ref="G2068">IF($F2068="","",IFERROR(INDEX(Config!$E:$E,MATCH($F2068,Config!$D:$D,0)),0))</f>
        <v/>
      </c>
      <c r="H2068" s="16"/>
      <c r="I2068" s="36" t="str">
        <f t="shared" si="1"/>
        <v/>
      </c>
      <c r="J2068" s="16"/>
      <c r="K2068" s="15"/>
      <c r="L2068" s="15"/>
      <c r="M2068" s="36" t="str">
        <f t="array" ref="M2068">IF($A2068="","",IF($L2068="Atendido",IFERROR($I2068*INDEX(Config!$B:$B,MATCH($C2068,Config!$A:$A,0)),0),0))</f>
        <v/>
      </c>
      <c r="N2068" s="36" t="str">
        <f t="shared" si="2"/>
        <v/>
      </c>
      <c r="O2068" s="36" t="str">
        <f t="shared" si="3"/>
        <v/>
      </c>
      <c r="P2068" s="15"/>
      <c r="Q2068" s="37" t="str">
        <f t="shared" si="4"/>
        <v/>
      </c>
      <c r="R2068" s="37" t="str">
        <f t="shared" si="5"/>
        <v/>
      </c>
      <c r="S2068" s="32" t="str">
        <f t="shared" si="6"/>
        <v/>
      </c>
      <c r="T2068" s="37" t="str">
        <f t="shared" si="7"/>
        <v/>
      </c>
      <c r="U2068" s="37" t="str">
        <f t="array" ref="U2068">IF($F2068="","",IFERROR(INDEX(Config!$F:$F,MATCH($F2068,Config!$D:$D,0)),0))</f>
        <v/>
      </c>
    </row>
    <row r="2069" ht="15.0" customHeight="1">
      <c r="A2069" s="34"/>
      <c r="B2069" s="35"/>
      <c r="C2069" s="15"/>
      <c r="D2069" s="15"/>
      <c r="E2069" s="15"/>
      <c r="F2069" s="15"/>
      <c r="G2069" s="36" t="str">
        <f t="array" ref="G2069">IF($F2069="","",IFERROR(INDEX(Config!$E:$E,MATCH($F2069,Config!$D:$D,0)),0))</f>
        <v/>
      </c>
      <c r="H2069" s="16"/>
      <c r="I2069" s="36" t="str">
        <f t="shared" si="1"/>
        <v/>
      </c>
      <c r="J2069" s="16"/>
      <c r="K2069" s="15"/>
      <c r="L2069" s="15"/>
      <c r="M2069" s="36" t="str">
        <f t="array" ref="M2069">IF($A2069="","",IF($L2069="Atendido",IFERROR($I2069*INDEX(Config!$B:$B,MATCH($C2069,Config!$A:$A,0)),0),0))</f>
        <v/>
      </c>
      <c r="N2069" s="36" t="str">
        <f t="shared" si="2"/>
        <v/>
      </c>
      <c r="O2069" s="36" t="str">
        <f t="shared" si="3"/>
        <v/>
      </c>
      <c r="P2069" s="15"/>
      <c r="Q2069" s="37" t="str">
        <f t="shared" si="4"/>
        <v/>
      </c>
      <c r="R2069" s="37" t="str">
        <f t="shared" si="5"/>
        <v/>
      </c>
      <c r="S2069" s="32" t="str">
        <f t="shared" si="6"/>
        <v/>
      </c>
      <c r="T2069" s="37" t="str">
        <f t="shared" si="7"/>
        <v/>
      </c>
      <c r="U2069" s="37" t="str">
        <f t="array" ref="U2069">IF($F2069="","",IFERROR(INDEX(Config!$F:$F,MATCH($F2069,Config!$D:$D,0)),0))</f>
        <v/>
      </c>
    </row>
    <row r="2070" ht="15.0" customHeight="1">
      <c r="A2070" s="34"/>
      <c r="B2070" s="35"/>
      <c r="C2070" s="15"/>
      <c r="D2070" s="15"/>
      <c r="E2070" s="15"/>
      <c r="F2070" s="15"/>
      <c r="G2070" s="36" t="str">
        <f t="array" ref="G2070">IF($F2070="","",IFERROR(INDEX(Config!$E:$E,MATCH($F2070,Config!$D:$D,0)),0))</f>
        <v/>
      </c>
      <c r="H2070" s="16"/>
      <c r="I2070" s="36" t="str">
        <f t="shared" si="1"/>
        <v/>
      </c>
      <c r="J2070" s="16"/>
      <c r="K2070" s="15"/>
      <c r="L2070" s="15"/>
      <c r="M2070" s="36" t="str">
        <f t="array" ref="M2070">IF($A2070="","",IF($L2070="Atendido",IFERROR($I2070*INDEX(Config!$B:$B,MATCH($C2070,Config!$A:$A,0)),0),0))</f>
        <v/>
      </c>
      <c r="N2070" s="36" t="str">
        <f t="shared" si="2"/>
        <v/>
      </c>
      <c r="O2070" s="36" t="str">
        <f t="shared" si="3"/>
        <v/>
      </c>
      <c r="P2070" s="15"/>
      <c r="Q2070" s="37" t="str">
        <f t="shared" si="4"/>
        <v/>
      </c>
      <c r="R2070" s="37" t="str">
        <f t="shared" si="5"/>
        <v/>
      </c>
      <c r="S2070" s="32" t="str">
        <f t="shared" si="6"/>
        <v/>
      </c>
      <c r="T2070" s="37" t="str">
        <f t="shared" si="7"/>
        <v/>
      </c>
      <c r="U2070" s="37" t="str">
        <f t="array" ref="U2070">IF($F2070="","",IFERROR(INDEX(Config!$F:$F,MATCH($F2070,Config!$D:$D,0)),0))</f>
        <v/>
      </c>
    </row>
    <row r="2071" ht="15.0" customHeight="1">
      <c r="A2071" s="34"/>
      <c r="B2071" s="35"/>
      <c r="C2071" s="15"/>
      <c r="D2071" s="15"/>
      <c r="E2071" s="15"/>
      <c r="F2071" s="15"/>
      <c r="G2071" s="36" t="str">
        <f t="array" ref="G2071">IF($F2071="","",IFERROR(INDEX(Config!$E:$E,MATCH($F2071,Config!$D:$D,0)),0))</f>
        <v/>
      </c>
      <c r="H2071" s="16"/>
      <c r="I2071" s="36" t="str">
        <f t="shared" si="1"/>
        <v/>
      </c>
      <c r="J2071" s="16"/>
      <c r="K2071" s="15"/>
      <c r="L2071" s="15"/>
      <c r="M2071" s="36" t="str">
        <f t="array" ref="M2071">IF($A2071="","",IF($L2071="Atendido",IFERROR($I2071*INDEX(Config!$B:$B,MATCH($C2071,Config!$A:$A,0)),0),0))</f>
        <v/>
      </c>
      <c r="N2071" s="36" t="str">
        <f t="shared" si="2"/>
        <v/>
      </c>
      <c r="O2071" s="36" t="str">
        <f t="shared" si="3"/>
        <v/>
      </c>
      <c r="P2071" s="15"/>
      <c r="Q2071" s="37" t="str">
        <f t="shared" si="4"/>
        <v/>
      </c>
      <c r="R2071" s="37" t="str">
        <f t="shared" si="5"/>
        <v/>
      </c>
      <c r="S2071" s="32" t="str">
        <f t="shared" si="6"/>
        <v/>
      </c>
      <c r="T2071" s="37" t="str">
        <f t="shared" si="7"/>
        <v/>
      </c>
      <c r="U2071" s="37" t="str">
        <f t="array" ref="U2071">IF($F2071="","",IFERROR(INDEX(Config!$F:$F,MATCH($F2071,Config!$D:$D,0)),0))</f>
        <v/>
      </c>
    </row>
    <row r="2072" ht="15.0" customHeight="1">
      <c r="A2072" s="34"/>
      <c r="B2072" s="35"/>
      <c r="C2072" s="15"/>
      <c r="D2072" s="15"/>
      <c r="E2072" s="15"/>
      <c r="F2072" s="15"/>
      <c r="G2072" s="36" t="str">
        <f t="array" ref="G2072">IF($F2072="","",IFERROR(INDEX(Config!$E:$E,MATCH($F2072,Config!$D:$D,0)),0))</f>
        <v/>
      </c>
      <c r="H2072" s="16"/>
      <c r="I2072" s="36" t="str">
        <f t="shared" si="1"/>
        <v/>
      </c>
      <c r="J2072" s="16"/>
      <c r="K2072" s="15"/>
      <c r="L2072" s="15"/>
      <c r="M2072" s="36" t="str">
        <f t="array" ref="M2072">IF($A2072="","",IF($L2072="Atendido",IFERROR($I2072*INDEX(Config!$B:$B,MATCH($C2072,Config!$A:$A,0)),0),0))</f>
        <v/>
      </c>
      <c r="N2072" s="36" t="str">
        <f t="shared" si="2"/>
        <v/>
      </c>
      <c r="O2072" s="36" t="str">
        <f t="shared" si="3"/>
        <v/>
      </c>
      <c r="P2072" s="15"/>
      <c r="Q2072" s="37" t="str">
        <f t="shared" si="4"/>
        <v/>
      </c>
      <c r="R2072" s="37" t="str">
        <f t="shared" si="5"/>
        <v/>
      </c>
      <c r="S2072" s="32" t="str">
        <f t="shared" si="6"/>
        <v/>
      </c>
      <c r="T2072" s="37" t="str">
        <f t="shared" si="7"/>
        <v/>
      </c>
      <c r="U2072" s="37" t="str">
        <f t="array" ref="U2072">IF($F2072="","",IFERROR(INDEX(Config!$F:$F,MATCH($F2072,Config!$D:$D,0)),0))</f>
        <v/>
      </c>
    </row>
    <row r="2073" ht="15.0" customHeight="1">
      <c r="A2073" s="34"/>
      <c r="B2073" s="35"/>
      <c r="C2073" s="15"/>
      <c r="D2073" s="15"/>
      <c r="E2073" s="15"/>
      <c r="F2073" s="15"/>
      <c r="G2073" s="36" t="str">
        <f t="array" ref="G2073">IF($F2073="","",IFERROR(INDEX(Config!$E:$E,MATCH($F2073,Config!$D:$D,0)),0))</f>
        <v/>
      </c>
      <c r="H2073" s="16"/>
      <c r="I2073" s="36" t="str">
        <f t="shared" si="1"/>
        <v/>
      </c>
      <c r="J2073" s="16"/>
      <c r="K2073" s="15"/>
      <c r="L2073" s="15"/>
      <c r="M2073" s="36" t="str">
        <f t="array" ref="M2073">IF($A2073="","",IF($L2073="Atendido",IFERROR($I2073*INDEX(Config!$B:$B,MATCH($C2073,Config!$A:$A,0)),0),0))</f>
        <v/>
      </c>
      <c r="N2073" s="36" t="str">
        <f t="shared" si="2"/>
        <v/>
      </c>
      <c r="O2073" s="36" t="str">
        <f t="shared" si="3"/>
        <v/>
      </c>
      <c r="P2073" s="15"/>
      <c r="Q2073" s="37" t="str">
        <f t="shared" si="4"/>
        <v/>
      </c>
      <c r="R2073" s="37" t="str">
        <f t="shared" si="5"/>
        <v/>
      </c>
      <c r="S2073" s="32" t="str">
        <f t="shared" si="6"/>
        <v/>
      </c>
      <c r="T2073" s="37" t="str">
        <f t="shared" si="7"/>
        <v/>
      </c>
      <c r="U2073" s="37" t="str">
        <f t="array" ref="U2073">IF($F2073="","",IFERROR(INDEX(Config!$F:$F,MATCH($F2073,Config!$D:$D,0)),0))</f>
        <v/>
      </c>
    </row>
    <row r="2074" ht="15.0" customHeight="1">
      <c r="A2074" s="34"/>
      <c r="B2074" s="35"/>
      <c r="C2074" s="15"/>
      <c r="D2074" s="15"/>
      <c r="E2074" s="15"/>
      <c r="F2074" s="15"/>
      <c r="G2074" s="36" t="str">
        <f t="array" ref="G2074">IF($F2074="","",IFERROR(INDEX(Config!$E:$E,MATCH($F2074,Config!$D:$D,0)),0))</f>
        <v/>
      </c>
      <c r="H2074" s="16"/>
      <c r="I2074" s="36" t="str">
        <f t="shared" si="1"/>
        <v/>
      </c>
      <c r="J2074" s="16"/>
      <c r="K2074" s="15"/>
      <c r="L2074" s="15"/>
      <c r="M2074" s="36" t="str">
        <f t="array" ref="M2074">IF($A2074="","",IF($L2074="Atendido",IFERROR($I2074*INDEX(Config!$B:$B,MATCH($C2074,Config!$A:$A,0)),0),0))</f>
        <v/>
      </c>
      <c r="N2074" s="36" t="str">
        <f t="shared" si="2"/>
        <v/>
      </c>
      <c r="O2074" s="36" t="str">
        <f t="shared" si="3"/>
        <v/>
      </c>
      <c r="P2074" s="15"/>
      <c r="Q2074" s="37" t="str">
        <f t="shared" si="4"/>
        <v/>
      </c>
      <c r="R2074" s="37" t="str">
        <f t="shared" si="5"/>
        <v/>
      </c>
      <c r="S2074" s="32" t="str">
        <f t="shared" si="6"/>
        <v/>
      </c>
      <c r="T2074" s="37" t="str">
        <f t="shared" si="7"/>
        <v/>
      </c>
      <c r="U2074" s="37" t="str">
        <f t="array" ref="U2074">IF($F2074="","",IFERROR(INDEX(Config!$F:$F,MATCH($F2074,Config!$D:$D,0)),0))</f>
        <v/>
      </c>
    </row>
    <row r="2075" ht="15.0" customHeight="1">
      <c r="A2075" s="34"/>
      <c r="B2075" s="35"/>
      <c r="C2075" s="15"/>
      <c r="D2075" s="15"/>
      <c r="E2075" s="15"/>
      <c r="F2075" s="15"/>
      <c r="G2075" s="36" t="str">
        <f t="array" ref="G2075">IF($F2075="","",IFERROR(INDEX(Config!$E:$E,MATCH($F2075,Config!$D:$D,0)),0))</f>
        <v/>
      </c>
      <c r="H2075" s="16"/>
      <c r="I2075" s="36" t="str">
        <f t="shared" si="1"/>
        <v/>
      </c>
      <c r="J2075" s="16"/>
      <c r="K2075" s="15"/>
      <c r="L2075" s="15"/>
      <c r="M2075" s="36" t="str">
        <f t="array" ref="M2075">IF($A2075="","",IF($L2075="Atendido",IFERROR($I2075*INDEX(Config!$B:$B,MATCH($C2075,Config!$A:$A,0)),0),0))</f>
        <v/>
      </c>
      <c r="N2075" s="36" t="str">
        <f t="shared" si="2"/>
        <v/>
      </c>
      <c r="O2075" s="36" t="str">
        <f t="shared" si="3"/>
        <v/>
      </c>
      <c r="P2075" s="15"/>
      <c r="Q2075" s="37" t="str">
        <f t="shared" si="4"/>
        <v/>
      </c>
      <c r="R2075" s="37" t="str">
        <f t="shared" si="5"/>
        <v/>
      </c>
      <c r="S2075" s="32" t="str">
        <f t="shared" si="6"/>
        <v/>
      </c>
      <c r="T2075" s="37" t="str">
        <f t="shared" si="7"/>
        <v/>
      </c>
      <c r="U2075" s="37" t="str">
        <f t="array" ref="U2075">IF($F2075="","",IFERROR(INDEX(Config!$F:$F,MATCH($F2075,Config!$D:$D,0)),0))</f>
        <v/>
      </c>
    </row>
    <row r="2076" ht="15.0" customHeight="1">
      <c r="A2076" s="34"/>
      <c r="B2076" s="35"/>
      <c r="C2076" s="15"/>
      <c r="D2076" s="15"/>
      <c r="E2076" s="15"/>
      <c r="F2076" s="15"/>
      <c r="G2076" s="36" t="str">
        <f t="array" ref="G2076">IF($F2076="","",IFERROR(INDEX(Config!$E:$E,MATCH($F2076,Config!$D:$D,0)),0))</f>
        <v/>
      </c>
      <c r="H2076" s="16"/>
      <c r="I2076" s="36" t="str">
        <f t="shared" si="1"/>
        <v/>
      </c>
      <c r="J2076" s="16"/>
      <c r="K2076" s="15"/>
      <c r="L2076" s="15"/>
      <c r="M2076" s="36" t="str">
        <f t="array" ref="M2076">IF($A2076="","",IF($L2076="Atendido",IFERROR($I2076*INDEX(Config!$B:$B,MATCH($C2076,Config!$A:$A,0)),0),0))</f>
        <v/>
      </c>
      <c r="N2076" s="36" t="str">
        <f t="shared" si="2"/>
        <v/>
      </c>
      <c r="O2076" s="36" t="str">
        <f t="shared" si="3"/>
        <v/>
      </c>
      <c r="P2076" s="15"/>
      <c r="Q2076" s="37" t="str">
        <f t="shared" si="4"/>
        <v/>
      </c>
      <c r="R2076" s="37" t="str">
        <f t="shared" si="5"/>
        <v/>
      </c>
      <c r="S2076" s="32" t="str">
        <f t="shared" si="6"/>
        <v/>
      </c>
      <c r="T2076" s="37" t="str">
        <f t="shared" si="7"/>
        <v/>
      </c>
      <c r="U2076" s="37" t="str">
        <f t="array" ref="U2076">IF($F2076="","",IFERROR(INDEX(Config!$F:$F,MATCH($F2076,Config!$D:$D,0)),0))</f>
        <v/>
      </c>
    </row>
    <row r="2077" ht="15.0" customHeight="1">
      <c r="A2077" s="34"/>
      <c r="B2077" s="35"/>
      <c r="C2077" s="15"/>
      <c r="D2077" s="15"/>
      <c r="E2077" s="15"/>
      <c r="F2077" s="15"/>
      <c r="G2077" s="36" t="str">
        <f t="array" ref="G2077">IF($F2077="","",IFERROR(INDEX(Config!$E:$E,MATCH($F2077,Config!$D:$D,0)),0))</f>
        <v/>
      </c>
      <c r="H2077" s="16"/>
      <c r="I2077" s="36" t="str">
        <f t="shared" si="1"/>
        <v/>
      </c>
      <c r="J2077" s="16"/>
      <c r="K2077" s="15"/>
      <c r="L2077" s="15"/>
      <c r="M2077" s="36" t="str">
        <f t="array" ref="M2077">IF($A2077="","",IF($L2077="Atendido",IFERROR($I2077*INDEX(Config!$B:$B,MATCH($C2077,Config!$A:$A,0)),0),0))</f>
        <v/>
      </c>
      <c r="N2077" s="36" t="str">
        <f t="shared" si="2"/>
        <v/>
      </c>
      <c r="O2077" s="36" t="str">
        <f t="shared" si="3"/>
        <v/>
      </c>
      <c r="P2077" s="15"/>
      <c r="Q2077" s="37" t="str">
        <f t="shared" si="4"/>
        <v/>
      </c>
      <c r="R2077" s="37" t="str">
        <f t="shared" si="5"/>
        <v/>
      </c>
      <c r="S2077" s="32" t="str">
        <f t="shared" si="6"/>
        <v/>
      </c>
      <c r="T2077" s="37" t="str">
        <f t="shared" si="7"/>
        <v/>
      </c>
      <c r="U2077" s="37" t="str">
        <f t="array" ref="U2077">IF($F2077="","",IFERROR(INDEX(Config!$F:$F,MATCH($F2077,Config!$D:$D,0)),0))</f>
        <v/>
      </c>
    </row>
    <row r="2078" ht="15.0" customHeight="1">
      <c r="A2078" s="34"/>
      <c r="B2078" s="35"/>
      <c r="C2078" s="15"/>
      <c r="D2078" s="15"/>
      <c r="E2078" s="15"/>
      <c r="F2078" s="15"/>
      <c r="G2078" s="36" t="str">
        <f t="array" ref="G2078">IF($F2078="","",IFERROR(INDEX(Config!$E:$E,MATCH($F2078,Config!$D:$D,0)),0))</f>
        <v/>
      </c>
      <c r="H2078" s="16"/>
      <c r="I2078" s="36" t="str">
        <f t="shared" si="1"/>
        <v/>
      </c>
      <c r="J2078" s="16"/>
      <c r="K2078" s="15"/>
      <c r="L2078" s="15"/>
      <c r="M2078" s="36" t="str">
        <f t="array" ref="M2078">IF($A2078="","",IF($L2078="Atendido",IFERROR($I2078*INDEX(Config!$B:$B,MATCH($C2078,Config!$A:$A,0)),0),0))</f>
        <v/>
      </c>
      <c r="N2078" s="36" t="str">
        <f t="shared" si="2"/>
        <v/>
      </c>
      <c r="O2078" s="36" t="str">
        <f t="shared" si="3"/>
        <v/>
      </c>
      <c r="P2078" s="15"/>
      <c r="Q2078" s="37" t="str">
        <f t="shared" si="4"/>
        <v/>
      </c>
      <c r="R2078" s="37" t="str">
        <f t="shared" si="5"/>
        <v/>
      </c>
      <c r="S2078" s="32" t="str">
        <f t="shared" si="6"/>
        <v/>
      </c>
      <c r="T2078" s="37" t="str">
        <f t="shared" si="7"/>
        <v/>
      </c>
      <c r="U2078" s="37" t="str">
        <f t="array" ref="U2078">IF($F2078="","",IFERROR(INDEX(Config!$F:$F,MATCH($F2078,Config!$D:$D,0)),0))</f>
        <v/>
      </c>
    </row>
    <row r="2079" ht="15.0" customHeight="1">
      <c r="A2079" s="34"/>
      <c r="B2079" s="35"/>
      <c r="C2079" s="15"/>
      <c r="D2079" s="15"/>
      <c r="E2079" s="15"/>
      <c r="F2079" s="15"/>
      <c r="G2079" s="36" t="str">
        <f t="array" ref="G2079">IF($F2079="","",IFERROR(INDEX(Config!$E:$E,MATCH($F2079,Config!$D:$D,0)),0))</f>
        <v/>
      </c>
      <c r="H2079" s="16"/>
      <c r="I2079" s="36" t="str">
        <f t="shared" si="1"/>
        <v/>
      </c>
      <c r="J2079" s="16"/>
      <c r="K2079" s="15"/>
      <c r="L2079" s="15"/>
      <c r="M2079" s="36" t="str">
        <f t="array" ref="M2079">IF($A2079="","",IF($L2079="Atendido",IFERROR($I2079*INDEX(Config!$B:$B,MATCH($C2079,Config!$A:$A,0)),0),0))</f>
        <v/>
      </c>
      <c r="N2079" s="36" t="str">
        <f t="shared" si="2"/>
        <v/>
      </c>
      <c r="O2079" s="36" t="str">
        <f t="shared" si="3"/>
        <v/>
      </c>
      <c r="P2079" s="15"/>
      <c r="Q2079" s="37" t="str">
        <f t="shared" si="4"/>
        <v/>
      </c>
      <c r="R2079" s="37" t="str">
        <f t="shared" si="5"/>
        <v/>
      </c>
      <c r="S2079" s="32" t="str">
        <f t="shared" si="6"/>
        <v/>
      </c>
      <c r="T2079" s="37" t="str">
        <f t="shared" si="7"/>
        <v/>
      </c>
      <c r="U2079" s="37" t="str">
        <f t="array" ref="U2079">IF($F2079="","",IFERROR(INDEX(Config!$F:$F,MATCH($F2079,Config!$D:$D,0)),0))</f>
        <v/>
      </c>
    </row>
    <row r="2080" ht="15.0" customHeight="1">
      <c r="A2080" s="34"/>
      <c r="B2080" s="35"/>
      <c r="C2080" s="15"/>
      <c r="D2080" s="15"/>
      <c r="E2080" s="15"/>
      <c r="F2080" s="15"/>
      <c r="G2080" s="36" t="str">
        <f t="array" ref="G2080">IF($F2080="","",IFERROR(INDEX(Config!$E:$E,MATCH($F2080,Config!$D:$D,0)),0))</f>
        <v/>
      </c>
      <c r="H2080" s="16"/>
      <c r="I2080" s="36" t="str">
        <f t="shared" si="1"/>
        <v/>
      </c>
      <c r="J2080" s="16"/>
      <c r="K2080" s="15"/>
      <c r="L2080" s="15"/>
      <c r="M2080" s="36" t="str">
        <f t="array" ref="M2080">IF($A2080="","",IF($L2080="Atendido",IFERROR($I2080*INDEX(Config!$B:$B,MATCH($C2080,Config!$A:$A,0)),0),0))</f>
        <v/>
      </c>
      <c r="N2080" s="36" t="str">
        <f t="shared" si="2"/>
        <v/>
      </c>
      <c r="O2080" s="36" t="str">
        <f t="shared" si="3"/>
        <v/>
      </c>
      <c r="P2080" s="15"/>
      <c r="Q2080" s="37" t="str">
        <f t="shared" si="4"/>
        <v/>
      </c>
      <c r="R2080" s="37" t="str">
        <f t="shared" si="5"/>
        <v/>
      </c>
      <c r="S2080" s="32" t="str">
        <f t="shared" si="6"/>
        <v/>
      </c>
      <c r="T2080" s="37" t="str">
        <f t="shared" si="7"/>
        <v/>
      </c>
      <c r="U2080" s="37" t="str">
        <f t="array" ref="U2080">IF($F2080="","",IFERROR(INDEX(Config!$F:$F,MATCH($F2080,Config!$D:$D,0)),0))</f>
        <v/>
      </c>
    </row>
    <row r="2081" ht="15.0" customHeight="1">
      <c r="A2081" s="34"/>
      <c r="B2081" s="35"/>
      <c r="C2081" s="15"/>
      <c r="D2081" s="15"/>
      <c r="E2081" s="15"/>
      <c r="F2081" s="15"/>
      <c r="G2081" s="36" t="str">
        <f t="array" ref="G2081">IF($F2081="","",IFERROR(INDEX(Config!$E:$E,MATCH($F2081,Config!$D:$D,0)),0))</f>
        <v/>
      </c>
      <c r="H2081" s="16"/>
      <c r="I2081" s="36" t="str">
        <f t="shared" si="1"/>
        <v/>
      </c>
      <c r="J2081" s="16"/>
      <c r="K2081" s="15"/>
      <c r="L2081" s="15"/>
      <c r="M2081" s="36" t="str">
        <f t="array" ref="M2081">IF($A2081="","",IF($L2081="Atendido",IFERROR($I2081*INDEX(Config!$B:$B,MATCH($C2081,Config!$A:$A,0)),0),0))</f>
        <v/>
      </c>
      <c r="N2081" s="36" t="str">
        <f t="shared" si="2"/>
        <v/>
      </c>
      <c r="O2081" s="36" t="str">
        <f t="shared" si="3"/>
        <v/>
      </c>
      <c r="P2081" s="15"/>
      <c r="Q2081" s="37" t="str">
        <f t="shared" si="4"/>
        <v/>
      </c>
      <c r="R2081" s="37" t="str">
        <f t="shared" si="5"/>
        <v/>
      </c>
      <c r="S2081" s="32" t="str">
        <f t="shared" si="6"/>
        <v/>
      </c>
      <c r="T2081" s="37" t="str">
        <f t="shared" si="7"/>
        <v/>
      </c>
      <c r="U2081" s="37" t="str">
        <f t="array" ref="U2081">IF($F2081="","",IFERROR(INDEX(Config!$F:$F,MATCH($F2081,Config!$D:$D,0)),0))</f>
        <v/>
      </c>
    </row>
    <row r="2082" ht="15.0" customHeight="1">
      <c r="A2082" s="34"/>
      <c r="B2082" s="35"/>
      <c r="C2082" s="15"/>
      <c r="D2082" s="15"/>
      <c r="E2082" s="15"/>
      <c r="F2082" s="15"/>
      <c r="G2082" s="36" t="str">
        <f t="array" ref="G2082">IF($F2082="","",IFERROR(INDEX(Config!$E:$E,MATCH($F2082,Config!$D:$D,0)),0))</f>
        <v/>
      </c>
      <c r="H2082" s="16"/>
      <c r="I2082" s="36" t="str">
        <f t="shared" si="1"/>
        <v/>
      </c>
      <c r="J2082" s="16"/>
      <c r="K2082" s="15"/>
      <c r="L2082" s="15"/>
      <c r="M2082" s="36" t="str">
        <f t="array" ref="M2082">IF($A2082="","",IF($L2082="Atendido",IFERROR($I2082*INDEX(Config!$B:$B,MATCH($C2082,Config!$A:$A,0)),0),0))</f>
        <v/>
      </c>
      <c r="N2082" s="36" t="str">
        <f t="shared" si="2"/>
        <v/>
      </c>
      <c r="O2082" s="36" t="str">
        <f t="shared" si="3"/>
        <v/>
      </c>
      <c r="P2082" s="15"/>
      <c r="Q2082" s="37" t="str">
        <f t="shared" si="4"/>
        <v/>
      </c>
      <c r="R2082" s="37" t="str">
        <f t="shared" si="5"/>
        <v/>
      </c>
      <c r="S2082" s="32" t="str">
        <f t="shared" si="6"/>
        <v/>
      </c>
      <c r="T2082" s="37" t="str">
        <f t="shared" si="7"/>
        <v/>
      </c>
      <c r="U2082" s="37" t="str">
        <f t="array" ref="U2082">IF($F2082="","",IFERROR(INDEX(Config!$F:$F,MATCH($F2082,Config!$D:$D,0)),0))</f>
        <v/>
      </c>
    </row>
    <row r="2083" ht="15.0" customHeight="1">
      <c r="A2083" s="34"/>
      <c r="B2083" s="35"/>
      <c r="C2083" s="15"/>
      <c r="D2083" s="15"/>
      <c r="E2083" s="15"/>
      <c r="F2083" s="15"/>
      <c r="G2083" s="36" t="str">
        <f t="array" ref="G2083">IF($F2083="","",IFERROR(INDEX(Config!$E:$E,MATCH($F2083,Config!$D:$D,0)),0))</f>
        <v/>
      </c>
      <c r="H2083" s="16"/>
      <c r="I2083" s="36" t="str">
        <f t="shared" si="1"/>
        <v/>
      </c>
      <c r="J2083" s="16"/>
      <c r="K2083" s="15"/>
      <c r="L2083" s="15"/>
      <c r="M2083" s="36" t="str">
        <f t="array" ref="M2083">IF($A2083="","",IF($L2083="Atendido",IFERROR($I2083*INDEX(Config!$B:$B,MATCH($C2083,Config!$A:$A,0)),0),0))</f>
        <v/>
      </c>
      <c r="N2083" s="36" t="str">
        <f t="shared" si="2"/>
        <v/>
      </c>
      <c r="O2083" s="36" t="str">
        <f t="shared" si="3"/>
        <v/>
      </c>
      <c r="P2083" s="15"/>
      <c r="Q2083" s="37" t="str">
        <f t="shared" si="4"/>
        <v/>
      </c>
      <c r="R2083" s="37" t="str">
        <f t="shared" si="5"/>
        <v/>
      </c>
      <c r="S2083" s="32" t="str">
        <f t="shared" si="6"/>
        <v/>
      </c>
      <c r="T2083" s="37" t="str">
        <f t="shared" si="7"/>
        <v/>
      </c>
      <c r="U2083" s="37" t="str">
        <f t="array" ref="U2083">IF($F2083="","",IFERROR(INDEX(Config!$F:$F,MATCH($F2083,Config!$D:$D,0)),0))</f>
        <v/>
      </c>
    </row>
    <row r="2084" ht="15.0" customHeight="1">
      <c r="A2084" s="34"/>
      <c r="B2084" s="35"/>
      <c r="C2084" s="15"/>
      <c r="D2084" s="15"/>
      <c r="E2084" s="15"/>
      <c r="F2084" s="15"/>
      <c r="G2084" s="36" t="str">
        <f t="array" ref="G2084">IF($F2084="","",IFERROR(INDEX(Config!$E:$E,MATCH($F2084,Config!$D:$D,0)),0))</f>
        <v/>
      </c>
      <c r="H2084" s="16"/>
      <c r="I2084" s="36" t="str">
        <f t="shared" si="1"/>
        <v/>
      </c>
      <c r="J2084" s="16"/>
      <c r="K2084" s="15"/>
      <c r="L2084" s="15"/>
      <c r="M2084" s="36" t="str">
        <f t="array" ref="M2084">IF($A2084="","",IF($L2084="Atendido",IFERROR($I2084*INDEX(Config!$B:$B,MATCH($C2084,Config!$A:$A,0)),0),0))</f>
        <v/>
      </c>
      <c r="N2084" s="36" t="str">
        <f t="shared" si="2"/>
        <v/>
      </c>
      <c r="O2084" s="36" t="str">
        <f t="shared" si="3"/>
        <v/>
      </c>
      <c r="P2084" s="15"/>
      <c r="Q2084" s="37" t="str">
        <f t="shared" si="4"/>
        <v/>
      </c>
      <c r="R2084" s="37" t="str">
        <f t="shared" si="5"/>
        <v/>
      </c>
      <c r="S2084" s="32" t="str">
        <f t="shared" si="6"/>
        <v/>
      </c>
      <c r="T2084" s="37" t="str">
        <f t="shared" si="7"/>
        <v/>
      </c>
      <c r="U2084" s="37" t="str">
        <f t="array" ref="U2084">IF($F2084="","",IFERROR(INDEX(Config!$F:$F,MATCH($F2084,Config!$D:$D,0)),0))</f>
        <v/>
      </c>
    </row>
    <row r="2085" ht="15.0" customHeight="1">
      <c r="A2085" s="34"/>
      <c r="B2085" s="35"/>
      <c r="C2085" s="15"/>
      <c r="D2085" s="15"/>
      <c r="E2085" s="15"/>
      <c r="F2085" s="15"/>
      <c r="G2085" s="36" t="str">
        <f t="array" ref="G2085">IF($F2085="","",IFERROR(INDEX(Config!$E:$E,MATCH($F2085,Config!$D:$D,0)),0))</f>
        <v/>
      </c>
      <c r="H2085" s="16"/>
      <c r="I2085" s="36" t="str">
        <f t="shared" si="1"/>
        <v/>
      </c>
      <c r="J2085" s="16"/>
      <c r="K2085" s="15"/>
      <c r="L2085" s="15"/>
      <c r="M2085" s="36" t="str">
        <f t="array" ref="M2085">IF($A2085="","",IF($L2085="Atendido",IFERROR($I2085*INDEX(Config!$B:$B,MATCH($C2085,Config!$A:$A,0)),0),0))</f>
        <v/>
      </c>
      <c r="N2085" s="36" t="str">
        <f t="shared" si="2"/>
        <v/>
      </c>
      <c r="O2085" s="36" t="str">
        <f t="shared" si="3"/>
        <v/>
      </c>
      <c r="P2085" s="15"/>
      <c r="Q2085" s="37" t="str">
        <f t="shared" si="4"/>
        <v/>
      </c>
      <c r="R2085" s="37" t="str">
        <f t="shared" si="5"/>
        <v/>
      </c>
      <c r="S2085" s="32" t="str">
        <f t="shared" si="6"/>
        <v/>
      </c>
      <c r="T2085" s="37" t="str">
        <f t="shared" si="7"/>
        <v/>
      </c>
      <c r="U2085" s="37" t="str">
        <f t="array" ref="U2085">IF($F2085="","",IFERROR(INDEX(Config!$F:$F,MATCH($F2085,Config!$D:$D,0)),0))</f>
        <v/>
      </c>
    </row>
    <row r="2086" ht="15.0" customHeight="1">
      <c r="A2086" s="34"/>
      <c r="B2086" s="35"/>
      <c r="C2086" s="15"/>
      <c r="D2086" s="15"/>
      <c r="E2086" s="15"/>
      <c r="F2086" s="15"/>
      <c r="G2086" s="36" t="str">
        <f t="array" ref="G2086">IF($F2086="","",IFERROR(INDEX(Config!$E:$E,MATCH($F2086,Config!$D:$D,0)),0))</f>
        <v/>
      </c>
      <c r="H2086" s="16"/>
      <c r="I2086" s="36" t="str">
        <f t="shared" si="1"/>
        <v/>
      </c>
      <c r="J2086" s="16"/>
      <c r="K2086" s="15"/>
      <c r="L2086" s="15"/>
      <c r="M2086" s="36" t="str">
        <f t="array" ref="M2086">IF($A2086="","",IF($L2086="Atendido",IFERROR($I2086*INDEX(Config!$B:$B,MATCH($C2086,Config!$A:$A,0)),0),0))</f>
        <v/>
      </c>
      <c r="N2086" s="36" t="str">
        <f t="shared" si="2"/>
        <v/>
      </c>
      <c r="O2086" s="36" t="str">
        <f t="shared" si="3"/>
        <v/>
      </c>
      <c r="P2086" s="15"/>
      <c r="Q2086" s="37" t="str">
        <f t="shared" si="4"/>
        <v/>
      </c>
      <c r="R2086" s="37" t="str">
        <f t="shared" si="5"/>
        <v/>
      </c>
      <c r="S2086" s="32" t="str">
        <f t="shared" si="6"/>
        <v/>
      </c>
      <c r="T2086" s="37" t="str">
        <f t="shared" si="7"/>
        <v/>
      </c>
      <c r="U2086" s="37" t="str">
        <f t="array" ref="U2086">IF($F2086="","",IFERROR(INDEX(Config!$F:$F,MATCH($F2086,Config!$D:$D,0)),0))</f>
        <v/>
      </c>
    </row>
    <row r="2087" ht="15.0" customHeight="1">
      <c r="A2087" s="34"/>
      <c r="B2087" s="35"/>
      <c r="C2087" s="15"/>
      <c r="D2087" s="15"/>
      <c r="E2087" s="15"/>
      <c r="F2087" s="15"/>
      <c r="G2087" s="36" t="str">
        <f t="array" ref="G2087">IF($F2087="","",IFERROR(INDEX(Config!$E:$E,MATCH($F2087,Config!$D:$D,0)),0))</f>
        <v/>
      </c>
      <c r="H2087" s="16"/>
      <c r="I2087" s="36" t="str">
        <f t="shared" si="1"/>
        <v/>
      </c>
      <c r="J2087" s="16"/>
      <c r="K2087" s="15"/>
      <c r="L2087" s="15"/>
      <c r="M2087" s="36" t="str">
        <f t="array" ref="M2087">IF($A2087="","",IF($L2087="Atendido",IFERROR($I2087*INDEX(Config!$B:$B,MATCH($C2087,Config!$A:$A,0)),0),0))</f>
        <v/>
      </c>
      <c r="N2087" s="36" t="str">
        <f t="shared" si="2"/>
        <v/>
      </c>
      <c r="O2087" s="36" t="str">
        <f t="shared" si="3"/>
        <v/>
      </c>
      <c r="P2087" s="15"/>
      <c r="Q2087" s="37" t="str">
        <f t="shared" si="4"/>
        <v/>
      </c>
      <c r="R2087" s="37" t="str">
        <f t="shared" si="5"/>
        <v/>
      </c>
      <c r="S2087" s="32" t="str">
        <f t="shared" si="6"/>
        <v/>
      </c>
      <c r="T2087" s="37" t="str">
        <f t="shared" si="7"/>
        <v/>
      </c>
      <c r="U2087" s="37" t="str">
        <f t="array" ref="U2087">IF($F2087="","",IFERROR(INDEX(Config!$F:$F,MATCH($F2087,Config!$D:$D,0)),0))</f>
        <v/>
      </c>
    </row>
    <row r="2088" ht="15.0" customHeight="1">
      <c r="A2088" s="34"/>
      <c r="B2088" s="35"/>
      <c r="C2088" s="15"/>
      <c r="D2088" s="15"/>
      <c r="E2088" s="15"/>
      <c r="F2088" s="15"/>
      <c r="G2088" s="36" t="str">
        <f t="array" ref="G2088">IF($F2088="","",IFERROR(INDEX(Config!$E:$E,MATCH($F2088,Config!$D:$D,0)),0))</f>
        <v/>
      </c>
      <c r="H2088" s="16"/>
      <c r="I2088" s="36" t="str">
        <f t="shared" si="1"/>
        <v/>
      </c>
      <c r="J2088" s="16"/>
      <c r="K2088" s="15"/>
      <c r="L2088" s="15"/>
      <c r="M2088" s="36" t="str">
        <f t="array" ref="M2088">IF($A2088="","",IF($L2088="Atendido",IFERROR($I2088*INDEX(Config!$B:$B,MATCH($C2088,Config!$A:$A,0)),0),0))</f>
        <v/>
      </c>
      <c r="N2088" s="36" t="str">
        <f t="shared" si="2"/>
        <v/>
      </c>
      <c r="O2088" s="36" t="str">
        <f t="shared" si="3"/>
        <v/>
      </c>
      <c r="P2088" s="15"/>
      <c r="Q2088" s="37" t="str">
        <f t="shared" si="4"/>
        <v/>
      </c>
      <c r="R2088" s="37" t="str">
        <f t="shared" si="5"/>
        <v/>
      </c>
      <c r="S2088" s="32" t="str">
        <f t="shared" si="6"/>
        <v/>
      </c>
      <c r="T2088" s="37" t="str">
        <f t="shared" si="7"/>
        <v/>
      </c>
      <c r="U2088" s="37" t="str">
        <f t="array" ref="U2088">IF($F2088="","",IFERROR(INDEX(Config!$F:$F,MATCH($F2088,Config!$D:$D,0)),0))</f>
        <v/>
      </c>
    </row>
    <row r="2089" ht="15.0" customHeight="1">
      <c r="A2089" s="34"/>
      <c r="B2089" s="35"/>
      <c r="C2089" s="15"/>
      <c r="D2089" s="15"/>
      <c r="E2089" s="15"/>
      <c r="F2089" s="15"/>
      <c r="G2089" s="36" t="str">
        <f t="array" ref="G2089">IF($F2089="","",IFERROR(INDEX(Config!$E:$E,MATCH($F2089,Config!$D:$D,0)),0))</f>
        <v/>
      </c>
      <c r="H2089" s="16"/>
      <c r="I2089" s="36" t="str">
        <f t="shared" si="1"/>
        <v/>
      </c>
      <c r="J2089" s="16"/>
      <c r="K2089" s="15"/>
      <c r="L2089" s="15"/>
      <c r="M2089" s="36" t="str">
        <f t="array" ref="M2089">IF($A2089="","",IF($L2089="Atendido",IFERROR($I2089*INDEX(Config!$B:$B,MATCH($C2089,Config!$A:$A,0)),0),0))</f>
        <v/>
      </c>
      <c r="N2089" s="36" t="str">
        <f t="shared" si="2"/>
        <v/>
      </c>
      <c r="O2089" s="36" t="str">
        <f t="shared" si="3"/>
        <v/>
      </c>
      <c r="P2089" s="15"/>
      <c r="Q2089" s="37" t="str">
        <f t="shared" si="4"/>
        <v/>
      </c>
      <c r="R2089" s="37" t="str">
        <f t="shared" si="5"/>
        <v/>
      </c>
      <c r="S2089" s="32" t="str">
        <f t="shared" si="6"/>
        <v/>
      </c>
      <c r="T2089" s="37" t="str">
        <f t="shared" si="7"/>
        <v/>
      </c>
      <c r="U2089" s="37" t="str">
        <f t="array" ref="U2089">IF($F2089="","",IFERROR(INDEX(Config!$F:$F,MATCH($F2089,Config!$D:$D,0)),0))</f>
        <v/>
      </c>
    </row>
    <row r="2090" ht="15.0" customHeight="1">
      <c r="A2090" s="34"/>
      <c r="B2090" s="35"/>
      <c r="C2090" s="15"/>
      <c r="D2090" s="15"/>
      <c r="E2090" s="15"/>
      <c r="F2090" s="15"/>
      <c r="G2090" s="36" t="str">
        <f t="array" ref="G2090">IF($F2090="","",IFERROR(INDEX(Config!$E:$E,MATCH($F2090,Config!$D:$D,0)),0))</f>
        <v/>
      </c>
      <c r="H2090" s="16"/>
      <c r="I2090" s="36" t="str">
        <f t="shared" si="1"/>
        <v/>
      </c>
      <c r="J2090" s="16"/>
      <c r="K2090" s="15"/>
      <c r="L2090" s="15"/>
      <c r="M2090" s="36" t="str">
        <f t="array" ref="M2090">IF($A2090="","",IF($L2090="Atendido",IFERROR($I2090*INDEX(Config!$B:$B,MATCH($C2090,Config!$A:$A,0)),0),0))</f>
        <v/>
      </c>
      <c r="N2090" s="36" t="str">
        <f t="shared" si="2"/>
        <v/>
      </c>
      <c r="O2090" s="36" t="str">
        <f t="shared" si="3"/>
        <v/>
      </c>
      <c r="P2090" s="15"/>
      <c r="Q2090" s="37" t="str">
        <f t="shared" si="4"/>
        <v/>
      </c>
      <c r="R2090" s="37" t="str">
        <f t="shared" si="5"/>
        <v/>
      </c>
      <c r="S2090" s="32" t="str">
        <f t="shared" si="6"/>
        <v/>
      </c>
      <c r="T2090" s="37" t="str">
        <f t="shared" si="7"/>
        <v/>
      </c>
      <c r="U2090" s="37" t="str">
        <f t="array" ref="U2090">IF($F2090="","",IFERROR(INDEX(Config!$F:$F,MATCH($F2090,Config!$D:$D,0)),0))</f>
        <v/>
      </c>
    </row>
    <row r="2091" ht="15.0" customHeight="1">
      <c r="A2091" s="34"/>
      <c r="B2091" s="35"/>
      <c r="C2091" s="15"/>
      <c r="D2091" s="15"/>
      <c r="E2091" s="15"/>
      <c r="F2091" s="15"/>
      <c r="G2091" s="36" t="str">
        <f t="array" ref="G2091">IF($F2091="","",IFERROR(INDEX(Config!$E:$E,MATCH($F2091,Config!$D:$D,0)),0))</f>
        <v/>
      </c>
      <c r="H2091" s="16"/>
      <c r="I2091" s="36" t="str">
        <f t="shared" si="1"/>
        <v/>
      </c>
      <c r="J2091" s="16"/>
      <c r="K2091" s="15"/>
      <c r="L2091" s="15"/>
      <c r="M2091" s="36" t="str">
        <f t="array" ref="M2091">IF($A2091="","",IF($L2091="Atendido",IFERROR($I2091*INDEX(Config!$B:$B,MATCH($C2091,Config!$A:$A,0)),0),0))</f>
        <v/>
      </c>
      <c r="N2091" s="36" t="str">
        <f t="shared" si="2"/>
        <v/>
      </c>
      <c r="O2091" s="36" t="str">
        <f t="shared" si="3"/>
        <v/>
      </c>
      <c r="P2091" s="15"/>
      <c r="Q2091" s="37" t="str">
        <f t="shared" si="4"/>
        <v/>
      </c>
      <c r="R2091" s="37" t="str">
        <f t="shared" si="5"/>
        <v/>
      </c>
      <c r="S2091" s="32" t="str">
        <f t="shared" si="6"/>
        <v/>
      </c>
      <c r="T2091" s="37" t="str">
        <f t="shared" si="7"/>
        <v/>
      </c>
      <c r="U2091" s="37" t="str">
        <f t="array" ref="U2091">IF($F2091="","",IFERROR(INDEX(Config!$F:$F,MATCH($F2091,Config!$D:$D,0)),0))</f>
        <v/>
      </c>
    </row>
    <row r="2092" ht="15.0" customHeight="1">
      <c r="A2092" s="34"/>
      <c r="B2092" s="35"/>
      <c r="C2092" s="15"/>
      <c r="D2092" s="15"/>
      <c r="E2092" s="15"/>
      <c r="F2092" s="15"/>
      <c r="G2092" s="36" t="str">
        <f t="array" ref="G2092">IF($F2092="","",IFERROR(INDEX(Config!$E:$E,MATCH($F2092,Config!$D:$D,0)),0))</f>
        <v/>
      </c>
      <c r="H2092" s="16"/>
      <c r="I2092" s="36" t="str">
        <f t="shared" si="1"/>
        <v/>
      </c>
      <c r="J2092" s="16"/>
      <c r="K2092" s="15"/>
      <c r="L2092" s="15"/>
      <c r="M2092" s="36" t="str">
        <f t="array" ref="M2092">IF($A2092="","",IF($L2092="Atendido",IFERROR($I2092*INDEX(Config!$B:$B,MATCH($C2092,Config!$A:$A,0)),0),0))</f>
        <v/>
      </c>
      <c r="N2092" s="36" t="str">
        <f t="shared" si="2"/>
        <v/>
      </c>
      <c r="O2092" s="36" t="str">
        <f t="shared" si="3"/>
        <v/>
      </c>
      <c r="P2092" s="15"/>
      <c r="Q2092" s="37" t="str">
        <f t="shared" si="4"/>
        <v/>
      </c>
      <c r="R2092" s="37" t="str">
        <f t="shared" si="5"/>
        <v/>
      </c>
      <c r="S2092" s="32" t="str">
        <f t="shared" si="6"/>
        <v/>
      </c>
      <c r="T2092" s="37" t="str">
        <f t="shared" si="7"/>
        <v/>
      </c>
      <c r="U2092" s="37" t="str">
        <f t="array" ref="U2092">IF($F2092="","",IFERROR(INDEX(Config!$F:$F,MATCH($F2092,Config!$D:$D,0)),0))</f>
        <v/>
      </c>
    </row>
    <row r="2093" ht="15.0" customHeight="1">
      <c r="A2093" s="34"/>
      <c r="B2093" s="35"/>
      <c r="C2093" s="15"/>
      <c r="D2093" s="15"/>
      <c r="E2093" s="15"/>
      <c r="F2093" s="15"/>
      <c r="G2093" s="36" t="str">
        <f t="array" ref="G2093">IF($F2093="","",IFERROR(INDEX(Config!$E:$E,MATCH($F2093,Config!$D:$D,0)),0))</f>
        <v/>
      </c>
      <c r="H2093" s="16"/>
      <c r="I2093" s="36" t="str">
        <f t="shared" si="1"/>
        <v/>
      </c>
      <c r="J2093" s="16"/>
      <c r="K2093" s="15"/>
      <c r="L2093" s="15"/>
      <c r="M2093" s="36" t="str">
        <f t="array" ref="M2093">IF($A2093="","",IF($L2093="Atendido",IFERROR($I2093*INDEX(Config!$B:$B,MATCH($C2093,Config!$A:$A,0)),0),0))</f>
        <v/>
      </c>
      <c r="N2093" s="36" t="str">
        <f t="shared" si="2"/>
        <v/>
      </c>
      <c r="O2093" s="36" t="str">
        <f t="shared" si="3"/>
        <v/>
      </c>
      <c r="P2093" s="15"/>
      <c r="Q2093" s="37" t="str">
        <f t="shared" si="4"/>
        <v/>
      </c>
      <c r="R2093" s="37" t="str">
        <f t="shared" si="5"/>
        <v/>
      </c>
      <c r="S2093" s="32" t="str">
        <f t="shared" si="6"/>
        <v/>
      </c>
      <c r="T2093" s="37" t="str">
        <f t="shared" si="7"/>
        <v/>
      </c>
      <c r="U2093" s="37" t="str">
        <f t="array" ref="U2093">IF($F2093="","",IFERROR(INDEX(Config!$F:$F,MATCH($F2093,Config!$D:$D,0)),0))</f>
        <v/>
      </c>
    </row>
    <row r="2094" ht="15.0" customHeight="1">
      <c r="A2094" s="34"/>
      <c r="B2094" s="35"/>
      <c r="C2094" s="15"/>
      <c r="D2094" s="15"/>
      <c r="E2094" s="15"/>
      <c r="F2094" s="15"/>
      <c r="G2094" s="36" t="str">
        <f t="array" ref="G2094">IF($F2094="","",IFERROR(INDEX(Config!$E:$E,MATCH($F2094,Config!$D:$D,0)),0))</f>
        <v/>
      </c>
      <c r="H2094" s="16"/>
      <c r="I2094" s="36" t="str">
        <f t="shared" si="1"/>
        <v/>
      </c>
      <c r="J2094" s="16"/>
      <c r="K2094" s="15"/>
      <c r="L2094" s="15"/>
      <c r="M2094" s="36" t="str">
        <f t="array" ref="M2094">IF($A2094="","",IF($L2094="Atendido",IFERROR($I2094*INDEX(Config!$B:$B,MATCH($C2094,Config!$A:$A,0)),0),0))</f>
        <v/>
      </c>
      <c r="N2094" s="36" t="str">
        <f t="shared" si="2"/>
        <v/>
      </c>
      <c r="O2094" s="36" t="str">
        <f t="shared" si="3"/>
        <v/>
      </c>
      <c r="P2094" s="15"/>
      <c r="Q2094" s="37" t="str">
        <f t="shared" si="4"/>
        <v/>
      </c>
      <c r="R2094" s="37" t="str">
        <f t="shared" si="5"/>
        <v/>
      </c>
      <c r="S2094" s="32" t="str">
        <f t="shared" si="6"/>
        <v/>
      </c>
      <c r="T2094" s="37" t="str">
        <f t="shared" si="7"/>
        <v/>
      </c>
      <c r="U2094" s="37" t="str">
        <f t="array" ref="U2094">IF($F2094="","",IFERROR(INDEX(Config!$F:$F,MATCH($F2094,Config!$D:$D,0)),0))</f>
        <v/>
      </c>
    </row>
    <row r="2095" ht="15.0" customHeight="1">
      <c r="A2095" s="34"/>
      <c r="B2095" s="35"/>
      <c r="C2095" s="15"/>
      <c r="D2095" s="15"/>
      <c r="E2095" s="15"/>
      <c r="F2095" s="15"/>
      <c r="G2095" s="36" t="str">
        <f t="array" ref="G2095">IF($F2095="","",IFERROR(INDEX(Config!$E:$E,MATCH($F2095,Config!$D:$D,0)),0))</f>
        <v/>
      </c>
      <c r="H2095" s="16"/>
      <c r="I2095" s="36" t="str">
        <f t="shared" si="1"/>
        <v/>
      </c>
      <c r="J2095" s="16"/>
      <c r="K2095" s="15"/>
      <c r="L2095" s="15"/>
      <c r="M2095" s="36" t="str">
        <f t="array" ref="M2095">IF($A2095="","",IF($L2095="Atendido",IFERROR($I2095*INDEX(Config!$B:$B,MATCH($C2095,Config!$A:$A,0)),0),0))</f>
        <v/>
      </c>
      <c r="N2095" s="36" t="str">
        <f t="shared" si="2"/>
        <v/>
      </c>
      <c r="O2095" s="36" t="str">
        <f t="shared" si="3"/>
        <v/>
      </c>
      <c r="P2095" s="15"/>
      <c r="Q2095" s="37" t="str">
        <f t="shared" si="4"/>
        <v/>
      </c>
      <c r="R2095" s="37" t="str">
        <f t="shared" si="5"/>
        <v/>
      </c>
      <c r="S2095" s="32" t="str">
        <f t="shared" si="6"/>
        <v/>
      </c>
      <c r="T2095" s="37" t="str">
        <f t="shared" si="7"/>
        <v/>
      </c>
      <c r="U2095" s="37" t="str">
        <f t="array" ref="U2095">IF($F2095="","",IFERROR(INDEX(Config!$F:$F,MATCH($F2095,Config!$D:$D,0)),0))</f>
        <v/>
      </c>
    </row>
    <row r="2096" ht="15.0" customHeight="1">
      <c r="A2096" s="34"/>
      <c r="B2096" s="35"/>
      <c r="C2096" s="15"/>
      <c r="D2096" s="15"/>
      <c r="E2096" s="15"/>
      <c r="F2096" s="15"/>
      <c r="G2096" s="36" t="str">
        <f t="array" ref="G2096">IF($F2096="","",IFERROR(INDEX(Config!$E:$E,MATCH($F2096,Config!$D:$D,0)),0))</f>
        <v/>
      </c>
      <c r="H2096" s="16"/>
      <c r="I2096" s="36" t="str">
        <f t="shared" si="1"/>
        <v/>
      </c>
      <c r="J2096" s="16"/>
      <c r="K2096" s="15"/>
      <c r="L2096" s="15"/>
      <c r="M2096" s="36" t="str">
        <f t="array" ref="M2096">IF($A2096="","",IF($L2096="Atendido",IFERROR($I2096*INDEX(Config!$B:$B,MATCH($C2096,Config!$A:$A,0)),0),0))</f>
        <v/>
      </c>
      <c r="N2096" s="36" t="str">
        <f t="shared" si="2"/>
        <v/>
      </c>
      <c r="O2096" s="36" t="str">
        <f t="shared" si="3"/>
        <v/>
      </c>
      <c r="P2096" s="15"/>
      <c r="Q2096" s="37" t="str">
        <f t="shared" si="4"/>
        <v/>
      </c>
      <c r="R2096" s="37" t="str">
        <f t="shared" si="5"/>
        <v/>
      </c>
      <c r="S2096" s="32" t="str">
        <f t="shared" si="6"/>
        <v/>
      </c>
      <c r="T2096" s="37" t="str">
        <f t="shared" si="7"/>
        <v/>
      </c>
      <c r="U2096" s="37" t="str">
        <f t="array" ref="U2096">IF($F2096="","",IFERROR(INDEX(Config!$F:$F,MATCH($F2096,Config!$D:$D,0)),0))</f>
        <v/>
      </c>
    </row>
    <row r="2097" ht="15.0" customHeight="1">
      <c r="A2097" s="34"/>
      <c r="B2097" s="35"/>
      <c r="C2097" s="15"/>
      <c r="D2097" s="15"/>
      <c r="E2097" s="15"/>
      <c r="F2097" s="15"/>
      <c r="G2097" s="36" t="str">
        <f t="array" ref="G2097">IF($F2097="","",IFERROR(INDEX(Config!$E:$E,MATCH($F2097,Config!$D:$D,0)),0))</f>
        <v/>
      </c>
      <c r="H2097" s="16"/>
      <c r="I2097" s="36" t="str">
        <f t="shared" si="1"/>
        <v/>
      </c>
      <c r="J2097" s="16"/>
      <c r="K2097" s="15"/>
      <c r="L2097" s="15"/>
      <c r="M2097" s="36" t="str">
        <f t="array" ref="M2097">IF($A2097="","",IF($L2097="Atendido",IFERROR($I2097*INDEX(Config!$B:$B,MATCH($C2097,Config!$A:$A,0)),0),0))</f>
        <v/>
      </c>
      <c r="N2097" s="36" t="str">
        <f t="shared" si="2"/>
        <v/>
      </c>
      <c r="O2097" s="36" t="str">
        <f t="shared" si="3"/>
        <v/>
      </c>
      <c r="P2097" s="15"/>
      <c r="Q2097" s="37" t="str">
        <f t="shared" si="4"/>
        <v/>
      </c>
      <c r="R2097" s="37" t="str">
        <f t="shared" si="5"/>
        <v/>
      </c>
      <c r="S2097" s="32" t="str">
        <f t="shared" si="6"/>
        <v/>
      </c>
      <c r="T2097" s="37" t="str">
        <f t="shared" si="7"/>
        <v/>
      </c>
      <c r="U2097" s="37" t="str">
        <f t="array" ref="U2097">IF($F2097="","",IFERROR(INDEX(Config!$F:$F,MATCH($F2097,Config!$D:$D,0)),0))</f>
        <v/>
      </c>
    </row>
    <row r="2098" ht="15.0" customHeight="1">
      <c r="A2098" s="34"/>
      <c r="B2098" s="35"/>
      <c r="C2098" s="15"/>
      <c r="D2098" s="15"/>
      <c r="E2098" s="15"/>
      <c r="F2098" s="15"/>
      <c r="G2098" s="36" t="str">
        <f t="array" ref="G2098">IF($F2098="","",IFERROR(INDEX(Config!$E:$E,MATCH($F2098,Config!$D:$D,0)),0))</f>
        <v/>
      </c>
      <c r="H2098" s="16"/>
      <c r="I2098" s="36" t="str">
        <f t="shared" si="1"/>
        <v/>
      </c>
      <c r="J2098" s="16"/>
      <c r="K2098" s="15"/>
      <c r="L2098" s="15"/>
      <c r="M2098" s="36" t="str">
        <f t="array" ref="M2098">IF($A2098="","",IF($L2098="Atendido",IFERROR($I2098*INDEX(Config!$B:$B,MATCH($C2098,Config!$A:$A,0)),0),0))</f>
        <v/>
      </c>
      <c r="N2098" s="36" t="str">
        <f t="shared" si="2"/>
        <v/>
      </c>
      <c r="O2098" s="36" t="str">
        <f t="shared" si="3"/>
        <v/>
      </c>
      <c r="P2098" s="15"/>
      <c r="Q2098" s="37" t="str">
        <f t="shared" si="4"/>
        <v/>
      </c>
      <c r="R2098" s="37" t="str">
        <f t="shared" si="5"/>
        <v/>
      </c>
      <c r="S2098" s="32" t="str">
        <f t="shared" si="6"/>
        <v/>
      </c>
      <c r="T2098" s="37" t="str">
        <f t="shared" si="7"/>
        <v/>
      </c>
      <c r="U2098" s="37" t="str">
        <f t="array" ref="U2098">IF($F2098="","",IFERROR(INDEX(Config!$F:$F,MATCH($F2098,Config!$D:$D,0)),0))</f>
        <v/>
      </c>
    </row>
    <row r="2099" ht="15.0" customHeight="1">
      <c r="A2099" s="34"/>
      <c r="B2099" s="35"/>
      <c r="C2099" s="15"/>
      <c r="D2099" s="15"/>
      <c r="E2099" s="15"/>
      <c r="F2099" s="15"/>
      <c r="G2099" s="36" t="str">
        <f t="array" ref="G2099">IF($F2099="","",IFERROR(INDEX(Config!$E:$E,MATCH($F2099,Config!$D:$D,0)),0))</f>
        <v/>
      </c>
      <c r="H2099" s="16"/>
      <c r="I2099" s="36" t="str">
        <f t="shared" si="1"/>
        <v/>
      </c>
      <c r="J2099" s="16"/>
      <c r="K2099" s="15"/>
      <c r="L2099" s="15"/>
      <c r="M2099" s="36" t="str">
        <f t="array" ref="M2099">IF($A2099="","",IF($L2099="Atendido",IFERROR($I2099*INDEX(Config!$B:$B,MATCH($C2099,Config!$A:$A,0)),0),0))</f>
        <v/>
      </c>
      <c r="N2099" s="36" t="str">
        <f t="shared" si="2"/>
        <v/>
      </c>
      <c r="O2099" s="36" t="str">
        <f t="shared" si="3"/>
        <v/>
      </c>
      <c r="P2099" s="15"/>
      <c r="Q2099" s="37" t="str">
        <f t="shared" si="4"/>
        <v/>
      </c>
      <c r="R2099" s="37" t="str">
        <f t="shared" si="5"/>
        <v/>
      </c>
      <c r="S2099" s="32" t="str">
        <f t="shared" si="6"/>
        <v/>
      </c>
      <c r="T2099" s="37" t="str">
        <f t="shared" si="7"/>
        <v/>
      </c>
      <c r="U2099" s="37" t="str">
        <f t="array" ref="U2099">IF($F2099="","",IFERROR(INDEX(Config!$F:$F,MATCH($F2099,Config!$D:$D,0)),0))</f>
        <v/>
      </c>
    </row>
    <row r="2100" ht="15.0" customHeight="1">
      <c r="A2100" s="34"/>
      <c r="B2100" s="35"/>
      <c r="C2100" s="15"/>
      <c r="D2100" s="15"/>
      <c r="E2100" s="15"/>
      <c r="F2100" s="15"/>
      <c r="G2100" s="36" t="str">
        <f t="array" ref="G2100">IF($F2100="","",IFERROR(INDEX(Config!$E:$E,MATCH($F2100,Config!$D:$D,0)),0))</f>
        <v/>
      </c>
      <c r="H2100" s="16"/>
      <c r="I2100" s="36" t="str">
        <f t="shared" si="1"/>
        <v/>
      </c>
      <c r="J2100" s="16"/>
      <c r="K2100" s="15"/>
      <c r="L2100" s="15"/>
      <c r="M2100" s="36" t="str">
        <f t="array" ref="M2100">IF($A2100="","",IF($L2100="Atendido",IFERROR($I2100*INDEX(Config!$B:$B,MATCH($C2100,Config!$A:$A,0)),0),0))</f>
        <v/>
      </c>
      <c r="N2100" s="36" t="str">
        <f t="shared" si="2"/>
        <v/>
      </c>
      <c r="O2100" s="36" t="str">
        <f t="shared" si="3"/>
        <v/>
      </c>
      <c r="P2100" s="15"/>
      <c r="Q2100" s="37" t="str">
        <f t="shared" si="4"/>
        <v/>
      </c>
      <c r="R2100" s="37" t="str">
        <f t="shared" si="5"/>
        <v/>
      </c>
      <c r="S2100" s="32" t="str">
        <f t="shared" si="6"/>
        <v/>
      </c>
      <c r="T2100" s="37" t="str">
        <f t="shared" si="7"/>
        <v/>
      </c>
      <c r="U2100" s="37" t="str">
        <f t="array" ref="U2100">IF($F2100="","",IFERROR(INDEX(Config!$F:$F,MATCH($F2100,Config!$D:$D,0)),0))</f>
        <v/>
      </c>
    </row>
    <row r="2101" ht="15.0" customHeight="1">
      <c r="A2101" s="34"/>
      <c r="B2101" s="35"/>
      <c r="C2101" s="15"/>
      <c r="D2101" s="15"/>
      <c r="E2101" s="15"/>
      <c r="F2101" s="15"/>
      <c r="G2101" s="36" t="str">
        <f t="array" ref="G2101">IF($F2101="","",IFERROR(INDEX(Config!$E:$E,MATCH($F2101,Config!$D:$D,0)),0))</f>
        <v/>
      </c>
      <c r="H2101" s="16"/>
      <c r="I2101" s="36" t="str">
        <f t="shared" si="1"/>
        <v/>
      </c>
      <c r="J2101" s="16"/>
      <c r="K2101" s="15"/>
      <c r="L2101" s="15"/>
      <c r="M2101" s="36" t="str">
        <f t="array" ref="M2101">IF($A2101="","",IF($L2101="Atendido",IFERROR($I2101*INDEX(Config!$B:$B,MATCH($C2101,Config!$A:$A,0)),0),0))</f>
        <v/>
      </c>
      <c r="N2101" s="36" t="str">
        <f t="shared" si="2"/>
        <v/>
      </c>
      <c r="O2101" s="36" t="str">
        <f t="shared" si="3"/>
        <v/>
      </c>
      <c r="P2101" s="15"/>
      <c r="Q2101" s="37" t="str">
        <f t="shared" si="4"/>
        <v/>
      </c>
      <c r="R2101" s="37" t="str">
        <f t="shared" si="5"/>
        <v/>
      </c>
      <c r="S2101" s="32" t="str">
        <f t="shared" si="6"/>
        <v/>
      </c>
      <c r="T2101" s="37" t="str">
        <f t="shared" si="7"/>
        <v/>
      </c>
      <c r="U2101" s="37" t="str">
        <f t="array" ref="U2101">IF($F2101="","",IFERROR(INDEX(Config!$F:$F,MATCH($F2101,Config!$D:$D,0)),0))</f>
        <v/>
      </c>
    </row>
    <row r="2102" ht="15.0" customHeight="1">
      <c r="A2102" s="34"/>
      <c r="B2102" s="35"/>
      <c r="C2102" s="15"/>
      <c r="D2102" s="15"/>
      <c r="E2102" s="15"/>
      <c r="F2102" s="15"/>
      <c r="G2102" s="36" t="str">
        <f t="array" ref="G2102">IF($F2102="","",IFERROR(INDEX(Config!$E:$E,MATCH($F2102,Config!$D:$D,0)),0))</f>
        <v/>
      </c>
      <c r="H2102" s="16"/>
      <c r="I2102" s="36" t="str">
        <f t="shared" si="1"/>
        <v/>
      </c>
      <c r="J2102" s="16"/>
      <c r="K2102" s="15"/>
      <c r="L2102" s="15"/>
      <c r="M2102" s="36" t="str">
        <f t="array" ref="M2102">IF($A2102="","",IF($L2102="Atendido",IFERROR($I2102*INDEX(Config!$B:$B,MATCH($C2102,Config!$A:$A,0)),0),0))</f>
        <v/>
      </c>
      <c r="N2102" s="36" t="str">
        <f t="shared" si="2"/>
        <v/>
      </c>
      <c r="O2102" s="36" t="str">
        <f t="shared" si="3"/>
        <v/>
      </c>
      <c r="P2102" s="15"/>
      <c r="Q2102" s="37" t="str">
        <f t="shared" si="4"/>
        <v/>
      </c>
      <c r="R2102" s="37" t="str">
        <f t="shared" si="5"/>
        <v/>
      </c>
      <c r="S2102" s="32" t="str">
        <f t="shared" si="6"/>
        <v/>
      </c>
      <c r="T2102" s="37" t="str">
        <f t="shared" si="7"/>
        <v/>
      </c>
      <c r="U2102" s="37" t="str">
        <f t="array" ref="U2102">IF($F2102="","",IFERROR(INDEX(Config!$F:$F,MATCH($F2102,Config!$D:$D,0)),0))</f>
        <v/>
      </c>
    </row>
    <row r="2103" ht="15.0" customHeight="1">
      <c r="A2103" s="34"/>
      <c r="B2103" s="35"/>
      <c r="C2103" s="15"/>
      <c r="D2103" s="15"/>
      <c r="E2103" s="15"/>
      <c r="F2103" s="15"/>
      <c r="G2103" s="36" t="str">
        <f t="array" ref="G2103">IF($F2103="","",IFERROR(INDEX(Config!$E:$E,MATCH($F2103,Config!$D:$D,0)),0))</f>
        <v/>
      </c>
      <c r="H2103" s="16"/>
      <c r="I2103" s="36" t="str">
        <f t="shared" si="1"/>
        <v/>
      </c>
      <c r="J2103" s="16"/>
      <c r="K2103" s="15"/>
      <c r="L2103" s="15"/>
      <c r="M2103" s="36" t="str">
        <f t="array" ref="M2103">IF($A2103="","",IF($L2103="Atendido",IFERROR($I2103*INDEX(Config!$B:$B,MATCH($C2103,Config!$A:$A,0)),0),0))</f>
        <v/>
      </c>
      <c r="N2103" s="36" t="str">
        <f t="shared" si="2"/>
        <v/>
      </c>
      <c r="O2103" s="36" t="str">
        <f t="shared" si="3"/>
        <v/>
      </c>
      <c r="P2103" s="15"/>
      <c r="Q2103" s="37" t="str">
        <f t="shared" si="4"/>
        <v/>
      </c>
      <c r="R2103" s="37" t="str">
        <f t="shared" si="5"/>
        <v/>
      </c>
      <c r="S2103" s="32" t="str">
        <f t="shared" si="6"/>
        <v/>
      </c>
      <c r="T2103" s="37" t="str">
        <f t="shared" si="7"/>
        <v/>
      </c>
      <c r="U2103" s="37" t="str">
        <f t="array" ref="U2103">IF($F2103="","",IFERROR(INDEX(Config!$F:$F,MATCH($F2103,Config!$D:$D,0)),0))</f>
        <v/>
      </c>
    </row>
    <row r="2104" ht="15.0" customHeight="1">
      <c r="A2104" s="34"/>
      <c r="B2104" s="35"/>
      <c r="C2104" s="15"/>
      <c r="D2104" s="15"/>
      <c r="E2104" s="15"/>
      <c r="F2104" s="15"/>
      <c r="G2104" s="36" t="str">
        <f t="array" ref="G2104">IF($F2104="","",IFERROR(INDEX(Config!$E:$E,MATCH($F2104,Config!$D:$D,0)),0))</f>
        <v/>
      </c>
      <c r="H2104" s="16"/>
      <c r="I2104" s="36" t="str">
        <f t="shared" si="1"/>
        <v/>
      </c>
      <c r="J2104" s="16"/>
      <c r="K2104" s="15"/>
      <c r="L2104" s="15"/>
      <c r="M2104" s="36" t="str">
        <f t="array" ref="M2104">IF($A2104="","",IF($L2104="Atendido",IFERROR($I2104*INDEX(Config!$B:$B,MATCH($C2104,Config!$A:$A,0)),0),0))</f>
        <v/>
      </c>
      <c r="N2104" s="36" t="str">
        <f t="shared" si="2"/>
        <v/>
      </c>
      <c r="O2104" s="36" t="str">
        <f t="shared" si="3"/>
        <v/>
      </c>
      <c r="P2104" s="15"/>
      <c r="Q2104" s="37" t="str">
        <f t="shared" si="4"/>
        <v/>
      </c>
      <c r="R2104" s="37" t="str">
        <f t="shared" si="5"/>
        <v/>
      </c>
      <c r="S2104" s="32" t="str">
        <f t="shared" si="6"/>
        <v/>
      </c>
      <c r="T2104" s="37" t="str">
        <f t="shared" si="7"/>
        <v/>
      </c>
      <c r="U2104" s="37" t="str">
        <f t="array" ref="U2104">IF($F2104="","",IFERROR(INDEX(Config!$F:$F,MATCH($F2104,Config!$D:$D,0)),0))</f>
        <v/>
      </c>
    </row>
    <row r="2105" ht="15.0" customHeight="1">
      <c r="A2105" s="34"/>
      <c r="B2105" s="35"/>
      <c r="C2105" s="15"/>
      <c r="D2105" s="15"/>
      <c r="E2105" s="15"/>
      <c r="F2105" s="15"/>
      <c r="G2105" s="36" t="str">
        <f t="array" ref="G2105">IF($F2105="","",IFERROR(INDEX(Config!$E:$E,MATCH($F2105,Config!$D:$D,0)),0))</f>
        <v/>
      </c>
      <c r="H2105" s="16"/>
      <c r="I2105" s="36" t="str">
        <f t="shared" si="1"/>
        <v/>
      </c>
      <c r="J2105" s="16"/>
      <c r="K2105" s="15"/>
      <c r="L2105" s="15"/>
      <c r="M2105" s="36" t="str">
        <f t="array" ref="M2105">IF($A2105="","",IF($L2105="Atendido",IFERROR($I2105*INDEX(Config!$B:$B,MATCH($C2105,Config!$A:$A,0)),0),0))</f>
        <v/>
      </c>
      <c r="N2105" s="36" t="str">
        <f t="shared" si="2"/>
        <v/>
      </c>
      <c r="O2105" s="36" t="str">
        <f t="shared" si="3"/>
        <v/>
      </c>
      <c r="P2105" s="15"/>
      <c r="Q2105" s="37" t="str">
        <f t="shared" si="4"/>
        <v/>
      </c>
      <c r="R2105" s="37" t="str">
        <f t="shared" si="5"/>
        <v/>
      </c>
      <c r="S2105" s="32" t="str">
        <f t="shared" si="6"/>
        <v/>
      </c>
      <c r="T2105" s="37" t="str">
        <f t="shared" si="7"/>
        <v/>
      </c>
      <c r="U2105" s="37" t="str">
        <f t="array" ref="U2105">IF($F2105="","",IFERROR(INDEX(Config!$F:$F,MATCH($F2105,Config!$D:$D,0)),0))</f>
        <v/>
      </c>
    </row>
    <row r="2106" ht="15.0" customHeight="1">
      <c r="A2106" s="34"/>
      <c r="B2106" s="35"/>
      <c r="C2106" s="15"/>
      <c r="D2106" s="15"/>
      <c r="E2106" s="15"/>
      <c r="F2106" s="15"/>
      <c r="G2106" s="36" t="str">
        <f t="array" ref="G2106">IF($F2106="","",IFERROR(INDEX(Config!$E:$E,MATCH($F2106,Config!$D:$D,0)),0))</f>
        <v/>
      </c>
      <c r="H2106" s="16"/>
      <c r="I2106" s="36" t="str">
        <f t="shared" si="1"/>
        <v/>
      </c>
      <c r="J2106" s="16"/>
      <c r="K2106" s="15"/>
      <c r="L2106" s="15"/>
      <c r="M2106" s="36" t="str">
        <f t="array" ref="M2106">IF($A2106="","",IF($L2106="Atendido",IFERROR($I2106*INDEX(Config!$B:$B,MATCH($C2106,Config!$A:$A,0)),0),0))</f>
        <v/>
      </c>
      <c r="N2106" s="36" t="str">
        <f t="shared" si="2"/>
        <v/>
      </c>
      <c r="O2106" s="36" t="str">
        <f t="shared" si="3"/>
        <v/>
      </c>
      <c r="P2106" s="15"/>
      <c r="Q2106" s="37" t="str">
        <f t="shared" si="4"/>
        <v/>
      </c>
      <c r="R2106" s="37" t="str">
        <f t="shared" si="5"/>
        <v/>
      </c>
      <c r="S2106" s="32" t="str">
        <f t="shared" si="6"/>
        <v/>
      </c>
      <c r="T2106" s="37" t="str">
        <f t="shared" si="7"/>
        <v/>
      </c>
      <c r="U2106" s="37" t="str">
        <f t="array" ref="U2106">IF($F2106="","",IFERROR(INDEX(Config!$F:$F,MATCH($F2106,Config!$D:$D,0)),0))</f>
        <v/>
      </c>
    </row>
    <row r="2107" ht="15.0" customHeight="1">
      <c r="A2107" s="34"/>
      <c r="B2107" s="35"/>
      <c r="C2107" s="15"/>
      <c r="D2107" s="15"/>
      <c r="E2107" s="15"/>
      <c r="F2107" s="15"/>
      <c r="G2107" s="36" t="str">
        <f t="array" ref="G2107">IF($F2107="","",IFERROR(INDEX(Config!$E:$E,MATCH($F2107,Config!$D:$D,0)),0))</f>
        <v/>
      </c>
      <c r="H2107" s="16"/>
      <c r="I2107" s="36" t="str">
        <f t="shared" si="1"/>
        <v/>
      </c>
      <c r="J2107" s="16"/>
      <c r="K2107" s="15"/>
      <c r="L2107" s="15"/>
      <c r="M2107" s="36" t="str">
        <f t="array" ref="M2107">IF($A2107="","",IF($L2107="Atendido",IFERROR($I2107*INDEX(Config!$B:$B,MATCH($C2107,Config!$A:$A,0)),0),0))</f>
        <v/>
      </c>
      <c r="N2107" s="36" t="str">
        <f t="shared" si="2"/>
        <v/>
      </c>
      <c r="O2107" s="36" t="str">
        <f t="shared" si="3"/>
        <v/>
      </c>
      <c r="P2107" s="15"/>
      <c r="Q2107" s="37" t="str">
        <f t="shared" si="4"/>
        <v/>
      </c>
      <c r="R2107" s="37" t="str">
        <f t="shared" si="5"/>
        <v/>
      </c>
      <c r="S2107" s="32" t="str">
        <f t="shared" si="6"/>
        <v/>
      </c>
      <c r="T2107" s="37" t="str">
        <f t="shared" si="7"/>
        <v/>
      </c>
      <c r="U2107" s="37" t="str">
        <f t="array" ref="U2107">IF($F2107="","",IFERROR(INDEX(Config!$F:$F,MATCH($F2107,Config!$D:$D,0)),0))</f>
        <v/>
      </c>
    </row>
    <row r="2108" ht="15.0" customHeight="1">
      <c r="A2108" s="34"/>
      <c r="B2108" s="35"/>
      <c r="C2108" s="15"/>
      <c r="D2108" s="15"/>
      <c r="E2108" s="15"/>
      <c r="F2108" s="15"/>
      <c r="G2108" s="36" t="str">
        <f t="array" ref="G2108">IF($F2108="","",IFERROR(INDEX(Config!$E:$E,MATCH($F2108,Config!$D:$D,0)),0))</f>
        <v/>
      </c>
      <c r="H2108" s="16"/>
      <c r="I2108" s="36" t="str">
        <f t="shared" si="1"/>
        <v/>
      </c>
      <c r="J2108" s="16"/>
      <c r="K2108" s="15"/>
      <c r="L2108" s="15"/>
      <c r="M2108" s="36" t="str">
        <f t="array" ref="M2108">IF($A2108="","",IF($L2108="Atendido",IFERROR($I2108*INDEX(Config!$B:$B,MATCH($C2108,Config!$A:$A,0)),0),0))</f>
        <v/>
      </c>
      <c r="N2108" s="36" t="str">
        <f t="shared" si="2"/>
        <v/>
      </c>
      <c r="O2108" s="36" t="str">
        <f t="shared" si="3"/>
        <v/>
      </c>
      <c r="P2108" s="15"/>
      <c r="Q2108" s="37" t="str">
        <f t="shared" si="4"/>
        <v/>
      </c>
      <c r="R2108" s="37" t="str">
        <f t="shared" si="5"/>
        <v/>
      </c>
      <c r="S2108" s="32" t="str">
        <f t="shared" si="6"/>
        <v/>
      </c>
      <c r="T2108" s="37" t="str">
        <f t="shared" si="7"/>
        <v/>
      </c>
      <c r="U2108" s="37" t="str">
        <f t="array" ref="U2108">IF($F2108="","",IFERROR(INDEX(Config!$F:$F,MATCH($F2108,Config!$D:$D,0)),0))</f>
        <v/>
      </c>
    </row>
    <row r="2109" ht="15.0" customHeight="1">
      <c r="A2109" s="34"/>
      <c r="B2109" s="35"/>
      <c r="C2109" s="15"/>
      <c r="D2109" s="15"/>
      <c r="E2109" s="15"/>
      <c r="F2109" s="15"/>
      <c r="G2109" s="36" t="str">
        <f t="array" ref="G2109">IF($F2109="","",IFERROR(INDEX(Config!$E:$E,MATCH($F2109,Config!$D:$D,0)),0))</f>
        <v/>
      </c>
      <c r="H2109" s="16"/>
      <c r="I2109" s="36" t="str">
        <f t="shared" si="1"/>
        <v/>
      </c>
      <c r="J2109" s="16"/>
      <c r="K2109" s="15"/>
      <c r="L2109" s="15"/>
      <c r="M2109" s="36" t="str">
        <f t="array" ref="M2109">IF($A2109="","",IF($L2109="Atendido",IFERROR($I2109*INDEX(Config!$B:$B,MATCH($C2109,Config!$A:$A,0)),0),0))</f>
        <v/>
      </c>
      <c r="N2109" s="36" t="str">
        <f t="shared" si="2"/>
        <v/>
      </c>
      <c r="O2109" s="36" t="str">
        <f t="shared" si="3"/>
        <v/>
      </c>
      <c r="P2109" s="15"/>
      <c r="Q2109" s="37" t="str">
        <f t="shared" si="4"/>
        <v/>
      </c>
      <c r="R2109" s="37" t="str">
        <f t="shared" si="5"/>
        <v/>
      </c>
      <c r="S2109" s="32" t="str">
        <f t="shared" si="6"/>
        <v/>
      </c>
      <c r="T2109" s="37" t="str">
        <f t="shared" si="7"/>
        <v/>
      </c>
      <c r="U2109" s="37" t="str">
        <f t="array" ref="U2109">IF($F2109="","",IFERROR(INDEX(Config!$F:$F,MATCH($F2109,Config!$D:$D,0)),0))</f>
        <v/>
      </c>
    </row>
    <row r="2110" ht="15.0" customHeight="1">
      <c r="A2110" s="34"/>
      <c r="B2110" s="35"/>
      <c r="C2110" s="15"/>
      <c r="D2110" s="15"/>
      <c r="E2110" s="15"/>
      <c r="F2110" s="15"/>
      <c r="G2110" s="36" t="str">
        <f t="array" ref="G2110">IF($F2110="","",IFERROR(INDEX(Config!$E:$E,MATCH($F2110,Config!$D:$D,0)),0))</f>
        <v/>
      </c>
      <c r="H2110" s="16"/>
      <c r="I2110" s="36" t="str">
        <f t="shared" si="1"/>
        <v/>
      </c>
      <c r="J2110" s="16"/>
      <c r="K2110" s="15"/>
      <c r="L2110" s="15"/>
      <c r="M2110" s="36" t="str">
        <f t="array" ref="M2110">IF($A2110="","",IF($L2110="Atendido",IFERROR($I2110*INDEX(Config!$B:$B,MATCH($C2110,Config!$A:$A,0)),0),0))</f>
        <v/>
      </c>
      <c r="N2110" s="36" t="str">
        <f t="shared" si="2"/>
        <v/>
      </c>
      <c r="O2110" s="36" t="str">
        <f t="shared" si="3"/>
        <v/>
      </c>
      <c r="P2110" s="15"/>
      <c r="Q2110" s="37" t="str">
        <f t="shared" si="4"/>
        <v/>
      </c>
      <c r="R2110" s="37" t="str">
        <f t="shared" si="5"/>
        <v/>
      </c>
      <c r="S2110" s="32" t="str">
        <f t="shared" si="6"/>
        <v/>
      </c>
      <c r="T2110" s="37" t="str">
        <f t="shared" si="7"/>
        <v/>
      </c>
      <c r="U2110" s="37" t="str">
        <f t="array" ref="U2110">IF($F2110="","",IFERROR(INDEX(Config!$F:$F,MATCH($F2110,Config!$D:$D,0)),0))</f>
        <v/>
      </c>
    </row>
    <row r="2111" ht="15.0" customHeight="1">
      <c r="A2111" s="34"/>
      <c r="B2111" s="35"/>
      <c r="C2111" s="15"/>
      <c r="D2111" s="15"/>
      <c r="E2111" s="15"/>
      <c r="F2111" s="15"/>
      <c r="G2111" s="36" t="str">
        <f t="array" ref="G2111">IF($F2111="","",IFERROR(INDEX(Config!$E:$E,MATCH($F2111,Config!$D:$D,0)),0))</f>
        <v/>
      </c>
      <c r="H2111" s="16"/>
      <c r="I2111" s="36" t="str">
        <f t="shared" si="1"/>
        <v/>
      </c>
      <c r="J2111" s="16"/>
      <c r="K2111" s="15"/>
      <c r="L2111" s="15"/>
      <c r="M2111" s="36" t="str">
        <f t="array" ref="M2111">IF($A2111="","",IF($L2111="Atendido",IFERROR($I2111*INDEX(Config!$B:$B,MATCH($C2111,Config!$A:$A,0)),0),0))</f>
        <v/>
      </c>
      <c r="N2111" s="36" t="str">
        <f t="shared" si="2"/>
        <v/>
      </c>
      <c r="O2111" s="36" t="str">
        <f t="shared" si="3"/>
        <v/>
      </c>
      <c r="P2111" s="15"/>
      <c r="Q2111" s="37" t="str">
        <f t="shared" si="4"/>
        <v/>
      </c>
      <c r="R2111" s="37" t="str">
        <f t="shared" si="5"/>
        <v/>
      </c>
      <c r="S2111" s="32" t="str">
        <f t="shared" si="6"/>
        <v/>
      </c>
      <c r="T2111" s="37" t="str">
        <f t="shared" si="7"/>
        <v/>
      </c>
      <c r="U2111" s="37" t="str">
        <f t="array" ref="U2111">IF($F2111="","",IFERROR(INDEX(Config!$F:$F,MATCH($F2111,Config!$D:$D,0)),0))</f>
        <v/>
      </c>
    </row>
    <row r="2112" ht="15.0" customHeight="1">
      <c r="A2112" s="34"/>
      <c r="B2112" s="35"/>
      <c r="C2112" s="15"/>
      <c r="D2112" s="15"/>
      <c r="E2112" s="15"/>
      <c r="F2112" s="15"/>
      <c r="G2112" s="36" t="str">
        <f t="array" ref="G2112">IF($F2112="","",IFERROR(INDEX(Config!$E:$E,MATCH($F2112,Config!$D:$D,0)),0))</f>
        <v/>
      </c>
      <c r="H2112" s="16"/>
      <c r="I2112" s="36" t="str">
        <f t="shared" si="1"/>
        <v/>
      </c>
      <c r="J2112" s="16"/>
      <c r="K2112" s="15"/>
      <c r="L2112" s="15"/>
      <c r="M2112" s="36" t="str">
        <f t="array" ref="M2112">IF($A2112="","",IF($L2112="Atendido",IFERROR($I2112*INDEX(Config!$B:$B,MATCH($C2112,Config!$A:$A,0)),0),0))</f>
        <v/>
      </c>
      <c r="N2112" s="36" t="str">
        <f t="shared" si="2"/>
        <v/>
      </c>
      <c r="O2112" s="36" t="str">
        <f t="shared" si="3"/>
        <v/>
      </c>
      <c r="P2112" s="15"/>
      <c r="Q2112" s="37" t="str">
        <f t="shared" si="4"/>
        <v/>
      </c>
      <c r="R2112" s="37" t="str">
        <f t="shared" si="5"/>
        <v/>
      </c>
      <c r="S2112" s="32" t="str">
        <f t="shared" si="6"/>
        <v/>
      </c>
      <c r="T2112" s="37" t="str">
        <f t="shared" si="7"/>
        <v/>
      </c>
      <c r="U2112" s="37" t="str">
        <f t="array" ref="U2112">IF($F2112="","",IFERROR(INDEX(Config!$F:$F,MATCH($F2112,Config!$D:$D,0)),0))</f>
        <v/>
      </c>
    </row>
    <row r="2113" ht="15.0" customHeight="1">
      <c r="A2113" s="34"/>
      <c r="B2113" s="35"/>
      <c r="C2113" s="15"/>
      <c r="D2113" s="15"/>
      <c r="E2113" s="15"/>
      <c r="F2113" s="15"/>
      <c r="G2113" s="36" t="str">
        <f t="array" ref="G2113">IF($F2113="","",IFERROR(INDEX(Config!$E:$E,MATCH($F2113,Config!$D:$D,0)),0))</f>
        <v/>
      </c>
      <c r="H2113" s="16"/>
      <c r="I2113" s="36" t="str">
        <f t="shared" si="1"/>
        <v/>
      </c>
      <c r="J2113" s="16"/>
      <c r="K2113" s="15"/>
      <c r="L2113" s="15"/>
      <c r="M2113" s="36" t="str">
        <f t="array" ref="M2113">IF($A2113="","",IF($L2113="Atendido",IFERROR($I2113*INDEX(Config!$B:$B,MATCH($C2113,Config!$A:$A,0)),0),0))</f>
        <v/>
      </c>
      <c r="N2113" s="36" t="str">
        <f t="shared" si="2"/>
        <v/>
      </c>
      <c r="O2113" s="36" t="str">
        <f t="shared" si="3"/>
        <v/>
      </c>
      <c r="P2113" s="15"/>
      <c r="Q2113" s="37" t="str">
        <f t="shared" si="4"/>
        <v/>
      </c>
      <c r="R2113" s="37" t="str">
        <f t="shared" si="5"/>
        <v/>
      </c>
      <c r="S2113" s="32" t="str">
        <f t="shared" si="6"/>
        <v/>
      </c>
      <c r="T2113" s="37" t="str">
        <f t="shared" si="7"/>
        <v/>
      </c>
      <c r="U2113" s="37" t="str">
        <f t="array" ref="U2113">IF($F2113="","",IFERROR(INDEX(Config!$F:$F,MATCH($F2113,Config!$D:$D,0)),0))</f>
        <v/>
      </c>
    </row>
    <row r="2114" ht="15.0" customHeight="1">
      <c r="A2114" s="34"/>
      <c r="B2114" s="35"/>
      <c r="C2114" s="15"/>
      <c r="D2114" s="15"/>
      <c r="E2114" s="15"/>
      <c r="F2114" s="15"/>
      <c r="G2114" s="36" t="str">
        <f t="array" ref="G2114">IF($F2114="","",IFERROR(INDEX(Config!$E:$E,MATCH($F2114,Config!$D:$D,0)),0))</f>
        <v/>
      </c>
      <c r="H2114" s="16"/>
      <c r="I2114" s="36" t="str">
        <f t="shared" si="1"/>
        <v/>
      </c>
      <c r="J2114" s="16"/>
      <c r="K2114" s="15"/>
      <c r="L2114" s="15"/>
      <c r="M2114" s="36" t="str">
        <f t="array" ref="M2114">IF($A2114="","",IF($L2114="Atendido",IFERROR($I2114*INDEX(Config!$B:$B,MATCH($C2114,Config!$A:$A,0)),0),0))</f>
        <v/>
      </c>
      <c r="N2114" s="36" t="str">
        <f t="shared" si="2"/>
        <v/>
      </c>
      <c r="O2114" s="36" t="str">
        <f t="shared" si="3"/>
        <v/>
      </c>
      <c r="P2114" s="15"/>
      <c r="Q2114" s="37" t="str">
        <f t="shared" si="4"/>
        <v/>
      </c>
      <c r="R2114" s="37" t="str">
        <f t="shared" si="5"/>
        <v/>
      </c>
      <c r="S2114" s="32" t="str">
        <f t="shared" si="6"/>
        <v/>
      </c>
      <c r="T2114" s="37" t="str">
        <f t="shared" si="7"/>
        <v/>
      </c>
      <c r="U2114" s="37" t="str">
        <f t="array" ref="U2114">IF($F2114="","",IFERROR(INDEX(Config!$F:$F,MATCH($F2114,Config!$D:$D,0)),0))</f>
        <v/>
      </c>
    </row>
    <row r="2115" ht="15.0" customHeight="1">
      <c r="A2115" s="34"/>
      <c r="B2115" s="35"/>
      <c r="C2115" s="15"/>
      <c r="D2115" s="15"/>
      <c r="E2115" s="15"/>
      <c r="F2115" s="15"/>
      <c r="G2115" s="36" t="str">
        <f t="array" ref="G2115">IF($F2115="","",IFERROR(INDEX(Config!$E:$E,MATCH($F2115,Config!$D:$D,0)),0))</f>
        <v/>
      </c>
      <c r="H2115" s="16"/>
      <c r="I2115" s="36" t="str">
        <f t="shared" si="1"/>
        <v/>
      </c>
      <c r="J2115" s="16"/>
      <c r="K2115" s="15"/>
      <c r="L2115" s="15"/>
      <c r="M2115" s="36" t="str">
        <f t="array" ref="M2115">IF($A2115="","",IF($L2115="Atendido",IFERROR($I2115*INDEX(Config!$B:$B,MATCH($C2115,Config!$A:$A,0)),0),0))</f>
        <v/>
      </c>
      <c r="N2115" s="36" t="str">
        <f t="shared" si="2"/>
        <v/>
      </c>
      <c r="O2115" s="36" t="str">
        <f t="shared" si="3"/>
        <v/>
      </c>
      <c r="P2115" s="15"/>
      <c r="Q2115" s="37" t="str">
        <f t="shared" si="4"/>
        <v/>
      </c>
      <c r="R2115" s="37" t="str">
        <f t="shared" si="5"/>
        <v/>
      </c>
      <c r="S2115" s="32" t="str">
        <f t="shared" si="6"/>
        <v/>
      </c>
      <c r="T2115" s="37" t="str">
        <f t="shared" si="7"/>
        <v/>
      </c>
      <c r="U2115" s="37" t="str">
        <f t="array" ref="U2115">IF($F2115="","",IFERROR(INDEX(Config!$F:$F,MATCH($F2115,Config!$D:$D,0)),0))</f>
        <v/>
      </c>
    </row>
    <row r="2116" ht="15.0" customHeight="1">
      <c r="A2116" s="34"/>
      <c r="B2116" s="35"/>
      <c r="C2116" s="15"/>
      <c r="D2116" s="15"/>
      <c r="E2116" s="15"/>
      <c r="F2116" s="15"/>
      <c r="G2116" s="36" t="str">
        <f t="array" ref="G2116">IF($F2116="","",IFERROR(INDEX(Config!$E:$E,MATCH($F2116,Config!$D:$D,0)),0))</f>
        <v/>
      </c>
      <c r="H2116" s="16"/>
      <c r="I2116" s="36" t="str">
        <f t="shared" si="1"/>
        <v/>
      </c>
      <c r="J2116" s="16"/>
      <c r="K2116" s="15"/>
      <c r="L2116" s="15"/>
      <c r="M2116" s="36" t="str">
        <f t="array" ref="M2116">IF($A2116="","",IF($L2116="Atendido",IFERROR($I2116*INDEX(Config!$B:$B,MATCH($C2116,Config!$A:$A,0)),0),0))</f>
        <v/>
      </c>
      <c r="N2116" s="36" t="str">
        <f t="shared" si="2"/>
        <v/>
      </c>
      <c r="O2116" s="36" t="str">
        <f t="shared" si="3"/>
        <v/>
      </c>
      <c r="P2116" s="15"/>
      <c r="Q2116" s="37" t="str">
        <f t="shared" si="4"/>
        <v/>
      </c>
      <c r="R2116" s="37" t="str">
        <f t="shared" si="5"/>
        <v/>
      </c>
      <c r="S2116" s="32" t="str">
        <f t="shared" si="6"/>
        <v/>
      </c>
      <c r="T2116" s="37" t="str">
        <f t="shared" si="7"/>
        <v/>
      </c>
      <c r="U2116" s="37" t="str">
        <f t="array" ref="U2116">IF($F2116="","",IFERROR(INDEX(Config!$F:$F,MATCH($F2116,Config!$D:$D,0)),0))</f>
        <v/>
      </c>
    </row>
    <row r="2117" ht="15.0" customHeight="1">
      <c r="A2117" s="34"/>
      <c r="B2117" s="35"/>
      <c r="C2117" s="15"/>
      <c r="D2117" s="15"/>
      <c r="E2117" s="15"/>
      <c r="F2117" s="15"/>
      <c r="G2117" s="36" t="str">
        <f t="array" ref="G2117">IF($F2117="","",IFERROR(INDEX(Config!$E:$E,MATCH($F2117,Config!$D:$D,0)),0))</f>
        <v/>
      </c>
      <c r="H2117" s="16"/>
      <c r="I2117" s="36" t="str">
        <f t="shared" si="1"/>
        <v/>
      </c>
      <c r="J2117" s="16"/>
      <c r="K2117" s="15"/>
      <c r="L2117" s="15"/>
      <c r="M2117" s="36" t="str">
        <f t="array" ref="M2117">IF($A2117="","",IF($L2117="Atendido",IFERROR($I2117*INDEX(Config!$B:$B,MATCH($C2117,Config!$A:$A,0)),0),0))</f>
        <v/>
      </c>
      <c r="N2117" s="36" t="str">
        <f t="shared" si="2"/>
        <v/>
      </c>
      <c r="O2117" s="36" t="str">
        <f t="shared" si="3"/>
        <v/>
      </c>
      <c r="P2117" s="15"/>
      <c r="Q2117" s="37" t="str">
        <f t="shared" si="4"/>
        <v/>
      </c>
      <c r="R2117" s="37" t="str">
        <f t="shared" si="5"/>
        <v/>
      </c>
      <c r="S2117" s="32" t="str">
        <f t="shared" si="6"/>
        <v/>
      </c>
      <c r="T2117" s="37" t="str">
        <f t="shared" si="7"/>
        <v/>
      </c>
      <c r="U2117" s="37" t="str">
        <f t="array" ref="U2117">IF($F2117="","",IFERROR(INDEX(Config!$F:$F,MATCH($F2117,Config!$D:$D,0)),0))</f>
        <v/>
      </c>
    </row>
    <row r="2118" ht="15.0" customHeight="1">
      <c r="A2118" s="34"/>
      <c r="B2118" s="35"/>
      <c r="C2118" s="15"/>
      <c r="D2118" s="15"/>
      <c r="E2118" s="15"/>
      <c r="F2118" s="15"/>
      <c r="G2118" s="36" t="str">
        <f t="array" ref="G2118">IF($F2118="","",IFERROR(INDEX(Config!$E:$E,MATCH($F2118,Config!$D:$D,0)),0))</f>
        <v/>
      </c>
      <c r="H2118" s="16"/>
      <c r="I2118" s="36" t="str">
        <f t="shared" si="1"/>
        <v/>
      </c>
      <c r="J2118" s="16"/>
      <c r="K2118" s="15"/>
      <c r="L2118" s="15"/>
      <c r="M2118" s="36" t="str">
        <f t="array" ref="M2118">IF($A2118="","",IF($L2118="Atendido",IFERROR($I2118*INDEX(Config!$B:$B,MATCH($C2118,Config!$A:$A,0)),0),0))</f>
        <v/>
      </c>
      <c r="N2118" s="36" t="str">
        <f t="shared" si="2"/>
        <v/>
      </c>
      <c r="O2118" s="36" t="str">
        <f t="shared" si="3"/>
        <v/>
      </c>
      <c r="P2118" s="15"/>
      <c r="Q2118" s="37" t="str">
        <f t="shared" si="4"/>
        <v/>
      </c>
      <c r="R2118" s="37" t="str">
        <f t="shared" si="5"/>
        <v/>
      </c>
      <c r="S2118" s="32" t="str">
        <f t="shared" si="6"/>
        <v/>
      </c>
      <c r="T2118" s="37" t="str">
        <f t="shared" si="7"/>
        <v/>
      </c>
      <c r="U2118" s="37" t="str">
        <f t="array" ref="U2118">IF($F2118="","",IFERROR(INDEX(Config!$F:$F,MATCH($F2118,Config!$D:$D,0)),0))</f>
        <v/>
      </c>
    </row>
    <row r="2119" ht="15.0" customHeight="1">
      <c r="A2119" s="34"/>
      <c r="B2119" s="35"/>
      <c r="C2119" s="15"/>
      <c r="D2119" s="15"/>
      <c r="E2119" s="15"/>
      <c r="F2119" s="15"/>
      <c r="G2119" s="36" t="str">
        <f t="array" ref="G2119">IF($F2119="","",IFERROR(INDEX(Config!$E:$E,MATCH($F2119,Config!$D:$D,0)),0))</f>
        <v/>
      </c>
      <c r="H2119" s="16"/>
      <c r="I2119" s="36" t="str">
        <f t="shared" si="1"/>
        <v/>
      </c>
      <c r="J2119" s="16"/>
      <c r="K2119" s="15"/>
      <c r="L2119" s="15"/>
      <c r="M2119" s="36" t="str">
        <f t="array" ref="M2119">IF($A2119="","",IF($L2119="Atendido",IFERROR($I2119*INDEX(Config!$B:$B,MATCH($C2119,Config!$A:$A,0)),0),0))</f>
        <v/>
      </c>
      <c r="N2119" s="36" t="str">
        <f t="shared" si="2"/>
        <v/>
      </c>
      <c r="O2119" s="36" t="str">
        <f t="shared" si="3"/>
        <v/>
      </c>
      <c r="P2119" s="15"/>
      <c r="Q2119" s="37" t="str">
        <f t="shared" si="4"/>
        <v/>
      </c>
      <c r="R2119" s="37" t="str">
        <f t="shared" si="5"/>
        <v/>
      </c>
      <c r="S2119" s="32" t="str">
        <f t="shared" si="6"/>
        <v/>
      </c>
      <c r="T2119" s="37" t="str">
        <f t="shared" si="7"/>
        <v/>
      </c>
      <c r="U2119" s="37" t="str">
        <f t="array" ref="U2119">IF($F2119="","",IFERROR(INDEX(Config!$F:$F,MATCH($F2119,Config!$D:$D,0)),0))</f>
        <v/>
      </c>
    </row>
    <row r="2120" ht="15.0" customHeight="1">
      <c r="A2120" s="34"/>
      <c r="B2120" s="35"/>
      <c r="C2120" s="15"/>
      <c r="D2120" s="15"/>
      <c r="E2120" s="15"/>
      <c r="F2120" s="15"/>
      <c r="G2120" s="36" t="str">
        <f t="array" ref="G2120">IF($F2120="","",IFERROR(INDEX(Config!$E:$E,MATCH($F2120,Config!$D:$D,0)),0))</f>
        <v/>
      </c>
      <c r="H2120" s="16"/>
      <c r="I2120" s="36" t="str">
        <f t="shared" si="1"/>
        <v/>
      </c>
      <c r="J2120" s="16"/>
      <c r="K2120" s="15"/>
      <c r="L2120" s="15"/>
      <c r="M2120" s="36" t="str">
        <f t="array" ref="M2120">IF($A2120="","",IF($L2120="Atendido",IFERROR($I2120*INDEX(Config!$B:$B,MATCH($C2120,Config!$A:$A,0)),0),0))</f>
        <v/>
      </c>
      <c r="N2120" s="36" t="str">
        <f t="shared" si="2"/>
        <v/>
      </c>
      <c r="O2120" s="36" t="str">
        <f t="shared" si="3"/>
        <v/>
      </c>
      <c r="P2120" s="15"/>
      <c r="Q2120" s="37" t="str">
        <f t="shared" si="4"/>
        <v/>
      </c>
      <c r="R2120" s="37" t="str">
        <f t="shared" si="5"/>
        <v/>
      </c>
      <c r="S2120" s="32" t="str">
        <f t="shared" si="6"/>
        <v/>
      </c>
      <c r="T2120" s="37" t="str">
        <f t="shared" si="7"/>
        <v/>
      </c>
      <c r="U2120" s="37" t="str">
        <f t="array" ref="U2120">IF($F2120="","",IFERROR(INDEX(Config!$F:$F,MATCH($F2120,Config!$D:$D,0)),0))</f>
        <v/>
      </c>
    </row>
    <row r="2121" ht="15.0" customHeight="1">
      <c r="A2121" s="34"/>
      <c r="B2121" s="35"/>
      <c r="C2121" s="15"/>
      <c r="D2121" s="15"/>
      <c r="E2121" s="15"/>
      <c r="F2121" s="15"/>
      <c r="G2121" s="36" t="str">
        <f t="array" ref="G2121">IF($F2121="","",IFERROR(INDEX(Config!$E:$E,MATCH($F2121,Config!$D:$D,0)),0))</f>
        <v/>
      </c>
      <c r="H2121" s="16"/>
      <c r="I2121" s="36" t="str">
        <f t="shared" si="1"/>
        <v/>
      </c>
      <c r="J2121" s="16"/>
      <c r="K2121" s="15"/>
      <c r="L2121" s="15"/>
      <c r="M2121" s="36" t="str">
        <f t="array" ref="M2121">IF($A2121="","",IF($L2121="Atendido",IFERROR($I2121*INDEX(Config!$B:$B,MATCH($C2121,Config!$A:$A,0)),0),0))</f>
        <v/>
      </c>
      <c r="N2121" s="36" t="str">
        <f t="shared" si="2"/>
        <v/>
      </c>
      <c r="O2121" s="36" t="str">
        <f t="shared" si="3"/>
        <v/>
      </c>
      <c r="P2121" s="15"/>
      <c r="Q2121" s="37" t="str">
        <f t="shared" si="4"/>
        <v/>
      </c>
      <c r="R2121" s="37" t="str">
        <f t="shared" si="5"/>
        <v/>
      </c>
      <c r="S2121" s="32" t="str">
        <f t="shared" si="6"/>
        <v/>
      </c>
      <c r="T2121" s="37" t="str">
        <f t="shared" si="7"/>
        <v/>
      </c>
      <c r="U2121" s="37" t="str">
        <f t="array" ref="U2121">IF($F2121="","",IFERROR(INDEX(Config!$F:$F,MATCH($F2121,Config!$D:$D,0)),0))</f>
        <v/>
      </c>
    </row>
    <row r="2122" ht="15.0" customHeight="1">
      <c r="A2122" s="34"/>
      <c r="B2122" s="35"/>
      <c r="C2122" s="15"/>
      <c r="D2122" s="15"/>
      <c r="E2122" s="15"/>
      <c r="F2122" s="15"/>
      <c r="G2122" s="36" t="str">
        <f t="array" ref="G2122">IF($F2122="","",IFERROR(INDEX(Config!$E:$E,MATCH($F2122,Config!$D:$D,0)),0))</f>
        <v/>
      </c>
      <c r="H2122" s="16"/>
      <c r="I2122" s="36" t="str">
        <f t="shared" si="1"/>
        <v/>
      </c>
      <c r="J2122" s="16"/>
      <c r="K2122" s="15"/>
      <c r="L2122" s="15"/>
      <c r="M2122" s="36" t="str">
        <f t="array" ref="M2122">IF($A2122="","",IF($L2122="Atendido",IFERROR($I2122*INDEX(Config!$B:$B,MATCH($C2122,Config!$A:$A,0)),0),0))</f>
        <v/>
      </c>
      <c r="N2122" s="36" t="str">
        <f t="shared" si="2"/>
        <v/>
      </c>
      <c r="O2122" s="36" t="str">
        <f t="shared" si="3"/>
        <v/>
      </c>
      <c r="P2122" s="15"/>
      <c r="Q2122" s="37" t="str">
        <f t="shared" si="4"/>
        <v/>
      </c>
      <c r="R2122" s="37" t="str">
        <f t="shared" si="5"/>
        <v/>
      </c>
      <c r="S2122" s="32" t="str">
        <f t="shared" si="6"/>
        <v/>
      </c>
      <c r="T2122" s="37" t="str">
        <f t="shared" si="7"/>
        <v/>
      </c>
      <c r="U2122" s="37" t="str">
        <f t="array" ref="U2122">IF($F2122="","",IFERROR(INDEX(Config!$F:$F,MATCH($F2122,Config!$D:$D,0)),0))</f>
        <v/>
      </c>
    </row>
    <row r="2123" ht="15.0" customHeight="1">
      <c r="A2123" s="34"/>
      <c r="B2123" s="35"/>
      <c r="C2123" s="15"/>
      <c r="D2123" s="15"/>
      <c r="E2123" s="15"/>
      <c r="F2123" s="15"/>
      <c r="G2123" s="36" t="str">
        <f t="array" ref="G2123">IF($F2123="","",IFERROR(INDEX(Config!$E:$E,MATCH($F2123,Config!$D:$D,0)),0))</f>
        <v/>
      </c>
      <c r="H2123" s="16"/>
      <c r="I2123" s="36" t="str">
        <f t="shared" si="1"/>
        <v/>
      </c>
      <c r="J2123" s="16"/>
      <c r="K2123" s="15"/>
      <c r="L2123" s="15"/>
      <c r="M2123" s="36" t="str">
        <f t="array" ref="M2123">IF($A2123="","",IF($L2123="Atendido",IFERROR($I2123*INDEX(Config!$B:$B,MATCH($C2123,Config!$A:$A,0)),0),0))</f>
        <v/>
      </c>
      <c r="N2123" s="36" t="str">
        <f t="shared" si="2"/>
        <v/>
      </c>
      <c r="O2123" s="36" t="str">
        <f t="shared" si="3"/>
        <v/>
      </c>
      <c r="P2123" s="15"/>
      <c r="Q2123" s="37" t="str">
        <f t="shared" si="4"/>
        <v/>
      </c>
      <c r="R2123" s="37" t="str">
        <f t="shared" si="5"/>
        <v/>
      </c>
      <c r="S2123" s="32" t="str">
        <f t="shared" si="6"/>
        <v/>
      </c>
      <c r="T2123" s="37" t="str">
        <f t="shared" si="7"/>
        <v/>
      </c>
      <c r="U2123" s="37" t="str">
        <f t="array" ref="U2123">IF($F2123="","",IFERROR(INDEX(Config!$F:$F,MATCH($F2123,Config!$D:$D,0)),0))</f>
        <v/>
      </c>
    </row>
    <row r="2124" ht="15.0" customHeight="1">
      <c r="A2124" s="34"/>
      <c r="B2124" s="35"/>
      <c r="C2124" s="15"/>
      <c r="D2124" s="15"/>
      <c r="E2124" s="15"/>
      <c r="F2124" s="15"/>
      <c r="G2124" s="36" t="str">
        <f t="array" ref="G2124">IF($F2124="","",IFERROR(INDEX(Config!$E:$E,MATCH($F2124,Config!$D:$D,0)),0))</f>
        <v/>
      </c>
      <c r="H2124" s="16"/>
      <c r="I2124" s="36" t="str">
        <f t="shared" si="1"/>
        <v/>
      </c>
      <c r="J2124" s="16"/>
      <c r="K2124" s="15"/>
      <c r="L2124" s="15"/>
      <c r="M2124" s="36" t="str">
        <f t="array" ref="M2124">IF($A2124="","",IF($L2124="Atendido",IFERROR($I2124*INDEX(Config!$B:$B,MATCH($C2124,Config!$A:$A,0)),0),0))</f>
        <v/>
      </c>
      <c r="N2124" s="36" t="str">
        <f t="shared" si="2"/>
        <v/>
      </c>
      <c r="O2124" s="36" t="str">
        <f t="shared" si="3"/>
        <v/>
      </c>
      <c r="P2124" s="15"/>
      <c r="Q2124" s="37" t="str">
        <f t="shared" si="4"/>
        <v/>
      </c>
      <c r="R2124" s="37" t="str">
        <f t="shared" si="5"/>
        <v/>
      </c>
      <c r="S2124" s="32" t="str">
        <f t="shared" si="6"/>
        <v/>
      </c>
      <c r="T2124" s="37" t="str">
        <f t="shared" si="7"/>
        <v/>
      </c>
      <c r="U2124" s="37" t="str">
        <f t="array" ref="U2124">IF($F2124="","",IFERROR(INDEX(Config!$F:$F,MATCH($F2124,Config!$D:$D,0)),0))</f>
        <v/>
      </c>
    </row>
    <row r="2125" ht="15.0" customHeight="1">
      <c r="A2125" s="34"/>
      <c r="B2125" s="35"/>
      <c r="C2125" s="15"/>
      <c r="D2125" s="15"/>
      <c r="E2125" s="15"/>
      <c r="F2125" s="15"/>
      <c r="G2125" s="36" t="str">
        <f t="array" ref="G2125">IF($F2125="","",IFERROR(INDEX(Config!$E:$E,MATCH($F2125,Config!$D:$D,0)),0))</f>
        <v/>
      </c>
      <c r="H2125" s="16"/>
      <c r="I2125" s="36" t="str">
        <f t="shared" si="1"/>
        <v/>
      </c>
      <c r="J2125" s="16"/>
      <c r="K2125" s="15"/>
      <c r="L2125" s="15"/>
      <c r="M2125" s="36" t="str">
        <f t="array" ref="M2125">IF($A2125="","",IF($L2125="Atendido",IFERROR($I2125*INDEX(Config!$B:$B,MATCH($C2125,Config!$A:$A,0)),0),0))</f>
        <v/>
      </c>
      <c r="N2125" s="36" t="str">
        <f t="shared" si="2"/>
        <v/>
      </c>
      <c r="O2125" s="36" t="str">
        <f t="shared" si="3"/>
        <v/>
      </c>
      <c r="P2125" s="15"/>
      <c r="Q2125" s="37" t="str">
        <f t="shared" si="4"/>
        <v/>
      </c>
      <c r="R2125" s="37" t="str">
        <f t="shared" si="5"/>
        <v/>
      </c>
      <c r="S2125" s="32" t="str">
        <f t="shared" si="6"/>
        <v/>
      </c>
      <c r="T2125" s="37" t="str">
        <f t="shared" si="7"/>
        <v/>
      </c>
      <c r="U2125" s="37" t="str">
        <f t="array" ref="U2125">IF($F2125="","",IFERROR(INDEX(Config!$F:$F,MATCH($F2125,Config!$D:$D,0)),0))</f>
        <v/>
      </c>
    </row>
    <row r="2126" ht="15.0" customHeight="1">
      <c r="A2126" s="34"/>
      <c r="B2126" s="35"/>
      <c r="C2126" s="15"/>
      <c r="D2126" s="15"/>
      <c r="E2126" s="15"/>
      <c r="F2126" s="15"/>
      <c r="G2126" s="36" t="str">
        <f t="array" ref="G2126">IF($F2126="","",IFERROR(INDEX(Config!$E:$E,MATCH($F2126,Config!$D:$D,0)),0))</f>
        <v/>
      </c>
      <c r="H2126" s="16"/>
      <c r="I2126" s="36" t="str">
        <f t="shared" si="1"/>
        <v/>
      </c>
      <c r="J2126" s="16"/>
      <c r="K2126" s="15"/>
      <c r="L2126" s="15"/>
      <c r="M2126" s="36" t="str">
        <f t="array" ref="M2126">IF($A2126="","",IF($L2126="Atendido",IFERROR($I2126*INDEX(Config!$B:$B,MATCH($C2126,Config!$A:$A,0)),0),0))</f>
        <v/>
      </c>
      <c r="N2126" s="36" t="str">
        <f t="shared" si="2"/>
        <v/>
      </c>
      <c r="O2126" s="36" t="str">
        <f t="shared" si="3"/>
        <v/>
      </c>
      <c r="P2126" s="15"/>
      <c r="Q2126" s="37" t="str">
        <f t="shared" si="4"/>
        <v/>
      </c>
      <c r="R2126" s="37" t="str">
        <f t="shared" si="5"/>
        <v/>
      </c>
      <c r="S2126" s="32" t="str">
        <f t="shared" si="6"/>
        <v/>
      </c>
      <c r="T2126" s="37" t="str">
        <f t="shared" si="7"/>
        <v/>
      </c>
      <c r="U2126" s="37" t="str">
        <f t="array" ref="U2126">IF($F2126="","",IFERROR(INDEX(Config!$F:$F,MATCH($F2126,Config!$D:$D,0)),0))</f>
        <v/>
      </c>
    </row>
    <row r="2127" ht="15.0" customHeight="1">
      <c r="A2127" s="34"/>
      <c r="B2127" s="35"/>
      <c r="C2127" s="15"/>
      <c r="D2127" s="15"/>
      <c r="E2127" s="15"/>
      <c r="F2127" s="15"/>
      <c r="G2127" s="36" t="str">
        <f t="array" ref="G2127">IF($F2127="","",IFERROR(INDEX(Config!$E:$E,MATCH($F2127,Config!$D:$D,0)),0))</f>
        <v/>
      </c>
      <c r="H2127" s="16"/>
      <c r="I2127" s="36" t="str">
        <f t="shared" si="1"/>
        <v/>
      </c>
      <c r="J2127" s="16"/>
      <c r="K2127" s="15"/>
      <c r="L2127" s="15"/>
      <c r="M2127" s="36" t="str">
        <f t="array" ref="M2127">IF($A2127="","",IF($L2127="Atendido",IFERROR($I2127*INDEX(Config!$B:$B,MATCH($C2127,Config!$A:$A,0)),0),0))</f>
        <v/>
      </c>
      <c r="N2127" s="36" t="str">
        <f t="shared" si="2"/>
        <v/>
      </c>
      <c r="O2127" s="36" t="str">
        <f t="shared" si="3"/>
        <v/>
      </c>
      <c r="P2127" s="15"/>
      <c r="Q2127" s="37" t="str">
        <f t="shared" si="4"/>
        <v/>
      </c>
      <c r="R2127" s="37" t="str">
        <f t="shared" si="5"/>
        <v/>
      </c>
      <c r="S2127" s="32" t="str">
        <f t="shared" si="6"/>
        <v/>
      </c>
      <c r="T2127" s="37" t="str">
        <f t="shared" si="7"/>
        <v/>
      </c>
      <c r="U2127" s="37" t="str">
        <f t="array" ref="U2127">IF($F2127="","",IFERROR(INDEX(Config!$F:$F,MATCH($F2127,Config!$D:$D,0)),0))</f>
        <v/>
      </c>
    </row>
    <row r="2128" ht="15.0" customHeight="1">
      <c r="A2128" s="34"/>
      <c r="B2128" s="35"/>
      <c r="C2128" s="15"/>
      <c r="D2128" s="15"/>
      <c r="E2128" s="15"/>
      <c r="F2128" s="15"/>
      <c r="G2128" s="36" t="str">
        <f t="array" ref="G2128">IF($F2128="","",IFERROR(INDEX(Config!$E:$E,MATCH($F2128,Config!$D:$D,0)),0))</f>
        <v/>
      </c>
      <c r="H2128" s="16"/>
      <c r="I2128" s="36" t="str">
        <f t="shared" si="1"/>
        <v/>
      </c>
      <c r="J2128" s="16"/>
      <c r="K2128" s="15"/>
      <c r="L2128" s="15"/>
      <c r="M2128" s="36" t="str">
        <f t="array" ref="M2128">IF($A2128="","",IF($L2128="Atendido",IFERROR($I2128*INDEX(Config!$B:$B,MATCH($C2128,Config!$A:$A,0)),0),0))</f>
        <v/>
      </c>
      <c r="N2128" s="36" t="str">
        <f t="shared" si="2"/>
        <v/>
      </c>
      <c r="O2128" s="36" t="str">
        <f t="shared" si="3"/>
        <v/>
      </c>
      <c r="P2128" s="15"/>
      <c r="Q2128" s="37" t="str">
        <f t="shared" si="4"/>
        <v/>
      </c>
      <c r="R2128" s="37" t="str">
        <f t="shared" si="5"/>
        <v/>
      </c>
      <c r="S2128" s="32" t="str">
        <f t="shared" si="6"/>
        <v/>
      </c>
      <c r="T2128" s="37" t="str">
        <f t="shared" si="7"/>
        <v/>
      </c>
      <c r="U2128" s="37" t="str">
        <f t="array" ref="U2128">IF($F2128="","",IFERROR(INDEX(Config!$F:$F,MATCH($F2128,Config!$D:$D,0)),0))</f>
        <v/>
      </c>
    </row>
    <row r="2129" ht="15.0" customHeight="1">
      <c r="A2129" s="34"/>
      <c r="B2129" s="35"/>
      <c r="C2129" s="15"/>
      <c r="D2129" s="15"/>
      <c r="E2129" s="15"/>
      <c r="F2129" s="15"/>
      <c r="G2129" s="36" t="str">
        <f t="array" ref="G2129">IF($F2129="","",IFERROR(INDEX(Config!$E:$E,MATCH($F2129,Config!$D:$D,0)),0))</f>
        <v/>
      </c>
      <c r="H2129" s="16"/>
      <c r="I2129" s="36" t="str">
        <f t="shared" si="1"/>
        <v/>
      </c>
      <c r="J2129" s="16"/>
      <c r="K2129" s="15"/>
      <c r="L2129" s="15"/>
      <c r="M2129" s="36" t="str">
        <f t="array" ref="M2129">IF($A2129="","",IF($L2129="Atendido",IFERROR($I2129*INDEX(Config!$B:$B,MATCH($C2129,Config!$A:$A,0)),0),0))</f>
        <v/>
      </c>
      <c r="N2129" s="36" t="str">
        <f t="shared" si="2"/>
        <v/>
      </c>
      <c r="O2129" s="36" t="str">
        <f t="shared" si="3"/>
        <v/>
      </c>
      <c r="P2129" s="15"/>
      <c r="Q2129" s="37" t="str">
        <f t="shared" si="4"/>
        <v/>
      </c>
      <c r="R2129" s="37" t="str">
        <f t="shared" si="5"/>
        <v/>
      </c>
      <c r="S2129" s="32" t="str">
        <f t="shared" si="6"/>
        <v/>
      </c>
      <c r="T2129" s="37" t="str">
        <f t="shared" si="7"/>
        <v/>
      </c>
      <c r="U2129" s="37" t="str">
        <f t="array" ref="U2129">IF($F2129="","",IFERROR(INDEX(Config!$F:$F,MATCH($F2129,Config!$D:$D,0)),0))</f>
        <v/>
      </c>
    </row>
    <row r="2130" ht="15.0" customHeight="1">
      <c r="A2130" s="34"/>
      <c r="B2130" s="35"/>
      <c r="C2130" s="15"/>
      <c r="D2130" s="15"/>
      <c r="E2130" s="15"/>
      <c r="F2130" s="15"/>
      <c r="G2130" s="36" t="str">
        <f t="array" ref="G2130">IF($F2130="","",IFERROR(INDEX(Config!$E:$E,MATCH($F2130,Config!$D:$D,0)),0))</f>
        <v/>
      </c>
      <c r="H2130" s="16"/>
      <c r="I2130" s="36" t="str">
        <f t="shared" si="1"/>
        <v/>
      </c>
      <c r="J2130" s="16"/>
      <c r="K2130" s="15"/>
      <c r="L2130" s="15"/>
      <c r="M2130" s="36" t="str">
        <f t="array" ref="M2130">IF($A2130="","",IF($L2130="Atendido",IFERROR($I2130*INDEX(Config!$B:$B,MATCH($C2130,Config!$A:$A,0)),0),0))</f>
        <v/>
      </c>
      <c r="N2130" s="36" t="str">
        <f t="shared" si="2"/>
        <v/>
      </c>
      <c r="O2130" s="36" t="str">
        <f t="shared" si="3"/>
        <v/>
      </c>
      <c r="P2130" s="15"/>
      <c r="Q2130" s="37" t="str">
        <f t="shared" si="4"/>
        <v/>
      </c>
      <c r="R2130" s="37" t="str">
        <f t="shared" si="5"/>
        <v/>
      </c>
      <c r="S2130" s="32" t="str">
        <f t="shared" si="6"/>
        <v/>
      </c>
      <c r="T2130" s="37" t="str">
        <f t="shared" si="7"/>
        <v/>
      </c>
      <c r="U2130" s="37" t="str">
        <f t="array" ref="U2130">IF($F2130="","",IFERROR(INDEX(Config!$F:$F,MATCH($F2130,Config!$D:$D,0)),0))</f>
        <v/>
      </c>
    </row>
    <row r="2131" ht="15.0" customHeight="1">
      <c r="A2131" s="34"/>
      <c r="B2131" s="35"/>
      <c r="C2131" s="15"/>
      <c r="D2131" s="15"/>
      <c r="E2131" s="15"/>
      <c r="F2131" s="15"/>
      <c r="G2131" s="36" t="str">
        <f t="array" ref="G2131">IF($F2131="","",IFERROR(INDEX(Config!$E:$E,MATCH($F2131,Config!$D:$D,0)),0))</f>
        <v/>
      </c>
      <c r="H2131" s="16"/>
      <c r="I2131" s="36" t="str">
        <f t="shared" si="1"/>
        <v/>
      </c>
      <c r="J2131" s="16"/>
      <c r="K2131" s="15"/>
      <c r="L2131" s="15"/>
      <c r="M2131" s="36" t="str">
        <f t="array" ref="M2131">IF($A2131="","",IF($L2131="Atendido",IFERROR($I2131*INDEX(Config!$B:$B,MATCH($C2131,Config!$A:$A,0)),0),0))</f>
        <v/>
      </c>
      <c r="N2131" s="36" t="str">
        <f t="shared" si="2"/>
        <v/>
      </c>
      <c r="O2131" s="36" t="str">
        <f t="shared" si="3"/>
        <v/>
      </c>
      <c r="P2131" s="15"/>
      <c r="Q2131" s="37" t="str">
        <f t="shared" si="4"/>
        <v/>
      </c>
      <c r="R2131" s="37" t="str">
        <f t="shared" si="5"/>
        <v/>
      </c>
      <c r="S2131" s="32" t="str">
        <f t="shared" si="6"/>
        <v/>
      </c>
      <c r="T2131" s="37" t="str">
        <f t="shared" si="7"/>
        <v/>
      </c>
      <c r="U2131" s="37" t="str">
        <f t="array" ref="U2131">IF($F2131="","",IFERROR(INDEX(Config!$F:$F,MATCH($F2131,Config!$D:$D,0)),0))</f>
        <v/>
      </c>
    </row>
    <row r="2132" ht="15.0" customHeight="1">
      <c r="A2132" s="34"/>
      <c r="B2132" s="35"/>
      <c r="C2132" s="15"/>
      <c r="D2132" s="15"/>
      <c r="E2132" s="15"/>
      <c r="F2132" s="15"/>
      <c r="G2132" s="36" t="str">
        <f t="array" ref="G2132">IF($F2132="","",IFERROR(INDEX(Config!$E:$E,MATCH($F2132,Config!$D:$D,0)),0))</f>
        <v/>
      </c>
      <c r="H2132" s="16"/>
      <c r="I2132" s="36" t="str">
        <f t="shared" si="1"/>
        <v/>
      </c>
      <c r="J2132" s="16"/>
      <c r="K2132" s="15"/>
      <c r="L2132" s="15"/>
      <c r="M2132" s="36" t="str">
        <f t="array" ref="M2132">IF($A2132="","",IF($L2132="Atendido",IFERROR($I2132*INDEX(Config!$B:$B,MATCH($C2132,Config!$A:$A,0)),0),0))</f>
        <v/>
      </c>
      <c r="N2132" s="36" t="str">
        <f t="shared" si="2"/>
        <v/>
      </c>
      <c r="O2132" s="36" t="str">
        <f t="shared" si="3"/>
        <v/>
      </c>
      <c r="P2132" s="15"/>
      <c r="Q2132" s="37" t="str">
        <f t="shared" si="4"/>
        <v/>
      </c>
      <c r="R2132" s="37" t="str">
        <f t="shared" si="5"/>
        <v/>
      </c>
      <c r="S2132" s="32" t="str">
        <f t="shared" si="6"/>
        <v/>
      </c>
      <c r="T2132" s="37" t="str">
        <f t="shared" si="7"/>
        <v/>
      </c>
      <c r="U2132" s="37" t="str">
        <f t="array" ref="U2132">IF($F2132="","",IFERROR(INDEX(Config!$F:$F,MATCH($F2132,Config!$D:$D,0)),0))</f>
        <v/>
      </c>
    </row>
    <row r="2133" ht="15.0" customHeight="1">
      <c r="A2133" s="34"/>
      <c r="B2133" s="35"/>
      <c r="C2133" s="15"/>
      <c r="D2133" s="15"/>
      <c r="E2133" s="15"/>
      <c r="F2133" s="15"/>
      <c r="G2133" s="36" t="str">
        <f t="array" ref="G2133">IF($F2133="","",IFERROR(INDEX(Config!$E:$E,MATCH($F2133,Config!$D:$D,0)),0))</f>
        <v/>
      </c>
      <c r="H2133" s="16"/>
      <c r="I2133" s="36" t="str">
        <f t="shared" si="1"/>
        <v/>
      </c>
      <c r="J2133" s="16"/>
      <c r="K2133" s="15"/>
      <c r="L2133" s="15"/>
      <c r="M2133" s="36" t="str">
        <f t="array" ref="M2133">IF($A2133="","",IF($L2133="Atendido",IFERROR($I2133*INDEX(Config!$B:$B,MATCH($C2133,Config!$A:$A,0)),0),0))</f>
        <v/>
      </c>
      <c r="N2133" s="36" t="str">
        <f t="shared" si="2"/>
        <v/>
      </c>
      <c r="O2133" s="36" t="str">
        <f t="shared" si="3"/>
        <v/>
      </c>
      <c r="P2133" s="15"/>
      <c r="Q2133" s="37" t="str">
        <f t="shared" si="4"/>
        <v/>
      </c>
      <c r="R2133" s="37" t="str">
        <f t="shared" si="5"/>
        <v/>
      </c>
      <c r="S2133" s="32" t="str">
        <f t="shared" si="6"/>
        <v/>
      </c>
      <c r="T2133" s="37" t="str">
        <f t="shared" si="7"/>
        <v/>
      </c>
      <c r="U2133" s="37" t="str">
        <f t="array" ref="U2133">IF($F2133="","",IFERROR(INDEX(Config!$F:$F,MATCH($F2133,Config!$D:$D,0)),0))</f>
        <v/>
      </c>
    </row>
    <row r="2134" ht="15.0" customHeight="1">
      <c r="A2134" s="34"/>
      <c r="B2134" s="35"/>
      <c r="C2134" s="15"/>
      <c r="D2134" s="15"/>
      <c r="E2134" s="15"/>
      <c r="F2134" s="15"/>
      <c r="G2134" s="36" t="str">
        <f t="array" ref="G2134">IF($F2134="","",IFERROR(INDEX(Config!$E:$E,MATCH($F2134,Config!$D:$D,0)),0))</f>
        <v/>
      </c>
      <c r="H2134" s="16"/>
      <c r="I2134" s="36" t="str">
        <f t="shared" si="1"/>
        <v/>
      </c>
      <c r="J2134" s="16"/>
      <c r="K2134" s="15"/>
      <c r="L2134" s="15"/>
      <c r="M2134" s="36" t="str">
        <f t="array" ref="M2134">IF($A2134="","",IF($L2134="Atendido",IFERROR($I2134*INDEX(Config!$B:$B,MATCH($C2134,Config!$A:$A,0)),0),0))</f>
        <v/>
      </c>
      <c r="N2134" s="36" t="str">
        <f t="shared" si="2"/>
        <v/>
      </c>
      <c r="O2134" s="36" t="str">
        <f t="shared" si="3"/>
        <v/>
      </c>
      <c r="P2134" s="15"/>
      <c r="Q2134" s="37" t="str">
        <f t="shared" si="4"/>
        <v/>
      </c>
      <c r="R2134" s="37" t="str">
        <f t="shared" si="5"/>
        <v/>
      </c>
      <c r="S2134" s="32" t="str">
        <f t="shared" si="6"/>
        <v/>
      </c>
      <c r="T2134" s="37" t="str">
        <f t="shared" si="7"/>
        <v/>
      </c>
      <c r="U2134" s="37" t="str">
        <f t="array" ref="U2134">IF($F2134="","",IFERROR(INDEX(Config!$F:$F,MATCH($F2134,Config!$D:$D,0)),0))</f>
        <v/>
      </c>
    </row>
    <row r="2135" ht="15.0" customHeight="1">
      <c r="A2135" s="34"/>
      <c r="B2135" s="35"/>
      <c r="C2135" s="15"/>
      <c r="D2135" s="15"/>
      <c r="E2135" s="15"/>
      <c r="F2135" s="15"/>
      <c r="G2135" s="36" t="str">
        <f t="array" ref="G2135">IF($F2135="","",IFERROR(INDEX(Config!$E:$E,MATCH($F2135,Config!$D:$D,0)),0))</f>
        <v/>
      </c>
      <c r="H2135" s="16"/>
      <c r="I2135" s="36" t="str">
        <f t="shared" si="1"/>
        <v/>
      </c>
      <c r="J2135" s="16"/>
      <c r="K2135" s="15"/>
      <c r="L2135" s="15"/>
      <c r="M2135" s="36" t="str">
        <f t="array" ref="M2135">IF($A2135="","",IF($L2135="Atendido",IFERROR($I2135*INDEX(Config!$B:$B,MATCH($C2135,Config!$A:$A,0)),0),0))</f>
        <v/>
      </c>
      <c r="N2135" s="36" t="str">
        <f t="shared" si="2"/>
        <v/>
      </c>
      <c r="O2135" s="36" t="str">
        <f t="shared" si="3"/>
        <v/>
      </c>
      <c r="P2135" s="15"/>
      <c r="Q2135" s="37" t="str">
        <f t="shared" si="4"/>
        <v/>
      </c>
      <c r="R2135" s="37" t="str">
        <f t="shared" si="5"/>
        <v/>
      </c>
      <c r="S2135" s="32" t="str">
        <f t="shared" si="6"/>
        <v/>
      </c>
      <c r="T2135" s="37" t="str">
        <f t="shared" si="7"/>
        <v/>
      </c>
      <c r="U2135" s="37" t="str">
        <f t="array" ref="U2135">IF($F2135="","",IFERROR(INDEX(Config!$F:$F,MATCH($F2135,Config!$D:$D,0)),0))</f>
        <v/>
      </c>
    </row>
    <row r="2136" ht="15.0" customHeight="1">
      <c r="A2136" s="34"/>
      <c r="B2136" s="35"/>
      <c r="C2136" s="15"/>
      <c r="D2136" s="15"/>
      <c r="E2136" s="15"/>
      <c r="F2136" s="15"/>
      <c r="G2136" s="36" t="str">
        <f t="array" ref="G2136">IF($F2136="","",IFERROR(INDEX(Config!$E:$E,MATCH($F2136,Config!$D:$D,0)),0))</f>
        <v/>
      </c>
      <c r="H2136" s="16"/>
      <c r="I2136" s="36" t="str">
        <f t="shared" si="1"/>
        <v/>
      </c>
      <c r="J2136" s="16"/>
      <c r="K2136" s="15"/>
      <c r="L2136" s="15"/>
      <c r="M2136" s="36" t="str">
        <f t="array" ref="M2136">IF($A2136="","",IF($L2136="Atendido",IFERROR($I2136*INDEX(Config!$B:$B,MATCH($C2136,Config!$A:$A,0)),0),0))</f>
        <v/>
      </c>
      <c r="N2136" s="36" t="str">
        <f t="shared" si="2"/>
        <v/>
      </c>
      <c r="O2136" s="36" t="str">
        <f t="shared" si="3"/>
        <v/>
      </c>
      <c r="P2136" s="15"/>
      <c r="Q2136" s="37" t="str">
        <f t="shared" si="4"/>
        <v/>
      </c>
      <c r="R2136" s="37" t="str">
        <f t="shared" si="5"/>
        <v/>
      </c>
      <c r="S2136" s="32" t="str">
        <f t="shared" si="6"/>
        <v/>
      </c>
      <c r="T2136" s="37" t="str">
        <f t="shared" si="7"/>
        <v/>
      </c>
      <c r="U2136" s="37" t="str">
        <f t="array" ref="U2136">IF($F2136="","",IFERROR(INDEX(Config!$F:$F,MATCH($F2136,Config!$D:$D,0)),0))</f>
        <v/>
      </c>
    </row>
    <row r="2137" ht="15.0" customHeight="1">
      <c r="A2137" s="34"/>
      <c r="B2137" s="35"/>
      <c r="C2137" s="15"/>
      <c r="D2137" s="15"/>
      <c r="E2137" s="15"/>
      <c r="F2137" s="15"/>
      <c r="G2137" s="36" t="str">
        <f t="array" ref="G2137">IF($F2137="","",IFERROR(INDEX(Config!$E:$E,MATCH($F2137,Config!$D:$D,0)),0))</f>
        <v/>
      </c>
      <c r="H2137" s="16"/>
      <c r="I2137" s="36" t="str">
        <f t="shared" si="1"/>
        <v/>
      </c>
      <c r="J2137" s="16"/>
      <c r="K2137" s="15"/>
      <c r="L2137" s="15"/>
      <c r="M2137" s="36" t="str">
        <f t="array" ref="M2137">IF($A2137="","",IF($L2137="Atendido",IFERROR($I2137*INDEX(Config!$B:$B,MATCH($C2137,Config!$A:$A,0)),0),0))</f>
        <v/>
      </c>
      <c r="N2137" s="36" t="str">
        <f t="shared" si="2"/>
        <v/>
      </c>
      <c r="O2137" s="36" t="str">
        <f t="shared" si="3"/>
        <v/>
      </c>
      <c r="P2137" s="15"/>
      <c r="Q2137" s="37" t="str">
        <f t="shared" si="4"/>
        <v/>
      </c>
      <c r="R2137" s="37" t="str">
        <f t="shared" si="5"/>
        <v/>
      </c>
      <c r="S2137" s="32" t="str">
        <f t="shared" si="6"/>
        <v/>
      </c>
      <c r="T2137" s="37" t="str">
        <f t="shared" si="7"/>
        <v/>
      </c>
      <c r="U2137" s="37" t="str">
        <f t="array" ref="U2137">IF($F2137="","",IFERROR(INDEX(Config!$F:$F,MATCH($F2137,Config!$D:$D,0)),0))</f>
        <v/>
      </c>
    </row>
    <row r="2138" ht="15.0" customHeight="1">
      <c r="A2138" s="34"/>
      <c r="B2138" s="35"/>
      <c r="C2138" s="15"/>
      <c r="D2138" s="15"/>
      <c r="E2138" s="15"/>
      <c r="F2138" s="15"/>
      <c r="G2138" s="36" t="str">
        <f t="array" ref="G2138">IF($F2138="","",IFERROR(INDEX(Config!$E:$E,MATCH($F2138,Config!$D:$D,0)),0))</f>
        <v/>
      </c>
      <c r="H2138" s="16"/>
      <c r="I2138" s="36" t="str">
        <f t="shared" si="1"/>
        <v/>
      </c>
      <c r="J2138" s="16"/>
      <c r="K2138" s="15"/>
      <c r="L2138" s="15"/>
      <c r="M2138" s="36" t="str">
        <f t="array" ref="M2138">IF($A2138="","",IF($L2138="Atendido",IFERROR($I2138*INDEX(Config!$B:$B,MATCH($C2138,Config!$A:$A,0)),0),0))</f>
        <v/>
      </c>
      <c r="N2138" s="36" t="str">
        <f t="shared" si="2"/>
        <v/>
      </c>
      <c r="O2138" s="36" t="str">
        <f t="shared" si="3"/>
        <v/>
      </c>
      <c r="P2138" s="15"/>
      <c r="Q2138" s="37" t="str">
        <f t="shared" si="4"/>
        <v/>
      </c>
      <c r="R2138" s="37" t="str">
        <f t="shared" si="5"/>
        <v/>
      </c>
      <c r="S2138" s="32" t="str">
        <f t="shared" si="6"/>
        <v/>
      </c>
      <c r="T2138" s="37" t="str">
        <f t="shared" si="7"/>
        <v/>
      </c>
      <c r="U2138" s="37" t="str">
        <f t="array" ref="U2138">IF($F2138="","",IFERROR(INDEX(Config!$F:$F,MATCH($F2138,Config!$D:$D,0)),0))</f>
        <v/>
      </c>
    </row>
    <row r="2139" ht="15.0" customHeight="1">
      <c r="A2139" s="34"/>
      <c r="B2139" s="35"/>
      <c r="C2139" s="15"/>
      <c r="D2139" s="15"/>
      <c r="E2139" s="15"/>
      <c r="F2139" s="15"/>
      <c r="G2139" s="36" t="str">
        <f t="array" ref="G2139">IF($F2139="","",IFERROR(INDEX(Config!$E:$E,MATCH($F2139,Config!$D:$D,0)),0))</f>
        <v/>
      </c>
      <c r="H2139" s="16"/>
      <c r="I2139" s="36" t="str">
        <f t="shared" si="1"/>
        <v/>
      </c>
      <c r="J2139" s="16"/>
      <c r="K2139" s="15"/>
      <c r="L2139" s="15"/>
      <c r="M2139" s="36" t="str">
        <f t="array" ref="M2139">IF($A2139="","",IF($L2139="Atendido",IFERROR($I2139*INDEX(Config!$B:$B,MATCH($C2139,Config!$A:$A,0)),0),0))</f>
        <v/>
      </c>
      <c r="N2139" s="36" t="str">
        <f t="shared" si="2"/>
        <v/>
      </c>
      <c r="O2139" s="36" t="str">
        <f t="shared" si="3"/>
        <v/>
      </c>
      <c r="P2139" s="15"/>
      <c r="Q2139" s="37" t="str">
        <f t="shared" si="4"/>
        <v/>
      </c>
      <c r="R2139" s="37" t="str">
        <f t="shared" si="5"/>
        <v/>
      </c>
      <c r="S2139" s="32" t="str">
        <f t="shared" si="6"/>
        <v/>
      </c>
      <c r="T2139" s="37" t="str">
        <f t="shared" si="7"/>
        <v/>
      </c>
      <c r="U2139" s="37" t="str">
        <f t="array" ref="U2139">IF($F2139="","",IFERROR(INDEX(Config!$F:$F,MATCH($F2139,Config!$D:$D,0)),0))</f>
        <v/>
      </c>
    </row>
    <row r="2140" ht="15.0" customHeight="1">
      <c r="A2140" s="34"/>
      <c r="B2140" s="35"/>
      <c r="C2140" s="15"/>
      <c r="D2140" s="15"/>
      <c r="E2140" s="15"/>
      <c r="F2140" s="15"/>
      <c r="G2140" s="36" t="str">
        <f t="array" ref="G2140">IF($F2140="","",IFERROR(INDEX(Config!$E:$E,MATCH($F2140,Config!$D:$D,0)),0))</f>
        <v/>
      </c>
      <c r="H2140" s="16"/>
      <c r="I2140" s="36" t="str">
        <f t="shared" si="1"/>
        <v/>
      </c>
      <c r="J2140" s="16"/>
      <c r="K2140" s="15"/>
      <c r="L2140" s="15"/>
      <c r="M2140" s="36" t="str">
        <f t="array" ref="M2140">IF($A2140="","",IF($L2140="Atendido",IFERROR($I2140*INDEX(Config!$B:$B,MATCH($C2140,Config!$A:$A,0)),0),0))</f>
        <v/>
      </c>
      <c r="N2140" s="36" t="str">
        <f t="shared" si="2"/>
        <v/>
      </c>
      <c r="O2140" s="36" t="str">
        <f t="shared" si="3"/>
        <v/>
      </c>
      <c r="P2140" s="15"/>
      <c r="Q2140" s="37" t="str">
        <f t="shared" si="4"/>
        <v/>
      </c>
      <c r="R2140" s="37" t="str">
        <f t="shared" si="5"/>
        <v/>
      </c>
      <c r="S2140" s="32" t="str">
        <f t="shared" si="6"/>
        <v/>
      </c>
      <c r="T2140" s="37" t="str">
        <f t="shared" si="7"/>
        <v/>
      </c>
      <c r="U2140" s="37" t="str">
        <f t="array" ref="U2140">IF($F2140="","",IFERROR(INDEX(Config!$F:$F,MATCH($F2140,Config!$D:$D,0)),0))</f>
        <v/>
      </c>
    </row>
    <row r="2141" ht="15.0" customHeight="1">
      <c r="A2141" s="34"/>
      <c r="B2141" s="35"/>
      <c r="C2141" s="15"/>
      <c r="D2141" s="15"/>
      <c r="E2141" s="15"/>
      <c r="F2141" s="15"/>
      <c r="G2141" s="36" t="str">
        <f t="array" ref="G2141">IF($F2141="","",IFERROR(INDEX(Config!$E:$E,MATCH($F2141,Config!$D:$D,0)),0))</f>
        <v/>
      </c>
      <c r="H2141" s="16"/>
      <c r="I2141" s="36" t="str">
        <f t="shared" si="1"/>
        <v/>
      </c>
      <c r="J2141" s="16"/>
      <c r="K2141" s="15"/>
      <c r="L2141" s="15"/>
      <c r="M2141" s="36" t="str">
        <f t="array" ref="M2141">IF($A2141="","",IF($L2141="Atendido",IFERROR($I2141*INDEX(Config!$B:$B,MATCH($C2141,Config!$A:$A,0)),0),0))</f>
        <v/>
      </c>
      <c r="N2141" s="36" t="str">
        <f t="shared" si="2"/>
        <v/>
      </c>
      <c r="O2141" s="36" t="str">
        <f t="shared" si="3"/>
        <v/>
      </c>
      <c r="P2141" s="15"/>
      <c r="Q2141" s="37" t="str">
        <f t="shared" si="4"/>
        <v/>
      </c>
      <c r="R2141" s="37" t="str">
        <f t="shared" si="5"/>
        <v/>
      </c>
      <c r="S2141" s="32" t="str">
        <f t="shared" si="6"/>
        <v/>
      </c>
      <c r="T2141" s="37" t="str">
        <f t="shared" si="7"/>
        <v/>
      </c>
      <c r="U2141" s="37" t="str">
        <f t="array" ref="U2141">IF($F2141="","",IFERROR(INDEX(Config!$F:$F,MATCH($F2141,Config!$D:$D,0)),0))</f>
        <v/>
      </c>
    </row>
    <row r="2142" ht="15.0" customHeight="1">
      <c r="A2142" s="34"/>
      <c r="B2142" s="35"/>
      <c r="C2142" s="15"/>
      <c r="D2142" s="15"/>
      <c r="E2142" s="15"/>
      <c r="F2142" s="15"/>
      <c r="G2142" s="36" t="str">
        <f t="array" ref="G2142">IF($F2142="","",IFERROR(INDEX(Config!$E:$E,MATCH($F2142,Config!$D:$D,0)),0))</f>
        <v/>
      </c>
      <c r="H2142" s="16"/>
      <c r="I2142" s="36" t="str">
        <f t="shared" si="1"/>
        <v/>
      </c>
      <c r="J2142" s="16"/>
      <c r="K2142" s="15"/>
      <c r="L2142" s="15"/>
      <c r="M2142" s="36" t="str">
        <f t="array" ref="M2142">IF($A2142="","",IF($L2142="Atendido",IFERROR($I2142*INDEX(Config!$B:$B,MATCH($C2142,Config!$A:$A,0)),0),0))</f>
        <v/>
      </c>
      <c r="N2142" s="36" t="str">
        <f t="shared" si="2"/>
        <v/>
      </c>
      <c r="O2142" s="36" t="str">
        <f t="shared" si="3"/>
        <v/>
      </c>
      <c r="P2142" s="15"/>
      <c r="Q2142" s="37" t="str">
        <f t="shared" si="4"/>
        <v/>
      </c>
      <c r="R2142" s="37" t="str">
        <f t="shared" si="5"/>
        <v/>
      </c>
      <c r="S2142" s="32" t="str">
        <f t="shared" si="6"/>
        <v/>
      </c>
      <c r="T2142" s="37" t="str">
        <f t="shared" si="7"/>
        <v/>
      </c>
      <c r="U2142" s="37" t="str">
        <f t="array" ref="U2142">IF($F2142="","",IFERROR(INDEX(Config!$F:$F,MATCH($F2142,Config!$D:$D,0)),0))</f>
        <v/>
      </c>
    </row>
    <row r="2143" ht="15.0" customHeight="1">
      <c r="A2143" s="34"/>
      <c r="B2143" s="35"/>
      <c r="C2143" s="15"/>
      <c r="D2143" s="15"/>
      <c r="E2143" s="15"/>
      <c r="F2143" s="15"/>
      <c r="G2143" s="36" t="str">
        <f t="array" ref="G2143">IF($F2143="","",IFERROR(INDEX(Config!$E:$E,MATCH($F2143,Config!$D:$D,0)),0))</f>
        <v/>
      </c>
      <c r="H2143" s="16"/>
      <c r="I2143" s="36" t="str">
        <f t="shared" si="1"/>
        <v/>
      </c>
      <c r="J2143" s="16"/>
      <c r="K2143" s="15"/>
      <c r="L2143" s="15"/>
      <c r="M2143" s="36" t="str">
        <f t="array" ref="M2143">IF($A2143="","",IF($L2143="Atendido",IFERROR($I2143*INDEX(Config!$B:$B,MATCH($C2143,Config!$A:$A,0)),0),0))</f>
        <v/>
      </c>
      <c r="N2143" s="36" t="str">
        <f t="shared" si="2"/>
        <v/>
      </c>
      <c r="O2143" s="36" t="str">
        <f t="shared" si="3"/>
        <v/>
      </c>
      <c r="P2143" s="15"/>
      <c r="Q2143" s="37" t="str">
        <f t="shared" si="4"/>
        <v/>
      </c>
      <c r="R2143" s="37" t="str">
        <f t="shared" si="5"/>
        <v/>
      </c>
      <c r="S2143" s="32" t="str">
        <f t="shared" si="6"/>
        <v/>
      </c>
      <c r="T2143" s="37" t="str">
        <f t="shared" si="7"/>
        <v/>
      </c>
      <c r="U2143" s="37" t="str">
        <f t="array" ref="U2143">IF($F2143="","",IFERROR(INDEX(Config!$F:$F,MATCH($F2143,Config!$D:$D,0)),0))</f>
        <v/>
      </c>
    </row>
    <row r="2144" ht="15.0" customHeight="1">
      <c r="A2144" s="34"/>
      <c r="B2144" s="35"/>
      <c r="C2144" s="15"/>
      <c r="D2144" s="15"/>
      <c r="E2144" s="15"/>
      <c r="F2144" s="15"/>
      <c r="G2144" s="36" t="str">
        <f t="array" ref="G2144">IF($F2144="","",IFERROR(INDEX(Config!$E:$E,MATCH($F2144,Config!$D:$D,0)),0))</f>
        <v/>
      </c>
      <c r="H2144" s="16"/>
      <c r="I2144" s="36" t="str">
        <f t="shared" si="1"/>
        <v/>
      </c>
      <c r="J2144" s="16"/>
      <c r="K2144" s="15"/>
      <c r="L2144" s="15"/>
      <c r="M2144" s="36" t="str">
        <f t="array" ref="M2144">IF($A2144="","",IF($L2144="Atendido",IFERROR($I2144*INDEX(Config!$B:$B,MATCH($C2144,Config!$A:$A,0)),0),0))</f>
        <v/>
      </c>
      <c r="N2144" s="36" t="str">
        <f t="shared" si="2"/>
        <v/>
      </c>
      <c r="O2144" s="36" t="str">
        <f t="shared" si="3"/>
        <v/>
      </c>
      <c r="P2144" s="15"/>
      <c r="Q2144" s="37" t="str">
        <f t="shared" si="4"/>
        <v/>
      </c>
      <c r="R2144" s="37" t="str">
        <f t="shared" si="5"/>
        <v/>
      </c>
      <c r="S2144" s="32" t="str">
        <f t="shared" si="6"/>
        <v/>
      </c>
      <c r="T2144" s="37" t="str">
        <f t="shared" si="7"/>
        <v/>
      </c>
      <c r="U2144" s="37" t="str">
        <f t="array" ref="U2144">IF($F2144="","",IFERROR(INDEX(Config!$F:$F,MATCH($F2144,Config!$D:$D,0)),0))</f>
        <v/>
      </c>
    </row>
    <row r="2145" ht="15.0" customHeight="1">
      <c r="A2145" s="34"/>
      <c r="B2145" s="35"/>
      <c r="C2145" s="15"/>
      <c r="D2145" s="15"/>
      <c r="E2145" s="15"/>
      <c r="F2145" s="15"/>
      <c r="G2145" s="36" t="str">
        <f t="array" ref="G2145">IF($F2145="","",IFERROR(INDEX(Config!$E:$E,MATCH($F2145,Config!$D:$D,0)),0))</f>
        <v/>
      </c>
      <c r="H2145" s="16"/>
      <c r="I2145" s="36" t="str">
        <f t="shared" si="1"/>
        <v/>
      </c>
      <c r="J2145" s="16"/>
      <c r="K2145" s="15"/>
      <c r="L2145" s="15"/>
      <c r="M2145" s="36" t="str">
        <f t="array" ref="M2145">IF($A2145="","",IF($L2145="Atendido",IFERROR($I2145*INDEX(Config!$B:$B,MATCH($C2145,Config!$A:$A,0)),0),0))</f>
        <v/>
      </c>
      <c r="N2145" s="36" t="str">
        <f t="shared" si="2"/>
        <v/>
      </c>
      <c r="O2145" s="36" t="str">
        <f t="shared" si="3"/>
        <v/>
      </c>
      <c r="P2145" s="15"/>
      <c r="Q2145" s="37" t="str">
        <f t="shared" si="4"/>
        <v/>
      </c>
      <c r="R2145" s="37" t="str">
        <f t="shared" si="5"/>
        <v/>
      </c>
      <c r="S2145" s="32" t="str">
        <f t="shared" si="6"/>
        <v/>
      </c>
      <c r="T2145" s="37" t="str">
        <f t="shared" si="7"/>
        <v/>
      </c>
      <c r="U2145" s="37" t="str">
        <f t="array" ref="U2145">IF($F2145="","",IFERROR(INDEX(Config!$F:$F,MATCH($F2145,Config!$D:$D,0)),0))</f>
        <v/>
      </c>
    </row>
    <row r="2146" ht="15.0" customHeight="1">
      <c r="A2146" s="34"/>
      <c r="B2146" s="35"/>
      <c r="C2146" s="15"/>
      <c r="D2146" s="15"/>
      <c r="E2146" s="15"/>
      <c r="F2146" s="15"/>
      <c r="G2146" s="36" t="str">
        <f t="array" ref="G2146">IF($F2146="","",IFERROR(INDEX(Config!$E:$E,MATCH($F2146,Config!$D:$D,0)),0))</f>
        <v/>
      </c>
      <c r="H2146" s="16"/>
      <c r="I2146" s="36" t="str">
        <f t="shared" si="1"/>
        <v/>
      </c>
      <c r="J2146" s="16"/>
      <c r="K2146" s="15"/>
      <c r="L2146" s="15"/>
      <c r="M2146" s="36" t="str">
        <f t="array" ref="M2146">IF($A2146="","",IF($L2146="Atendido",IFERROR($I2146*INDEX(Config!$B:$B,MATCH($C2146,Config!$A:$A,0)),0),0))</f>
        <v/>
      </c>
      <c r="N2146" s="36" t="str">
        <f t="shared" si="2"/>
        <v/>
      </c>
      <c r="O2146" s="36" t="str">
        <f t="shared" si="3"/>
        <v/>
      </c>
      <c r="P2146" s="15"/>
      <c r="Q2146" s="37" t="str">
        <f t="shared" si="4"/>
        <v/>
      </c>
      <c r="R2146" s="37" t="str">
        <f t="shared" si="5"/>
        <v/>
      </c>
      <c r="S2146" s="32" t="str">
        <f t="shared" si="6"/>
        <v/>
      </c>
      <c r="T2146" s="37" t="str">
        <f t="shared" si="7"/>
        <v/>
      </c>
      <c r="U2146" s="37" t="str">
        <f t="array" ref="U2146">IF($F2146="","",IFERROR(INDEX(Config!$F:$F,MATCH($F2146,Config!$D:$D,0)),0))</f>
        <v/>
      </c>
    </row>
    <row r="2147" ht="15.0" customHeight="1">
      <c r="A2147" s="34"/>
      <c r="B2147" s="35"/>
      <c r="C2147" s="15"/>
      <c r="D2147" s="15"/>
      <c r="E2147" s="15"/>
      <c r="F2147" s="15"/>
      <c r="G2147" s="36" t="str">
        <f t="array" ref="G2147">IF($F2147="","",IFERROR(INDEX(Config!$E:$E,MATCH($F2147,Config!$D:$D,0)),0))</f>
        <v/>
      </c>
      <c r="H2147" s="16"/>
      <c r="I2147" s="36" t="str">
        <f t="shared" si="1"/>
        <v/>
      </c>
      <c r="J2147" s="16"/>
      <c r="K2147" s="15"/>
      <c r="L2147" s="15"/>
      <c r="M2147" s="36" t="str">
        <f t="array" ref="M2147">IF($A2147="","",IF($L2147="Atendido",IFERROR($I2147*INDEX(Config!$B:$B,MATCH($C2147,Config!$A:$A,0)),0),0))</f>
        <v/>
      </c>
      <c r="N2147" s="36" t="str">
        <f t="shared" si="2"/>
        <v/>
      </c>
      <c r="O2147" s="36" t="str">
        <f t="shared" si="3"/>
        <v/>
      </c>
      <c r="P2147" s="15"/>
      <c r="Q2147" s="37" t="str">
        <f t="shared" si="4"/>
        <v/>
      </c>
      <c r="R2147" s="37" t="str">
        <f t="shared" si="5"/>
        <v/>
      </c>
      <c r="S2147" s="32" t="str">
        <f t="shared" si="6"/>
        <v/>
      </c>
      <c r="T2147" s="37" t="str">
        <f t="shared" si="7"/>
        <v/>
      </c>
      <c r="U2147" s="37" t="str">
        <f t="array" ref="U2147">IF($F2147="","",IFERROR(INDEX(Config!$F:$F,MATCH($F2147,Config!$D:$D,0)),0))</f>
        <v/>
      </c>
    </row>
    <row r="2148" ht="15.0" customHeight="1">
      <c r="A2148" s="34"/>
      <c r="B2148" s="35"/>
      <c r="C2148" s="15"/>
      <c r="D2148" s="15"/>
      <c r="E2148" s="15"/>
      <c r="F2148" s="15"/>
      <c r="G2148" s="36" t="str">
        <f t="array" ref="G2148">IF($F2148="","",IFERROR(INDEX(Config!$E:$E,MATCH($F2148,Config!$D:$D,0)),0))</f>
        <v/>
      </c>
      <c r="H2148" s="16"/>
      <c r="I2148" s="36" t="str">
        <f t="shared" si="1"/>
        <v/>
      </c>
      <c r="J2148" s="16"/>
      <c r="K2148" s="15"/>
      <c r="L2148" s="15"/>
      <c r="M2148" s="36" t="str">
        <f t="array" ref="M2148">IF($A2148="","",IF($L2148="Atendido",IFERROR($I2148*INDEX(Config!$B:$B,MATCH($C2148,Config!$A:$A,0)),0),0))</f>
        <v/>
      </c>
      <c r="N2148" s="36" t="str">
        <f t="shared" si="2"/>
        <v/>
      </c>
      <c r="O2148" s="36" t="str">
        <f t="shared" si="3"/>
        <v/>
      </c>
      <c r="P2148" s="15"/>
      <c r="Q2148" s="37" t="str">
        <f t="shared" si="4"/>
        <v/>
      </c>
      <c r="R2148" s="37" t="str">
        <f t="shared" si="5"/>
        <v/>
      </c>
      <c r="S2148" s="32" t="str">
        <f t="shared" si="6"/>
        <v/>
      </c>
      <c r="T2148" s="37" t="str">
        <f t="shared" si="7"/>
        <v/>
      </c>
      <c r="U2148" s="37" t="str">
        <f t="array" ref="U2148">IF($F2148="","",IFERROR(INDEX(Config!$F:$F,MATCH($F2148,Config!$D:$D,0)),0))</f>
        <v/>
      </c>
    </row>
    <row r="2149" ht="15.0" customHeight="1">
      <c r="A2149" s="34"/>
      <c r="B2149" s="35"/>
      <c r="C2149" s="15"/>
      <c r="D2149" s="15"/>
      <c r="E2149" s="15"/>
      <c r="F2149" s="15"/>
      <c r="G2149" s="36" t="str">
        <f t="array" ref="G2149">IF($F2149="","",IFERROR(INDEX(Config!$E:$E,MATCH($F2149,Config!$D:$D,0)),0))</f>
        <v/>
      </c>
      <c r="H2149" s="16"/>
      <c r="I2149" s="36" t="str">
        <f t="shared" si="1"/>
        <v/>
      </c>
      <c r="J2149" s="16"/>
      <c r="K2149" s="15"/>
      <c r="L2149" s="15"/>
      <c r="M2149" s="36" t="str">
        <f t="array" ref="M2149">IF($A2149="","",IF($L2149="Atendido",IFERROR($I2149*INDEX(Config!$B:$B,MATCH($C2149,Config!$A:$A,0)),0),0))</f>
        <v/>
      </c>
      <c r="N2149" s="36" t="str">
        <f t="shared" si="2"/>
        <v/>
      </c>
      <c r="O2149" s="36" t="str">
        <f t="shared" si="3"/>
        <v/>
      </c>
      <c r="P2149" s="15"/>
      <c r="Q2149" s="37" t="str">
        <f t="shared" si="4"/>
        <v/>
      </c>
      <c r="R2149" s="37" t="str">
        <f t="shared" si="5"/>
        <v/>
      </c>
      <c r="S2149" s="32" t="str">
        <f t="shared" si="6"/>
        <v/>
      </c>
      <c r="T2149" s="37" t="str">
        <f t="shared" si="7"/>
        <v/>
      </c>
      <c r="U2149" s="37" t="str">
        <f t="array" ref="U2149">IF($F2149="","",IFERROR(INDEX(Config!$F:$F,MATCH($F2149,Config!$D:$D,0)),0))</f>
        <v/>
      </c>
    </row>
    <row r="2150" ht="15.0" customHeight="1">
      <c r="A2150" s="34"/>
      <c r="B2150" s="35"/>
      <c r="C2150" s="15"/>
      <c r="D2150" s="15"/>
      <c r="E2150" s="15"/>
      <c r="F2150" s="15"/>
      <c r="G2150" s="36" t="str">
        <f t="array" ref="G2150">IF($F2150="","",IFERROR(INDEX(Config!$E:$E,MATCH($F2150,Config!$D:$D,0)),0))</f>
        <v/>
      </c>
      <c r="H2150" s="16"/>
      <c r="I2150" s="36" t="str">
        <f t="shared" si="1"/>
        <v/>
      </c>
      <c r="J2150" s="16"/>
      <c r="K2150" s="15"/>
      <c r="L2150" s="15"/>
      <c r="M2150" s="36" t="str">
        <f t="array" ref="M2150">IF($A2150="","",IF($L2150="Atendido",IFERROR($I2150*INDEX(Config!$B:$B,MATCH($C2150,Config!$A:$A,0)),0),0))</f>
        <v/>
      </c>
      <c r="N2150" s="36" t="str">
        <f t="shared" si="2"/>
        <v/>
      </c>
      <c r="O2150" s="36" t="str">
        <f t="shared" si="3"/>
        <v/>
      </c>
      <c r="P2150" s="15"/>
      <c r="Q2150" s="37" t="str">
        <f t="shared" si="4"/>
        <v/>
      </c>
      <c r="R2150" s="37" t="str">
        <f t="shared" si="5"/>
        <v/>
      </c>
      <c r="S2150" s="32" t="str">
        <f t="shared" si="6"/>
        <v/>
      </c>
      <c r="T2150" s="37" t="str">
        <f t="shared" si="7"/>
        <v/>
      </c>
      <c r="U2150" s="37" t="str">
        <f t="array" ref="U2150">IF($F2150="","",IFERROR(INDEX(Config!$F:$F,MATCH($F2150,Config!$D:$D,0)),0))</f>
        <v/>
      </c>
    </row>
    <row r="2151" ht="15.0" customHeight="1">
      <c r="A2151" s="34"/>
      <c r="B2151" s="35"/>
      <c r="C2151" s="15"/>
      <c r="D2151" s="15"/>
      <c r="E2151" s="15"/>
      <c r="F2151" s="15"/>
      <c r="G2151" s="36" t="str">
        <f t="array" ref="G2151">IF($F2151="","",IFERROR(INDEX(Config!$E:$E,MATCH($F2151,Config!$D:$D,0)),0))</f>
        <v/>
      </c>
      <c r="H2151" s="16"/>
      <c r="I2151" s="36" t="str">
        <f t="shared" si="1"/>
        <v/>
      </c>
      <c r="J2151" s="16"/>
      <c r="K2151" s="15"/>
      <c r="L2151" s="15"/>
      <c r="M2151" s="36" t="str">
        <f t="array" ref="M2151">IF($A2151="","",IF($L2151="Atendido",IFERROR($I2151*INDEX(Config!$B:$B,MATCH($C2151,Config!$A:$A,0)),0),0))</f>
        <v/>
      </c>
      <c r="N2151" s="36" t="str">
        <f t="shared" si="2"/>
        <v/>
      </c>
      <c r="O2151" s="36" t="str">
        <f t="shared" si="3"/>
        <v/>
      </c>
      <c r="P2151" s="15"/>
      <c r="Q2151" s="37" t="str">
        <f t="shared" si="4"/>
        <v/>
      </c>
      <c r="R2151" s="37" t="str">
        <f t="shared" si="5"/>
        <v/>
      </c>
      <c r="S2151" s="32" t="str">
        <f t="shared" si="6"/>
        <v/>
      </c>
      <c r="T2151" s="37" t="str">
        <f t="shared" si="7"/>
        <v/>
      </c>
      <c r="U2151" s="37" t="str">
        <f t="array" ref="U2151">IF($F2151="","",IFERROR(INDEX(Config!$F:$F,MATCH($F2151,Config!$D:$D,0)),0))</f>
        <v/>
      </c>
    </row>
    <row r="2152" ht="15.0" customHeight="1">
      <c r="A2152" s="34"/>
      <c r="B2152" s="35"/>
      <c r="C2152" s="15"/>
      <c r="D2152" s="15"/>
      <c r="E2152" s="15"/>
      <c r="F2152" s="15"/>
      <c r="G2152" s="36" t="str">
        <f t="array" ref="G2152">IF($F2152="","",IFERROR(INDEX(Config!$E:$E,MATCH($F2152,Config!$D:$D,0)),0))</f>
        <v/>
      </c>
      <c r="H2152" s="16"/>
      <c r="I2152" s="36" t="str">
        <f t="shared" si="1"/>
        <v/>
      </c>
      <c r="J2152" s="16"/>
      <c r="K2152" s="15"/>
      <c r="L2152" s="15"/>
      <c r="M2152" s="36" t="str">
        <f t="array" ref="M2152">IF($A2152="","",IF($L2152="Atendido",IFERROR($I2152*INDEX(Config!$B:$B,MATCH($C2152,Config!$A:$A,0)),0),0))</f>
        <v/>
      </c>
      <c r="N2152" s="36" t="str">
        <f t="shared" si="2"/>
        <v/>
      </c>
      <c r="O2152" s="36" t="str">
        <f t="shared" si="3"/>
        <v/>
      </c>
      <c r="P2152" s="15"/>
      <c r="Q2152" s="37" t="str">
        <f t="shared" si="4"/>
        <v/>
      </c>
      <c r="R2152" s="37" t="str">
        <f t="shared" si="5"/>
        <v/>
      </c>
      <c r="S2152" s="32" t="str">
        <f t="shared" si="6"/>
        <v/>
      </c>
      <c r="T2152" s="37" t="str">
        <f t="shared" si="7"/>
        <v/>
      </c>
      <c r="U2152" s="37" t="str">
        <f t="array" ref="U2152">IF($F2152="","",IFERROR(INDEX(Config!$F:$F,MATCH($F2152,Config!$D:$D,0)),0))</f>
        <v/>
      </c>
    </row>
    <row r="2153" ht="15.0" customHeight="1">
      <c r="A2153" s="34"/>
      <c r="B2153" s="35"/>
      <c r="C2153" s="15"/>
      <c r="D2153" s="15"/>
      <c r="E2153" s="15"/>
      <c r="F2153" s="15"/>
      <c r="G2153" s="36" t="str">
        <f t="array" ref="G2153">IF($F2153="","",IFERROR(INDEX(Config!$E:$E,MATCH($F2153,Config!$D:$D,0)),0))</f>
        <v/>
      </c>
      <c r="H2153" s="16"/>
      <c r="I2153" s="36" t="str">
        <f t="shared" si="1"/>
        <v/>
      </c>
      <c r="J2153" s="16"/>
      <c r="K2153" s="15"/>
      <c r="L2153" s="15"/>
      <c r="M2153" s="36" t="str">
        <f t="array" ref="M2153">IF($A2153="","",IF($L2153="Atendido",IFERROR($I2153*INDEX(Config!$B:$B,MATCH($C2153,Config!$A:$A,0)),0),0))</f>
        <v/>
      </c>
      <c r="N2153" s="36" t="str">
        <f t="shared" si="2"/>
        <v/>
      </c>
      <c r="O2153" s="36" t="str">
        <f t="shared" si="3"/>
        <v/>
      </c>
      <c r="P2153" s="15"/>
      <c r="Q2153" s="37" t="str">
        <f t="shared" si="4"/>
        <v/>
      </c>
      <c r="R2153" s="37" t="str">
        <f t="shared" si="5"/>
        <v/>
      </c>
      <c r="S2153" s="32" t="str">
        <f t="shared" si="6"/>
        <v/>
      </c>
      <c r="T2153" s="37" t="str">
        <f t="shared" si="7"/>
        <v/>
      </c>
      <c r="U2153" s="37" t="str">
        <f t="array" ref="U2153">IF($F2153="","",IFERROR(INDEX(Config!$F:$F,MATCH($F2153,Config!$D:$D,0)),0))</f>
        <v/>
      </c>
    </row>
    <row r="2154" ht="15.0" customHeight="1">
      <c r="A2154" s="34"/>
      <c r="B2154" s="35"/>
      <c r="C2154" s="15"/>
      <c r="D2154" s="15"/>
      <c r="E2154" s="15"/>
      <c r="F2154" s="15"/>
      <c r="G2154" s="36" t="str">
        <f t="array" ref="G2154">IF($F2154="","",IFERROR(INDEX(Config!$E:$E,MATCH($F2154,Config!$D:$D,0)),0))</f>
        <v/>
      </c>
      <c r="H2154" s="16"/>
      <c r="I2154" s="36" t="str">
        <f t="shared" si="1"/>
        <v/>
      </c>
      <c r="J2154" s="16"/>
      <c r="K2154" s="15"/>
      <c r="L2154" s="15"/>
      <c r="M2154" s="36" t="str">
        <f t="array" ref="M2154">IF($A2154="","",IF($L2154="Atendido",IFERROR($I2154*INDEX(Config!$B:$B,MATCH($C2154,Config!$A:$A,0)),0),0))</f>
        <v/>
      </c>
      <c r="N2154" s="36" t="str">
        <f t="shared" si="2"/>
        <v/>
      </c>
      <c r="O2154" s="36" t="str">
        <f t="shared" si="3"/>
        <v/>
      </c>
      <c r="P2154" s="15"/>
      <c r="Q2154" s="37" t="str">
        <f t="shared" si="4"/>
        <v/>
      </c>
      <c r="R2154" s="37" t="str">
        <f t="shared" si="5"/>
        <v/>
      </c>
      <c r="S2154" s="32" t="str">
        <f t="shared" si="6"/>
        <v/>
      </c>
      <c r="T2154" s="37" t="str">
        <f t="shared" si="7"/>
        <v/>
      </c>
      <c r="U2154" s="37" t="str">
        <f t="array" ref="U2154">IF($F2154="","",IFERROR(INDEX(Config!$F:$F,MATCH($F2154,Config!$D:$D,0)),0))</f>
        <v/>
      </c>
    </row>
    <row r="2155" ht="15.0" customHeight="1">
      <c r="A2155" s="34"/>
      <c r="B2155" s="35"/>
      <c r="C2155" s="15"/>
      <c r="D2155" s="15"/>
      <c r="E2155" s="15"/>
      <c r="F2155" s="15"/>
      <c r="G2155" s="36" t="str">
        <f t="array" ref="G2155">IF($F2155="","",IFERROR(INDEX(Config!$E:$E,MATCH($F2155,Config!$D:$D,0)),0))</f>
        <v/>
      </c>
      <c r="H2155" s="16"/>
      <c r="I2155" s="36" t="str">
        <f t="shared" si="1"/>
        <v/>
      </c>
      <c r="J2155" s="16"/>
      <c r="K2155" s="15"/>
      <c r="L2155" s="15"/>
      <c r="M2155" s="36" t="str">
        <f t="array" ref="M2155">IF($A2155="","",IF($L2155="Atendido",IFERROR($I2155*INDEX(Config!$B:$B,MATCH($C2155,Config!$A:$A,0)),0),0))</f>
        <v/>
      </c>
      <c r="N2155" s="36" t="str">
        <f t="shared" si="2"/>
        <v/>
      </c>
      <c r="O2155" s="36" t="str">
        <f t="shared" si="3"/>
        <v/>
      </c>
      <c r="P2155" s="15"/>
      <c r="Q2155" s="37" t="str">
        <f t="shared" si="4"/>
        <v/>
      </c>
      <c r="R2155" s="37" t="str">
        <f t="shared" si="5"/>
        <v/>
      </c>
      <c r="S2155" s="32" t="str">
        <f t="shared" si="6"/>
        <v/>
      </c>
      <c r="T2155" s="37" t="str">
        <f t="shared" si="7"/>
        <v/>
      </c>
      <c r="U2155" s="37" t="str">
        <f t="array" ref="U2155">IF($F2155="","",IFERROR(INDEX(Config!$F:$F,MATCH($F2155,Config!$D:$D,0)),0))</f>
        <v/>
      </c>
    </row>
    <row r="2156" ht="15.0" customHeight="1">
      <c r="A2156" s="34"/>
      <c r="B2156" s="35"/>
      <c r="C2156" s="15"/>
      <c r="D2156" s="15"/>
      <c r="E2156" s="15"/>
      <c r="F2156" s="15"/>
      <c r="G2156" s="36" t="str">
        <f t="array" ref="G2156">IF($F2156="","",IFERROR(INDEX(Config!$E:$E,MATCH($F2156,Config!$D:$D,0)),0))</f>
        <v/>
      </c>
      <c r="H2156" s="16"/>
      <c r="I2156" s="36" t="str">
        <f t="shared" si="1"/>
        <v/>
      </c>
      <c r="J2156" s="16"/>
      <c r="K2156" s="15"/>
      <c r="L2156" s="15"/>
      <c r="M2156" s="36" t="str">
        <f t="array" ref="M2156">IF($A2156="","",IF($L2156="Atendido",IFERROR($I2156*INDEX(Config!$B:$B,MATCH($C2156,Config!$A:$A,0)),0),0))</f>
        <v/>
      </c>
      <c r="N2156" s="36" t="str">
        <f t="shared" si="2"/>
        <v/>
      </c>
      <c r="O2156" s="36" t="str">
        <f t="shared" si="3"/>
        <v/>
      </c>
      <c r="P2156" s="15"/>
      <c r="Q2156" s="37" t="str">
        <f t="shared" si="4"/>
        <v/>
      </c>
      <c r="R2156" s="37" t="str">
        <f t="shared" si="5"/>
        <v/>
      </c>
      <c r="S2156" s="32" t="str">
        <f t="shared" si="6"/>
        <v/>
      </c>
      <c r="T2156" s="37" t="str">
        <f t="shared" si="7"/>
        <v/>
      </c>
      <c r="U2156" s="37" t="str">
        <f t="array" ref="U2156">IF($F2156="","",IFERROR(INDEX(Config!$F:$F,MATCH($F2156,Config!$D:$D,0)),0))</f>
        <v/>
      </c>
    </row>
    <row r="2157" ht="15.0" customHeight="1">
      <c r="A2157" s="34"/>
      <c r="B2157" s="35"/>
      <c r="C2157" s="15"/>
      <c r="D2157" s="15"/>
      <c r="E2157" s="15"/>
      <c r="F2157" s="15"/>
      <c r="G2157" s="36" t="str">
        <f t="array" ref="G2157">IF($F2157="","",IFERROR(INDEX(Config!$E:$E,MATCH($F2157,Config!$D:$D,0)),0))</f>
        <v/>
      </c>
      <c r="H2157" s="16"/>
      <c r="I2157" s="36" t="str">
        <f t="shared" si="1"/>
        <v/>
      </c>
      <c r="J2157" s="16"/>
      <c r="K2157" s="15"/>
      <c r="L2157" s="15"/>
      <c r="M2157" s="36" t="str">
        <f t="array" ref="M2157">IF($A2157="","",IF($L2157="Atendido",IFERROR($I2157*INDEX(Config!$B:$B,MATCH($C2157,Config!$A:$A,0)),0),0))</f>
        <v/>
      </c>
      <c r="N2157" s="36" t="str">
        <f t="shared" si="2"/>
        <v/>
      </c>
      <c r="O2157" s="36" t="str">
        <f t="shared" si="3"/>
        <v/>
      </c>
      <c r="P2157" s="15"/>
      <c r="Q2157" s="37" t="str">
        <f t="shared" si="4"/>
        <v/>
      </c>
      <c r="R2157" s="37" t="str">
        <f t="shared" si="5"/>
        <v/>
      </c>
      <c r="S2157" s="32" t="str">
        <f t="shared" si="6"/>
        <v/>
      </c>
      <c r="T2157" s="37" t="str">
        <f t="shared" si="7"/>
        <v/>
      </c>
      <c r="U2157" s="37" t="str">
        <f t="array" ref="U2157">IF($F2157="","",IFERROR(INDEX(Config!$F:$F,MATCH($F2157,Config!$D:$D,0)),0))</f>
        <v/>
      </c>
    </row>
    <row r="2158" ht="15.0" customHeight="1">
      <c r="A2158" s="34"/>
      <c r="B2158" s="35"/>
      <c r="C2158" s="15"/>
      <c r="D2158" s="15"/>
      <c r="E2158" s="15"/>
      <c r="F2158" s="15"/>
      <c r="G2158" s="36" t="str">
        <f t="array" ref="G2158">IF($F2158="","",IFERROR(INDEX(Config!$E:$E,MATCH($F2158,Config!$D:$D,0)),0))</f>
        <v/>
      </c>
      <c r="H2158" s="16"/>
      <c r="I2158" s="36" t="str">
        <f t="shared" si="1"/>
        <v/>
      </c>
      <c r="J2158" s="16"/>
      <c r="K2158" s="15"/>
      <c r="L2158" s="15"/>
      <c r="M2158" s="36" t="str">
        <f t="array" ref="M2158">IF($A2158="","",IF($L2158="Atendido",IFERROR($I2158*INDEX(Config!$B:$B,MATCH($C2158,Config!$A:$A,0)),0),0))</f>
        <v/>
      </c>
      <c r="N2158" s="36" t="str">
        <f t="shared" si="2"/>
        <v/>
      </c>
      <c r="O2158" s="36" t="str">
        <f t="shared" si="3"/>
        <v/>
      </c>
      <c r="P2158" s="15"/>
      <c r="Q2158" s="37" t="str">
        <f t="shared" si="4"/>
        <v/>
      </c>
      <c r="R2158" s="37" t="str">
        <f t="shared" si="5"/>
        <v/>
      </c>
      <c r="S2158" s="32" t="str">
        <f t="shared" si="6"/>
        <v/>
      </c>
      <c r="T2158" s="37" t="str">
        <f t="shared" si="7"/>
        <v/>
      </c>
      <c r="U2158" s="37" t="str">
        <f t="array" ref="U2158">IF($F2158="","",IFERROR(INDEX(Config!$F:$F,MATCH($F2158,Config!$D:$D,0)),0))</f>
        <v/>
      </c>
    </row>
    <row r="2159" ht="15.0" customHeight="1">
      <c r="A2159" s="34"/>
      <c r="B2159" s="35"/>
      <c r="C2159" s="15"/>
      <c r="D2159" s="15"/>
      <c r="E2159" s="15"/>
      <c r="F2159" s="15"/>
      <c r="G2159" s="36" t="str">
        <f t="array" ref="G2159">IF($F2159="","",IFERROR(INDEX(Config!$E:$E,MATCH($F2159,Config!$D:$D,0)),0))</f>
        <v/>
      </c>
      <c r="H2159" s="16"/>
      <c r="I2159" s="36" t="str">
        <f t="shared" si="1"/>
        <v/>
      </c>
      <c r="J2159" s="16"/>
      <c r="K2159" s="15"/>
      <c r="L2159" s="15"/>
      <c r="M2159" s="36" t="str">
        <f t="array" ref="M2159">IF($A2159="","",IF($L2159="Atendido",IFERROR($I2159*INDEX(Config!$B:$B,MATCH($C2159,Config!$A:$A,0)),0),0))</f>
        <v/>
      </c>
      <c r="N2159" s="36" t="str">
        <f t="shared" si="2"/>
        <v/>
      </c>
      <c r="O2159" s="36" t="str">
        <f t="shared" si="3"/>
        <v/>
      </c>
      <c r="P2159" s="15"/>
      <c r="Q2159" s="37" t="str">
        <f t="shared" si="4"/>
        <v/>
      </c>
      <c r="R2159" s="37" t="str">
        <f t="shared" si="5"/>
        <v/>
      </c>
      <c r="S2159" s="32" t="str">
        <f t="shared" si="6"/>
        <v/>
      </c>
      <c r="T2159" s="37" t="str">
        <f t="shared" si="7"/>
        <v/>
      </c>
      <c r="U2159" s="37" t="str">
        <f t="array" ref="U2159">IF($F2159="","",IFERROR(INDEX(Config!$F:$F,MATCH($F2159,Config!$D:$D,0)),0))</f>
        <v/>
      </c>
    </row>
    <row r="2160" ht="15.0" customHeight="1">
      <c r="A2160" s="34"/>
      <c r="B2160" s="35"/>
      <c r="C2160" s="15"/>
      <c r="D2160" s="15"/>
      <c r="E2160" s="15"/>
      <c r="F2160" s="15"/>
      <c r="G2160" s="36" t="str">
        <f t="array" ref="G2160">IF($F2160="","",IFERROR(INDEX(Config!$E:$E,MATCH($F2160,Config!$D:$D,0)),0))</f>
        <v/>
      </c>
      <c r="H2160" s="16"/>
      <c r="I2160" s="36" t="str">
        <f t="shared" si="1"/>
        <v/>
      </c>
      <c r="J2160" s="16"/>
      <c r="K2160" s="15"/>
      <c r="L2160" s="15"/>
      <c r="M2160" s="36" t="str">
        <f t="array" ref="M2160">IF($A2160="","",IF($L2160="Atendido",IFERROR($I2160*INDEX(Config!$B:$B,MATCH($C2160,Config!$A:$A,0)),0),0))</f>
        <v/>
      </c>
      <c r="N2160" s="36" t="str">
        <f t="shared" si="2"/>
        <v/>
      </c>
      <c r="O2160" s="36" t="str">
        <f t="shared" si="3"/>
        <v/>
      </c>
      <c r="P2160" s="15"/>
      <c r="Q2160" s="37" t="str">
        <f t="shared" si="4"/>
        <v/>
      </c>
      <c r="R2160" s="37" t="str">
        <f t="shared" si="5"/>
        <v/>
      </c>
      <c r="S2160" s="32" t="str">
        <f t="shared" si="6"/>
        <v/>
      </c>
      <c r="T2160" s="37" t="str">
        <f t="shared" si="7"/>
        <v/>
      </c>
      <c r="U2160" s="37" t="str">
        <f t="array" ref="U2160">IF($F2160="","",IFERROR(INDEX(Config!$F:$F,MATCH($F2160,Config!$D:$D,0)),0))</f>
        <v/>
      </c>
    </row>
    <row r="2161" ht="15.0" customHeight="1">
      <c r="A2161" s="34"/>
      <c r="B2161" s="35"/>
      <c r="C2161" s="15"/>
      <c r="D2161" s="15"/>
      <c r="E2161" s="15"/>
      <c r="F2161" s="15"/>
      <c r="G2161" s="36" t="str">
        <f t="array" ref="G2161">IF($F2161="","",IFERROR(INDEX(Config!$E:$E,MATCH($F2161,Config!$D:$D,0)),0))</f>
        <v/>
      </c>
      <c r="H2161" s="16"/>
      <c r="I2161" s="36" t="str">
        <f t="shared" si="1"/>
        <v/>
      </c>
      <c r="J2161" s="16"/>
      <c r="K2161" s="15"/>
      <c r="L2161" s="15"/>
      <c r="M2161" s="36" t="str">
        <f t="array" ref="M2161">IF($A2161="","",IF($L2161="Atendido",IFERROR($I2161*INDEX(Config!$B:$B,MATCH($C2161,Config!$A:$A,0)),0),0))</f>
        <v/>
      </c>
      <c r="N2161" s="36" t="str">
        <f t="shared" si="2"/>
        <v/>
      </c>
      <c r="O2161" s="36" t="str">
        <f t="shared" si="3"/>
        <v/>
      </c>
      <c r="P2161" s="15"/>
      <c r="Q2161" s="37" t="str">
        <f t="shared" si="4"/>
        <v/>
      </c>
      <c r="R2161" s="37" t="str">
        <f t="shared" si="5"/>
        <v/>
      </c>
      <c r="S2161" s="32" t="str">
        <f t="shared" si="6"/>
        <v/>
      </c>
      <c r="T2161" s="37" t="str">
        <f t="shared" si="7"/>
        <v/>
      </c>
      <c r="U2161" s="37" t="str">
        <f t="array" ref="U2161">IF($F2161="","",IFERROR(INDEX(Config!$F:$F,MATCH($F2161,Config!$D:$D,0)),0))</f>
        <v/>
      </c>
    </row>
    <row r="2162" ht="15.0" customHeight="1">
      <c r="A2162" s="34"/>
      <c r="B2162" s="35"/>
      <c r="C2162" s="15"/>
      <c r="D2162" s="15"/>
      <c r="E2162" s="15"/>
      <c r="F2162" s="15"/>
      <c r="G2162" s="36" t="str">
        <f t="array" ref="G2162">IF($F2162="","",IFERROR(INDEX(Config!$E:$E,MATCH($F2162,Config!$D:$D,0)),0))</f>
        <v/>
      </c>
      <c r="H2162" s="16"/>
      <c r="I2162" s="36" t="str">
        <f t="shared" si="1"/>
        <v/>
      </c>
      <c r="J2162" s="16"/>
      <c r="K2162" s="15"/>
      <c r="L2162" s="15"/>
      <c r="M2162" s="36" t="str">
        <f t="array" ref="M2162">IF($A2162="","",IF($L2162="Atendido",IFERROR($I2162*INDEX(Config!$B:$B,MATCH($C2162,Config!$A:$A,0)),0),0))</f>
        <v/>
      </c>
      <c r="N2162" s="36" t="str">
        <f t="shared" si="2"/>
        <v/>
      </c>
      <c r="O2162" s="36" t="str">
        <f t="shared" si="3"/>
        <v/>
      </c>
      <c r="P2162" s="15"/>
      <c r="Q2162" s="37" t="str">
        <f t="shared" si="4"/>
        <v/>
      </c>
      <c r="R2162" s="37" t="str">
        <f t="shared" si="5"/>
        <v/>
      </c>
      <c r="S2162" s="32" t="str">
        <f t="shared" si="6"/>
        <v/>
      </c>
      <c r="T2162" s="37" t="str">
        <f t="shared" si="7"/>
        <v/>
      </c>
      <c r="U2162" s="37" t="str">
        <f t="array" ref="U2162">IF($F2162="","",IFERROR(INDEX(Config!$F:$F,MATCH($F2162,Config!$D:$D,0)),0))</f>
        <v/>
      </c>
    </row>
    <row r="2163" ht="15.0" customHeight="1">
      <c r="A2163" s="34"/>
      <c r="B2163" s="35"/>
      <c r="C2163" s="15"/>
      <c r="D2163" s="15"/>
      <c r="E2163" s="15"/>
      <c r="F2163" s="15"/>
      <c r="G2163" s="36" t="str">
        <f t="array" ref="G2163">IF($F2163="","",IFERROR(INDEX(Config!$E:$E,MATCH($F2163,Config!$D:$D,0)),0))</f>
        <v/>
      </c>
      <c r="H2163" s="16"/>
      <c r="I2163" s="36" t="str">
        <f t="shared" si="1"/>
        <v/>
      </c>
      <c r="J2163" s="16"/>
      <c r="K2163" s="15"/>
      <c r="L2163" s="15"/>
      <c r="M2163" s="36" t="str">
        <f t="array" ref="M2163">IF($A2163="","",IF($L2163="Atendido",IFERROR($I2163*INDEX(Config!$B:$B,MATCH($C2163,Config!$A:$A,0)),0),0))</f>
        <v/>
      </c>
      <c r="N2163" s="36" t="str">
        <f t="shared" si="2"/>
        <v/>
      </c>
      <c r="O2163" s="36" t="str">
        <f t="shared" si="3"/>
        <v/>
      </c>
      <c r="P2163" s="15"/>
      <c r="Q2163" s="37" t="str">
        <f t="shared" si="4"/>
        <v/>
      </c>
      <c r="R2163" s="37" t="str">
        <f t="shared" si="5"/>
        <v/>
      </c>
      <c r="S2163" s="32" t="str">
        <f t="shared" si="6"/>
        <v/>
      </c>
      <c r="T2163" s="37" t="str">
        <f t="shared" si="7"/>
        <v/>
      </c>
      <c r="U2163" s="37" t="str">
        <f t="array" ref="U2163">IF($F2163="","",IFERROR(INDEX(Config!$F:$F,MATCH($F2163,Config!$D:$D,0)),0))</f>
        <v/>
      </c>
    </row>
    <row r="2164" ht="15.0" customHeight="1">
      <c r="A2164" s="34"/>
      <c r="B2164" s="35"/>
      <c r="C2164" s="15"/>
      <c r="D2164" s="15"/>
      <c r="E2164" s="15"/>
      <c r="F2164" s="15"/>
      <c r="G2164" s="36" t="str">
        <f t="array" ref="G2164">IF($F2164="","",IFERROR(INDEX(Config!$E:$E,MATCH($F2164,Config!$D:$D,0)),0))</f>
        <v/>
      </c>
      <c r="H2164" s="16"/>
      <c r="I2164" s="36" t="str">
        <f t="shared" si="1"/>
        <v/>
      </c>
      <c r="J2164" s="16"/>
      <c r="K2164" s="15"/>
      <c r="L2164" s="15"/>
      <c r="M2164" s="36" t="str">
        <f t="array" ref="M2164">IF($A2164="","",IF($L2164="Atendido",IFERROR($I2164*INDEX(Config!$B:$B,MATCH($C2164,Config!$A:$A,0)),0),0))</f>
        <v/>
      </c>
      <c r="N2164" s="36" t="str">
        <f t="shared" si="2"/>
        <v/>
      </c>
      <c r="O2164" s="36" t="str">
        <f t="shared" si="3"/>
        <v/>
      </c>
      <c r="P2164" s="15"/>
      <c r="Q2164" s="37" t="str">
        <f t="shared" si="4"/>
        <v/>
      </c>
      <c r="R2164" s="37" t="str">
        <f t="shared" si="5"/>
        <v/>
      </c>
      <c r="S2164" s="32" t="str">
        <f t="shared" si="6"/>
        <v/>
      </c>
      <c r="T2164" s="37" t="str">
        <f t="shared" si="7"/>
        <v/>
      </c>
      <c r="U2164" s="37" t="str">
        <f t="array" ref="U2164">IF($F2164="","",IFERROR(INDEX(Config!$F:$F,MATCH($F2164,Config!$D:$D,0)),0))</f>
        <v/>
      </c>
    </row>
    <row r="2165" ht="15.0" customHeight="1">
      <c r="A2165" s="34"/>
      <c r="B2165" s="35"/>
      <c r="C2165" s="15"/>
      <c r="D2165" s="15"/>
      <c r="E2165" s="15"/>
      <c r="F2165" s="15"/>
      <c r="G2165" s="36" t="str">
        <f t="array" ref="G2165">IF($F2165="","",IFERROR(INDEX(Config!$E:$E,MATCH($F2165,Config!$D:$D,0)),0))</f>
        <v/>
      </c>
      <c r="H2165" s="16"/>
      <c r="I2165" s="36" t="str">
        <f t="shared" si="1"/>
        <v/>
      </c>
      <c r="J2165" s="16"/>
      <c r="K2165" s="15"/>
      <c r="L2165" s="15"/>
      <c r="M2165" s="36" t="str">
        <f t="array" ref="M2165">IF($A2165="","",IF($L2165="Atendido",IFERROR($I2165*INDEX(Config!$B:$B,MATCH($C2165,Config!$A:$A,0)),0),0))</f>
        <v/>
      </c>
      <c r="N2165" s="36" t="str">
        <f t="shared" si="2"/>
        <v/>
      </c>
      <c r="O2165" s="36" t="str">
        <f t="shared" si="3"/>
        <v/>
      </c>
      <c r="P2165" s="15"/>
      <c r="Q2165" s="37" t="str">
        <f t="shared" si="4"/>
        <v/>
      </c>
      <c r="R2165" s="37" t="str">
        <f t="shared" si="5"/>
        <v/>
      </c>
      <c r="S2165" s="32" t="str">
        <f t="shared" si="6"/>
        <v/>
      </c>
      <c r="T2165" s="37" t="str">
        <f t="shared" si="7"/>
        <v/>
      </c>
      <c r="U2165" s="37" t="str">
        <f t="array" ref="U2165">IF($F2165="","",IFERROR(INDEX(Config!$F:$F,MATCH($F2165,Config!$D:$D,0)),0))</f>
        <v/>
      </c>
    </row>
    <row r="2166" ht="15.0" customHeight="1">
      <c r="A2166" s="34"/>
      <c r="B2166" s="35"/>
      <c r="C2166" s="15"/>
      <c r="D2166" s="15"/>
      <c r="E2166" s="15"/>
      <c r="F2166" s="15"/>
      <c r="G2166" s="36" t="str">
        <f t="array" ref="G2166">IF($F2166="","",IFERROR(INDEX(Config!$E:$E,MATCH($F2166,Config!$D:$D,0)),0))</f>
        <v/>
      </c>
      <c r="H2166" s="16"/>
      <c r="I2166" s="36" t="str">
        <f t="shared" si="1"/>
        <v/>
      </c>
      <c r="J2166" s="16"/>
      <c r="K2166" s="15"/>
      <c r="L2166" s="15"/>
      <c r="M2166" s="36" t="str">
        <f t="array" ref="M2166">IF($A2166="","",IF($L2166="Atendido",IFERROR($I2166*INDEX(Config!$B:$B,MATCH($C2166,Config!$A:$A,0)),0),0))</f>
        <v/>
      </c>
      <c r="N2166" s="36" t="str">
        <f t="shared" si="2"/>
        <v/>
      </c>
      <c r="O2166" s="36" t="str">
        <f t="shared" si="3"/>
        <v/>
      </c>
      <c r="P2166" s="15"/>
      <c r="Q2166" s="37" t="str">
        <f t="shared" si="4"/>
        <v/>
      </c>
      <c r="R2166" s="37" t="str">
        <f t="shared" si="5"/>
        <v/>
      </c>
      <c r="S2166" s="32" t="str">
        <f t="shared" si="6"/>
        <v/>
      </c>
      <c r="T2166" s="37" t="str">
        <f t="shared" si="7"/>
        <v/>
      </c>
      <c r="U2166" s="37" t="str">
        <f t="array" ref="U2166">IF($F2166="","",IFERROR(INDEX(Config!$F:$F,MATCH($F2166,Config!$D:$D,0)),0))</f>
        <v/>
      </c>
    </row>
    <row r="2167" ht="15.0" customHeight="1">
      <c r="A2167" s="34"/>
      <c r="B2167" s="35"/>
      <c r="C2167" s="15"/>
      <c r="D2167" s="15"/>
      <c r="E2167" s="15"/>
      <c r="F2167" s="15"/>
      <c r="G2167" s="36" t="str">
        <f t="array" ref="G2167">IF($F2167="","",IFERROR(INDEX(Config!$E:$E,MATCH($F2167,Config!$D:$D,0)),0))</f>
        <v/>
      </c>
      <c r="H2167" s="16"/>
      <c r="I2167" s="36" t="str">
        <f t="shared" si="1"/>
        <v/>
      </c>
      <c r="J2167" s="16"/>
      <c r="K2167" s="15"/>
      <c r="L2167" s="15"/>
      <c r="M2167" s="36" t="str">
        <f t="array" ref="M2167">IF($A2167="","",IF($L2167="Atendido",IFERROR($I2167*INDEX(Config!$B:$B,MATCH($C2167,Config!$A:$A,0)),0),0))</f>
        <v/>
      </c>
      <c r="N2167" s="36" t="str">
        <f t="shared" si="2"/>
        <v/>
      </c>
      <c r="O2167" s="36" t="str">
        <f t="shared" si="3"/>
        <v/>
      </c>
      <c r="P2167" s="15"/>
      <c r="Q2167" s="37" t="str">
        <f t="shared" si="4"/>
        <v/>
      </c>
      <c r="R2167" s="37" t="str">
        <f t="shared" si="5"/>
        <v/>
      </c>
      <c r="S2167" s="32" t="str">
        <f t="shared" si="6"/>
        <v/>
      </c>
      <c r="T2167" s="37" t="str">
        <f t="shared" si="7"/>
        <v/>
      </c>
      <c r="U2167" s="37" t="str">
        <f t="array" ref="U2167">IF($F2167="","",IFERROR(INDEX(Config!$F:$F,MATCH($F2167,Config!$D:$D,0)),0))</f>
        <v/>
      </c>
    </row>
    <row r="2168" ht="15.0" customHeight="1">
      <c r="A2168" s="34"/>
      <c r="B2168" s="35"/>
      <c r="C2168" s="15"/>
      <c r="D2168" s="15"/>
      <c r="E2168" s="15"/>
      <c r="F2168" s="15"/>
      <c r="G2168" s="36" t="str">
        <f t="array" ref="G2168">IF($F2168="","",IFERROR(INDEX(Config!$E:$E,MATCH($F2168,Config!$D:$D,0)),0))</f>
        <v/>
      </c>
      <c r="H2168" s="16"/>
      <c r="I2168" s="36" t="str">
        <f t="shared" si="1"/>
        <v/>
      </c>
      <c r="J2168" s="16"/>
      <c r="K2168" s="15"/>
      <c r="L2168" s="15"/>
      <c r="M2168" s="36" t="str">
        <f t="array" ref="M2168">IF($A2168="","",IF($L2168="Atendido",IFERROR($I2168*INDEX(Config!$B:$B,MATCH($C2168,Config!$A:$A,0)),0),0))</f>
        <v/>
      </c>
      <c r="N2168" s="36" t="str">
        <f t="shared" si="2"/>
        <v/>
      </c>
      <c r="O2168" s="36" t="str">
        <f t="shared" si="3"/>
        <v/>
      </c>
      <c r="P2168" s="15"/>
      <c r="Q2168" s="37" t="str">
        <f t="shared" si="4"/>
        <v/>
      </c>
      <c r="R2168" s="37" t="str">
        <f t="shared" si="5"/>
        <v/>
      </c>
      <c r="S2168" s="32" t="str">
        <f t="shared" si="6"/>
        <v/>
      </c>
      <c r="T2168" s="37" t="str">
        <f t="shared" si="7"/>
        <v/>
      </c>
      <c r="U2168" s="37" t="str">
        <f t="array" ref="U2168">IF($F2168="","",IFERROR(INDEX(Config!$F:$F,MATCH($F2168,Config!$D:$D,0)),0))</f>
        <v/>
      </c>
    </row>
    <row r="2169" ht="15.0" customHeight="1">
      <c r="A2169" s="34"/>
      <c r="B2169" s="35"/>
      <c r="C2169" s="15"/>
      <c r="D2169" s="15"/>
      <c r="E2169" s="15"/>
      <c r="F2169" s="15"/>
      <c r="G2169" s="36" t="str">
        <f t="array" ref="G2169">IF($F2169="","",IFERROR(INDEX(Config!$E:$E,MATCH($F2169,Config!$D:$D,0)),0))</f>
        <v/>
      </c>
      <c r="H2169" s="16"/>
      <c r="I2169" s="36" t="str">
        <f t="shared" si="1"/>
        <v/>
      </c>
      <c r="J2169" s="16"/>
      <c r="K2169" s="15"/>
      <c r="L2169" s="15"/>
      <c r="M2169" s="36" t="str">
        <f t="array" ref="M2169">IF($A2169="","",IF($L2169="Atendido",IFERROR($I2169*INDEX(Config!$B:$B,MATCH($C2169,Config!$A:$A,0)),0),0))</f>
        <v/>
      </c>
      <c r="N2169" s="36" t="str">
        <f t="shared" si="2"/>
        <v/>
      </c>
      <c r="O2169" s="36" t="str">
        <f t="shared" si="3"/>
        <v/>
      </c>
      <c r="P2169" s="15"/>
      <c r="Q2169" s="37" t="str">
        <f t="shared" si="4"/>
        <v/>
      </c>
      <c r="R2169" s="37" t="str">
        <f t="shared" si="5"/>
        <v/>
      </c>
      <c r="S2169" s="32" t="str">
        <f t="shared" si="6"/>
        <v/>
      </c>
      <c r="T2169" s="37" t="str">
        <f t="shared" si="7"/>
        <v/>
      </c>
      <c r="U2169" s="37" t="str">
        <f t="array" ref="U2169">IF($F2169="","",IFERROR(INDEX(Config!$F:$F,MATCH($F2169,Config!$D:$D,0)),0))</f>
        <v/>
      </c>
    </row>
    <row r="2170" ht="15.0" customHeight="1">
      <c r="A2170" s="34"/>
      <c r="B2170" s="35"/>
      <c r="C2170" s="15"/>
      <c r="D2170" s="15"/>
      <c r="E2170" s="15"/>
      <c r="F2170" s="15"/>
      <c r="G2170" s="36" t="str">
        <f t="array" ref="G2170">IF($F2170="","",IFERROR(INDEX(Config!$E:$E,MATCH($F2170,Config!$D:$D,0)),0))</f>
        <v/>
      </c>
      <c r="H2170" s="16"/>
      <c r="I2170" s="36" t="str">
        <f t="shared" si="1"/>
        <v/>
      </c>
      <c r="J2170" s="16"/>
      <c r="K2170" s="15"/>
      <c r="L2170" s="15"/>
      <c r="M2170" s="36" t="str">
        <f t="array" ref="M2170">IF($A2170="","",IF($L2170="Atendido",IFERROR($I2170*INDEX(Config!$B:$B,MATCH($C2170,Config!$A:$A,0)),0),0))</f>
        <v/>
      </c>
      <c r="N2170" s="36" t="str">
        <f t="shared" si="2"/>
        <v/>
      </c>
      <c r="O2170" s="36" t="str">
        <f t="shared" si="3"/>
        <v/>
      </c>
      <c r="P2170" s="15"/>
      <c r="Q2170" s="37" t="str">
        <f t="shared" si="4"/>
        <v/>
      </c>
      <c r="R2170" s="37" t="str">
        <f t="shared" si="5"/>
        <v/>
      </c>
      <c r="S2170" s="32" t="str">
        <f t="shared" si="6"/>
        <v/>
      </c>
      <c r="T2170" s="37" t="str">
        <f t="shared" si="7"/>
        <v/>
      </c>
      <c r="U2170" s="37" t="str">
        <f t="array" ref="U2170">IF($F2170="","",IFERROR(INDEX(Config!$F:$F,MATCH($F2170,Config!$D:$D,0)),0))</f>
        <v/>
      </c>
    </row>
    <row r="2171" ht="15.0" customHeight="1">
      <c r="A2171" s="34"/>
      <c r="B2171" s="35"/>
      <c r="C2171" s="15"/>
      <c r="D2171" s="15"/>
      <c r="E2171" s="15"/>
      <c r="F2171" s="15"/>
      <c r="G2171" s="36" t="str">
        <f t="array" ref="G2171">IF($F2171="","",IFERROR(INDEX(Config!$E:$E,MATCH($F2171,Config!$D:$D,0)),0))</f>
        <v/>
      </c>
      <c r="H2171" s="16"/>
      <c r="I2171" s="36" t="str">
        <f t="shared" si="1"/>
        <v/>
      </c>
      <c r="J2171" s="16"/>
      <c r="K2171" s="15"/>
      <c r="L2171" s="15"/>
      <c r="M2171" s="36" t="str">
        <f t="array" ref="M2171">IF($A2171="","",IF($L2171="Atendido",IFERROR($I2171*INDEX(Config!$B:$B,MATCH($C2171,Config!$A:$A,0)),0),0))</f>
        <v/>
      </c>
      <c r="N2171" s="36" t="str">
        <f t="shared" si="2"/>
        <v/>
      </c>
      <c r="O2171" s="36" t="str">
        <f t="shared" si="3"/>
        <v/>
      </c>
      <c r="P2171" s="15"/>
      <c r="Q2171" s="37" t="str">
        <f t="shared" si="4"/>
        <v/>
      </c>
      <c r="R2171" s="37" t="str">
        <f t="shared" si="5"/>
        <v/>
      </c>
      <c r="S2171" s="32" t="str">
        <f t="shared" si="6"/>
        <v/>
      </c>
      <c r="T2171" s="37" t="str">
        <f t="shared" si="7"/>
        <v/>
      </c>
      <c r="U2171" s="37" t="str">
        <f t="array" ref="U2171">IF($F2171="","",IFERROR(INDEX(Config!$F:$F,MATCH($F2171,Config!$D:$D,0)),0))</f>
        <v/>
      </c>
    </row>
    <row r="2172" ht="15.0" customHeight="1">
      <c r="A2172" s="34"/>
      <c r="B2172" s="35"/>
      <c r="C2172" s="15"/>
      <c r="D2172" s="15"/>
      <c r="E2172" s="15"/>
      <c r="F2172" s="15"/>
      <c r="G2172" s="36" t="str">
        <f t="array" ref="G2172">IF($F2172="","",IFERROR(INDEX(Config!$E:$E,MATCH($F2172,Config!$D:$D,0)),0))</f>
        <v/>
      </c>
      <c r="H2172" s="16"/>
      <c r="I2172" s="36" t="str">
        <f t="shared" si="1"/>
        <v/>
      </c>
      <c r="J2172" s="16"/>
      <c r="K2172" s="15"/>
      <c r="L2172" s="15"/>
      <c r="M2172" s="36" t="str">
        <f t="array" ref="M2172">IF($A2172="","",IF($L2172="Atendido",IFERROR($I2172*INDEX(Config!$B:$B,MATCH($C2172,Config!$A:$A,0)),0),0))</f>
        <v/>
      </c>
      <c r="N2172" s="36" t="str">
        <f t="shared" si="2"/>
        <v/>
      </c>
      <c r="O2172" s="36" t="str">
        <f t="shared" si="3"/>
        <v/>
      </c>
      <c r="P2172" s="15"/>
      <c r="Q2172" s="37" t="str">
        <f t="shared" si="4"/>
        <v/>
      </c>
      <c r="R2172" s="37" t="str">
        <f t="shared" si="5"/>
        <v/>
      </c>
      <c r="S2172" s="32" t="str">
        <f t="shared" si="6"/>
        <v/>
      </c>
      <c r="T2172" s="37" t="str">
        <f t="shared" si="7"/>
        <v/>
      </c>
      <c r="U2172" s="37" t="str">
        <f t="array" ref="U2172">IF($F2172="","",IFERROR(INDEX(Config!$F:$F,MATCH($F2172,Config!$D:$D,0)),0))</f>
        <v/>
      </c>
    </row>
    <row r="2173" ht="15.0" customHeight="1">
      <c r="A2173" s="34"/>
      <c r="B2173" s="35"/>
      <c r="C2173" s="15"/>
      <c r="D2173" s="15"/>
      <c r="E2173" s="15"/>
      <c r="F2173" s="15"/>
      <c r="G2173" s="36" t="str">
        <f t="array" ref="G2173">IF($F2173="","",IFERROR(INDEX(Config!$E:$E,MATCH($F2173,Config!$D:$D,0)),0))</f>
        <v/>
      </c>
      <c r="H2173" s="16"/>
      <c r="I2173" s="36" t="str">
        <f t="shared" si="1"/>
        <v/>
      </c>
      <c r="J2173" s="16"/>
      <c r="K2173" s="15"/>
      <c r="L2173" s="15"/>
      <c r="M2173" s="36" t="str">
        <f t="array" ref="M2173">IF($A2173="","",IF($L2173="Atendido",IFERROR($I2173*INDEX(Config!$B:$B,MATCH($C2173,Config!$A:$A,0)),0),0))</f>
        <v/>
      </c>
      <c r="N2173" s="36" t="str">
        <f t="shared" si="2"/>
        <v/>
      </c>
      <c r="O2173" s="36" t="str">
        <f t="shared" si="3"/>
        <v/>
      </c>
      <c r="P2173" s="15"/>
      <c r="Q2173" s="37" t="str">
        <f t="shared" si="4"/>
        <v/>
      </c>
      <c r="R2173" s="37" t="str">
        <f t="shared" si="5"/>
        <v/>
      </c>
      <c r="S2173" s="32" t="str">
        <f t="shared" si="6"/>
        <v/>
      </c>
      <c r="T2173" s="37" t="str">
        <f t="shared" si="7"/>
        <v/>
      </c>
      <c r="U2173" s="37" t="str">
        <f t="array" ref="U2173">IF($F2173="","",IFERROR(INDEX(Config!$F:$F,MATCH($F2173,Config!$D:$D,0)),0))</f>
        <v/>
      </c>
    </row>
    <row r="2174" ht="15.0" customHeight="1">
      <c r="A2174" s="34"/>
      <c r="B2174" s="35"/>
      <c r="C2174" s="15"/>
      <c r="D2174" s="15"/>
      <c r="E2174" s="15"/>
      <c r="F2174" s="15"/>
      <c r="G2174" s="36" t="str">
        <f t="array" ref="G2174">IF($F2174="","",IFERROR(INDEX(Config!$E:$E,MATCH($F2174,Config!$D:$D,0)),0))</f>
        <v/>
      </c>
      <c r="H2174" s="16"/>
      <c r="I2174" s="36" t="str">
        <f t="shared" si="1"/>
        <v/>
      </c>
      <c r="J2174" s="16"/>
      <c r="K2174" s="15"/>
      <c r="L2174" s="15"/>
      <c r="M2174" s="36" t="str">
        <f t="array" ref="M2174">IF($A2174="","",IF($L2174="Atendido",IFERROR($I2174*INDEX(Config!$B:$B,MATCH($C2174,Config!$A:$A,0)),0),0))</f>
        <v/>
      </c>
      <c r="N2174" s="36" t="str">
        <f t="shared" si="2"/>
        <v/>
      </c>
      <c r="O2174" s="36" t="str">
        <f t="shared" si="3"/>
        <v/>
      </c>
      <c r="P2174" s="15"/>
      <c r="Q2174" s="37" t="str">
        <f t="shared" si="4"/>
        <v/>
      </c>
      <c r="R2174" s="37" t="str">
        <f t="shared" si="5"/>
        <v/>
      </c>
      <c r="S2174" s="32" t="str">
        <f t="shared" si="6"/>
        <v/>
      </c>
      <c r="T2174" s="37" t="str">
        <f t="shared" si="7"/>
        <v/>
      </c>
      <c r="U2174" s="37" t="str">
        <f t="array" ref="U2174">IF($F2174="","",IFERROR(INDEX(Config!$F:$F,MATCH($F2174,Config!$D:$D,0)),0))</f>
        <v/>
      </c>
    </row>
    <row r="2175" ht="15.0" customHeight="1">
      <c r="A2175" s="34"/>
      <c r="B2175" s="35"/>
      <c r="C2175" s="15"/>
      <c r="D2175" s="15"/>
      <c r="E2175" s="15"/>
      <c r="F2175" s="15"/>
      <c r="G2175" s="36" t="str">
        <f t="array" ref="G2175">IF($F2175="","",IFERROR(INDEX(Config!$E:$E,MATCH($F2175,Config!$D:$D,0)),0))</f>
        <v/>
      </c>
      <c r="H2175" s="16"/>
      <c r="I2175" s="36" t="str">
        <f t="shared" si="1"/>
        <v/>
      </c>
      <c r="J2175" s="16"/>
      <c r="K2175" s="15"/>
      <c r="L2175" s="15"/>
      <c r="M2175" s="36" t="str">
        <f t="array" ref="M2175">IF($A2175="","",IF($L2175="Atendido",IFERROR($I2175*INDEX(Config!$B:$B,MATCH($C2175,Config!$A:$A,0)),0),0))</f>
        <v/>
      </c>
      <c r="N2175" s="36" t="str">
        <f t="shared" si="2"/>
        <v/>
      </c>
      <c r="O2175" s="36" t="str">
        <f t="shared" si="3"/>
        <v/>
      </c>
      <c r="P2175" s="15"/>
      <c r="Q2175" s="37" t="str">
        <f t="shared" si="4"/>
        <v/>
      </c>
      <c r="R2175" s="37" t="str">
        <f t="shared" si="5"/>
        <v/>
      </c>
      <c r="S2175" s="32" t="str">
        <f t="shared" si="6"/>
        <v/>
      </c>
      <c r="T2175" s="37" t="str">
        <f t="shared" si="7"/>
        <v/>
      </c>
      <c r="U2175" s="37" t="str">
        <f t="array" ref="U2175">IF($F2175="","",IFERROR(INDEX(Config!$F:$F,MATCH($F2175,Config!$D:$D,0)),0))</f>
        <v/>
      </c>
    </row>
    <row r="2176" ht="15.0" customHeight="1">
      <c r="A2176" s="34"/>
      <c r="B2176" s="35"/>
      <c r="C2176" s="15"/>
      <c r="D2176" s="15"/>
      <c r="E2176" s="15"/>
      <c r="F2176" s="15"/>
      <c r="G2176" s="36" t="str">
        <f t="array" ref="G2176">IF($F2176="","",IFERROR(INDEX(Config!$E:$E,MATCH($F2176,Config!$D:$D,0)),0))</f>
        <v/>
      </c>
      <c r="H2176" s="16"/>
      <c r="I2176" s="36" t="str">
        <f t="shared" si="1"/>
        <v/>
      </c>
      <c r="J2176" s="16"/>
      <c r="K2176" s="15"/>
      <c r="L2176" s="15"/>
      <c r="M2176" s="36" t="str">
        <f t="array" ref="M2176">IF($A2176="","",IF($L2176="Atendido",IFERROR($I2176*INDEX(Config!$B:$B,MATCH($C2176,Config!$A:$A,0)),0),0))</f>
        <v/>
      </c>
      <c r="N2176" s="36" t="str">
        <f t="shared" si="2"/>
        <v/>
      </c>
      <c r="O2176" s="36" t="str">
        <f t="shared" si="3"/>
        <v/>
      </c>
      <c r="P2176" s="15"/>
      <c r="Q2176" s="37" t="str">
        <f t="shared" si="4"/>
        <v/>
      </c>
      <c r="R2176" s="37" t="str">
        <f t="shared" si="5"/>
        <v/>
      </c>
      <c r="S2176" s="32" t="str">
        <f t="shared" si="6"/>
        <v/>
      </c>
      <c r="T2176" s="37" t="str">
        <f t="shared" si="7"/>
        <v/>
      </c>
      <c r="U2176" s="37" t="str">
        <f t="array" ref="U2176">IF($F2176="","",IFERROR(INDEX(Config!$F:$F,MATCH($F2176,Config!$D:$D,0)),0))</f>
        <v/>
      </c>
    </row>
    <row r="2177" ht="15.0" customHeight="1">
      <c r="A2177" s="34"/>
      <c r="B2177" s="35"/>
      <c r="C2177" s="15"/>
      <c r="D2177" s="15"/>
      <c r="E2177" s="15"/>
      <c r="F2177" s="15"/>
      <c r="G2177" s="36" t="str">
        <f t="array" ref="G2177">IF($F2177="","",IFERROR(INDEX(Config!$E:$E,MATCH($F2177,Config!$D:$D,0)),0))</f>
        <v/>
      </c>
      <c r="H2177" s="16"/>
      <c r="I2177" s="36" t="str">
        <f t="shared" si="1"/>
        <v/>
      </c>
      <c r="J2177" s="16"/>
      <c r="K2177" s="15"/>
      <c r="L2177" s="15"/>
      <c r="M2177" s="36" t="str">
        <f t="array" ref="M2177">IF($A2177="","",IF($L2177="Atendido",IFERROR($I2177*INDEX(Config!$B:$B,MATCH($C2177,Config!$A:$A,0)),0),0))</f>
        <v/>
      </c>
      <c r="N2177" s="36" t="str">
        <f t="shared" si="2"/>
        <v/>
      </c>
      <c r="O2177" s="36" t="str">
        <f t="shared" si="3"/>
        <v/>
      </c>
      <c r="P2177" s="15"/>
      <c r="Q2177" s="37" t="str">
        <f t="shared" si="4"/>
        <v/>
      </c>
      <c r="R2177" s="37" t="str">
        <f t="shared" si="5"/>
        <v/>
      </c>
      <c r="S2177" s="32" t="str">
        <f t="shared" si="6"/>
        <v/>
      </c>
      <c r="T2177" s="37" t="str">
        <f t="shared" si="7"/>
        <v/>
      </c>
      <c r="U2177" s="37" t="str">
        <f t="array" ref="U2177">IF($F2177="","",IFERROR(INDEX(Config!$F:$F,MATCH($F2177,Config!$D:$D,0)),0))</f>
        <v/>
      </c>
    </row>
    <row r="2178" ht="15.0" customHeight="1">
      <c r="A2178" s="34"/>
      <c r="B2178" s="35"/>
      <c r="C2178" s="15"/>
      <c r="D2178" s="15"/>
      <c r="E2178" s="15"/>
      <c r="F2178" s="15"/>
      <c r="G2178" s="36" t="str">
        <f t="array" ref="G2178">IF($F2178="","",IFERROR(INDEX(Config!$E:$E,MATCH($F2178,Config!$D:$D,0)),0))</f>
        <v/>
      </c>
      <c r="H2178" s="16"/>
      <c r="I2178" s="36" t="str">
        <f t="shared" si="1"/>
        <v/>
      </c>
      <c r="J2178" s="16"/>
      <c r="K2178" s="15"/>
      <c r="L2178" s="15"/>
      <c r="M2178" s="36" t="str">
        <f t="array" ref="M2178">IF($A2178="","",IF($L2178="Atendido",IFERROR($I2178*INDEX(Config!$B:$B,MATCH($C2178,Config!$A:$A,0)),0),0))</f>
        <v/>
      </c>
      <c r="N2178" s="36" t="str">
        <f t="shared" si="2"/>
        <v/>
      </c>
      <c r="O2178" s="36" t="str">
        <f t="shared" si="3"/>
        <v/>
      </c>
      <c r="P2178" s="15"/>
      <c r="Q2178" s="37" t="str">
        <f t="shared" si="4"/>
        <v/>
      </c>
      <c r="R2178" s="37" t="str">
        <f t="shared" si="5"/>
        <v/>
      </c>
      <c r="S2178" s="32" t="str">
        <f t="shared" si="6"/>
        <v/>
      </c>
      <c r="T2178" s="37" t="str">
        <f t="shared" si="7"/>
        <v/>
      </c>
      <c r="U2178" s="37" t="str">
        <f t="array" ref="U2178">IF($F2178="","",IFERROR(INDEX(Config!$F:$F,MATCH($F2178,Config!$D:$D,0)),0))</f>
        <v/>
      </c>
    </row>
    <row r="2179" ht="15.0" customHeight="1">
      <c r="A2179" s="34"/>
      <c r="B2179" s="35"/>
      <c r="C2179" s="15"/>
      <c r="D2179" s="15"/>
      <c r="E2179" s="15"/>
      <c r="F2179" s="15"/>
      <c r="G2179" s="36" t="str">
        <f t="array" ref="G2179">IF($F2179="","",IFERROR(INDEX(Config!$E:$E,MATCH($F2179,Config!$D:$D,0)),0))</f>
        <v/>
      </c>
      <c r="H2179" s="16"/>
      <c r="I2179" s="36" t="str">
        <f t="shared" si="1"/>
        <v/>
      </c>
      <c r="J2179" s="16"/>
      <c r="K2179" s="15"/>
      <c r="L2179" s="15"/>
      <c r="M2179" s="36" t="str">
        <f t="array" ref="M2179">IF($A2179="","",IF($L2179="Atendido",IFERROR($I2179*INDEX(Config!$B:$B,MATCH($C2179,Config!$A:$A,0)),0),0))</f>
        <v/>
      </c>
      <c r="N2179" s="36" t="str">
        <f t="shared" si="2"/>
        <v/>
      </c>
      <c r="O2179" s="36" t="str">
        <f t="shared" si="3"/>
        <v/>
      </c>
      <c r="P2179" s="15"/>
      <c r="Q2179" s="37" t="str">
        <f t="shared" si="4"/>
        <v/>
      </c>
      <c r="R2179" s="37" t="str">
        <f t="shared" si="5"/>
        <v/>
      </c>
      <c r="S2179" s="32" t="str">
        <f t="shared" si="6"/>
        <v/>
      </c>
      <c r="T2179" s="37" t="str">
        <f t="shared" si="7"/>
        <v/>
      </c>
      <c r="U2179" s="37" t="str">
        <f t="array" ref="U2179">IF($F2179="","",IFERROR(INDEX(Config!$F:$F,MATCH($F2179,Config!$D:$D,0)),0))</f>
        <v/>
      </c>
    </row>
    <row r="2180" ht="15.0" customHeight="1">
      <c r="A2180" s="34"/>
      <c r="B2180" s="35"/>
      <c r="C2180" s="15"/>
      <c r="D2180" s="15"/>
      <c r="E2180" s="15"/>
      <c r="F2180" s="15"/>
      <c r="G2180" s="36" t="str">
        <f t="array" ref="G2180">IF($F2180="","",IFERROR(INDEX(Config!$E:$E,MATCH($F2180,Config!$D:$D,0)),0))</f>
        <v/>
      </c>
      <c r="H2180" s="16"/>
      <c r="I2180" s="36" t="str">
        <f t="shared" si="1"/>
        <v/>
      </c>
      <c r="J2180" s="16"/>
      <c r="K2180" s="15"/>
      <c r="L2180" s="15"/>
      <c r="M2180" s="36" t="str">
        <f t="array" ref="M2180">IF($A2180="","",IF($L2180="Atendido",IFERROR($I2180*INDEX(Config!$B:$B,MATCH($C2180,Config!$A:$A,0)),0),0))</f>
        <v/>
      </c>
      <c r="N2180" s="36" t="str">
        <f t="shared" si="2"/>
        <v/>
      </c>
      <c r="O2180" s="36" t="str">
        <f t="shared" si="3"/>
        <v/>
      </c>
      <c r="P2180" s="15"/>
      <c r="Q2180" s="37" t="str">
        <f t="shared" si="4"/>
        <v/>
      </c>
      <c r="R2180" s="37" t="str">
        <f t="shared" si="5"/>
        <v/>
      </c>
      <c r="S2180" s="32" t="str">
        <f t="shared" si="6"/>
        <v/>
      </c>
      <c r="T2180" s="37" t="str">
        <f t="shared" si="7"/>
        <v/>
      </c>
      <c r="U2180" s="37" t="str">
        <f t="array" ref="U2180">IF($F2180="","",IFERROR(INDEX(Config!$F:$F,MATCH($F2180,Config!$D:$D,0)),0))</f>
        <v/>
      </c>
    </row>
    <row r="2181" ht="15.0" customHeight="1">
      <c r="A2181" s="34"/>
      <c r="B2181" s="35"/>
      <c r="C2181" s="15"/>
      <c r="D2181" s="15"/>
      <c r="E2181" s="15"/>
      <c r="F2181" s="15"/>
      <c r="G2181" s="36" t="str">
        <f t="array" ref="G2181">IF($F2181="","",IFERROR(INDEX(Config!$E:$E,MATCH($F2181,Config!$D:$D,0)),0))</f>
        <v/>
      </c>
      <c r="H2181" s="16"/>
      <c r="I2181" s="36" t="str">
        <f t="shared" si="1"/>
        <v/>
      </c>
      <c r="J2181" s="16"/>
      <c r="K2181" s="15"/>
      <c r="L2181" s="15"/>
      <c r="M2181" s="36" t="str">
        <f t="array" ref="M2181">IF($A2181="","",IF($L2181="Atendido",IFERROR($I2181*INDEX(Config!$B:$B,MATCH($C2181,Config!$A:$A,0)),0),0))</f>
        <v/>
      </c>
      <c r="N2181" s="36" t="str">
        <f t="shared" si="2"/>
        <v/>
      </c>
      <c r="O2181" s="36" t="str">
        <f t="shared" si="3"/>
        <v/>
      </c>
      <c r="P2181" s="15"/>
      <c r="Q2181" s="37" t="str">
        <f t="shared" si="4"/>
        <v/>
      </c>
      <c r="R2181" s="37" t="str">
        <f t="shared" si="5"/>
        <v/>
      </c>
      <c r="S2181" s="32" t="str">
        <f t="shared" si="6"/>
        <v/>
      </c>
      <c r="T2181" s="37" t="str">
        <f t="shared" si="7"/>
        <v/>
      </c>
      <c r="U2181" s="37" t="str">
        <f t="array" ref="U2181">IF($F2181="","",IFERROR(INDEX(Config!$F:$F,MATCH($F2181,Config!$D:$D,0)),0))</f>
        <v/>
      </c>
    </row>
    <row r="2182" ht="15.0" customHeight="1">
      <c r="A2182" s="34"/>
      <c r="B2182" s="35"/>
      <c r="C2182" s="15"/>
      <c r="D2182" s="15"/>
      <c r="E2182" s="15"/>
      <c r="F2182" s="15"/>
      <c r="G2182" s="36" t="str">
        <f t="array" ref="G2182">IF($F2182="","",IFERROR(INDEX(Config!$E:$E,MATCH($F2182,Config!$D:$D,0)),0))</f>
        <v/>
      </c>
      <c r="H2182" s="16"/>
      <c r="I2182" s="36" t="str">
        <f t="shared" si="1"/>
        <v/>
      </c>
      <c r="J2182" s="16"/>
      <c r="K2182" s="15"/>
      <c r="L2182" s="15"/>
      <c r="M2182" s="36" t="str">
        <f t="array" ref="M2182">IF($A2182="","",IF($L2182="Atendido",IFERROR($I2182*INDEX(Config!$B:$B,MATCH($C2182,Config!$A:$A,0)),0),0))</f>
        <v/>
      </c>
      <c r="N2182" s="36" t="str">
        <f t="shared" si="2"/>
        <v/>
      </c>
      <c r="O2182" s="36" t="str">
        <f t="shared" si="3"/>
        <v/>
      </c>
      <c r="P2182" s="15"/>
      <c r="Q2182" s="37" t="str">
        <f t="shared" si="4"/>
        <v/>
      </c>
      <c r="R2182" s="37" t="str">
        <f t="shared" si="5"/>
        <v/>
      </c>
      <c r="S2182" s="32" t="str">
        <f t="shared" si="6"/>
        <v/>
      </c>
      <c r="T2182" s="37" t="str">
        <f t="shared" si="7"/>
        <v/>
      </c>
      <c r="U2182" s="37" t="str">
        <f t="array" ref="U2182">IF($F2182="","",IFERROR(INDEX(Config!$F:$F,MATCH($F2182,Config!$D:$D,0)),0))</f>
        <v/>
      </c>
    </row>
    <row r="2183" ht="15.0" customHeight="1">
      <c r="A2183" s="34"/>
      <c r="B2183" s="35"/>
      <c r="C2183" s="15"/>
      <c r="D2183" s="15"/>
      <c r="E2183" s="15"/>
      <c r="F2183" s="15"/>
      <c r="G2183" s="36" t="str">
        <f t="array" ref="G2183">IF($F2183="","",IFERROR(INDEX(Config!$E:$E,MATCH($F2183,Config!$D:$D,0)),0))</f>
        <v/>
      </c>
      <c r="H2183" s="16"/>
      <c r="I2183" s="36" t="str">
        <f t="shared" si="1"/>
        <v/>
      </c>
      <c r="J2183" s="16"/>
      <c r="K2183" s="15"/>
      <c r="L2183" s="15"/>
      <c r="M2183" s="36" t="str">
        <f t="array" ref="M2183">IF($A2183="","",IF($L2183="Atendido",IFERROR($I2183*INDEX(Config!$B:$B,MATCH($C2183,Config!$A:$A,0)),0),0))</f>
        <v/>
      </c>
      <c r="N2183" s="36" t="str">
        <f t="shared" si="2"/>
        <v/>
      </c>
      <c r="O2183" s="36" t="str">
        <f t="shared" si="3"/>
        <v/>
      </c>
      <c r="P2183" s="15"/>
      <c r="Q2183" s="37" t="str">
        <f t="shared" si="4"/>
        <v/>
      </c>
      <c r="R2183" s="37" t="str">
        <f t="shared" si="5"/>
        <v/>
      </c>
      <c r="S2183" s="32" t="str">
        <f t="shared" si="6"/>
        <v/>
      </c>
      <c r="T2183" s="37" t="str">
        <f t="shared" si="7"/>
        <v/>
      </c>
      <c r="U2183" s="37" t="str">
        <f t="array" ref="U2183">IF($F2183="","",IFERROR(INDEX(Config!$F:$F,MATCH($F2183,Config!$D:$D,0)),0))</f>
        <v/>
      </c>
    </row>
    <row r="2184" ht="15.0" customHeight="1">
      <c r="A2184" s="34"/>
      <c r="B2184" s="35"/>
      <c r="C2184" s="15"/>
      <c r="D2184" s="15"/>
      <c r="E2184" s="15"/>
      <c r="F2184" s="15"/>
      <c r="G2184" s="36" t="str">
        <f t="array" ref="G2184">IF($F2184="","",IFERROR(INDEX(Config!$E:$E,MATCH($F2184,Config!$D:$D,0)),0))</f>
        <v/>
      </c>
      <c r="H2184" s="16"/>
      <c r="I2184" s="36" t="str">
        <f t="shared" si="1"/>
        <v/>
      </c>
      <c r="J2184" s="16"/>
      <c r="K2184" s="15"/>
      <c r="L2184" s="15"/>
      <c r="M2184" s="36" t="str">
        <f t="array" ref="M2184">IF($A2184="","",IF($L2184="Atendido",IFERROR($I2184*INDEX(Config!$B:$B,MATCH($C2184,Config!$A:$A,0)),0),0))</f>
        <v/>
      </c>
      <c r="N2184" s="36" t="str">
        <f t="shared" si="2"/>
        <v/>
      </c>
      <c r="O2184" s="36" t="str">
        <f t="shared" si="3"/>
        <v/>
      </c>
      <c r="P2184" s="15"/>
      <c r="Q2184" s="37" t="str">
        <f t="shared" si="4"/>
        <v/>
      </c>
      <c r="R2184" s="37" t="str">
        <f t="shared" si="5"/>
        <v/>
      </c>
      <c r="S2184" s="32" t="str">
        <f t="shared" si="6"/>
        <v/>
      </c>
      <c r="T2184" s="37" t="str">
        <f t="shared" si="7"/>
        <v/>
      </c>
      <c r="U2184" s="37" t="str">
        <f t="array" ref="U2184">IF($F2184="","",IFERROR(INDEX(Config!$F:$F,MATCH($F2184,Config!$D:$D,0)),0))</f>
        <v/>
      </c>
    </row>
    <row r="2185" ht="15.0" customHeight="1">
      <c r="A2185" s="34"/>
      <c r="B2185" s="35"/>
      <c r="C2185" s="15"/>
      <c r="D2185" s="15"/>
      <c r="E2185" s="15"/>
      <c r="F2185" s="15"/>
      <c r="G2185" s="36" t="str">
        <f t="array" ref="G2185">IF($F2185="","",IFERROR(INDEX(Config!$E:$E,MATCH($F2185,Config!$D:$D,0)),0))</f>
        <v/>
      </c>
      <c r="H2185" s="16"/>
      <c r="I2185" s="36" t="str">
        <f t="shared" si="1"/>
        <v/>
      </c>
      <c r="J2185" s="16"/>
      <c r="K2185" s="15"/>
      <c r="L2185" s="15"/>
      <c r="M2185" s="36" t="str">
        <f t="array" ref="M2185">IF($A2185="","",IF($L2185="Atendido",IFERROR($I2185*INDEX(Config!$B:$B,MATCH($C2185,Config!$A:$A,0)),0),0))</f>
        <v/>
      </c>
      <c r="N2185" s="36" t="str">
        <f t="shared" si="2"/>
        <v/>
      </c>
      <c r="O2185" s="36" t="str">
        <f t="shared" si="3"/>
        <v/>
      </c>
      <c r="P2185" s="15"/>
      <c r="Q2185" s="37" t="str">
        <f t="shared" si="4"/>
        <v/>
      </c>
      <c r="R2185" s="37" t="str">
        <f t="shared" si="5"/>
        <v/>
      </c>
      <c r="S2185" s="32" t="str">
        <f t="shared" si="6"/>
        <v/>
      </c>
      <c r="T2185" s="37" t="str">
        <f t="shared" si="7"/>
        <v/>
      </c>
      <c r="U2185" s="37" t="str">
        <f t="array" ref="U2185">IF($F2185="","",IFERROR(INDEX(Config!$F:$F,MATCH($F2185,Config!$D:$D,0)),0))</f>
        <v/>
      </c>
    </row>
    <row r="2186" ht="15.0" customHeight="1">
      <c r="A2186" s="34"/>
      <c r="B2186" s="35"/>
      <c r="C2186" s="15"/>
      <c r="D2186" s="15"/>
      <c r="E2186" s="15"/>
      <c r="F2186" s="15"/>
      <c r="G2186" s="36" t="str">
        <f t="array" ref="G2186">IF($F2186="","",IFERROR(INDEX(Config!$E:$E,MATCH($F2186,Config!$D:$D,0)),0))</f>
        <v/>
      </c>
      <c r="H2186" s="16"/>
      <c r="I2186" s="36" t="str">
        <f t="shared" si="1"/>
        <v/>
      </c>
      <c r="J2186" s="16"/>
      <c r="K2186" s="15"/>
      <c r="L2186" s="15"/>
      <c r="M2186" s="36" t="str">
        <f t="array" ref="M2186">IF($A2186="","",IF($L2186="Atendido",IFERROR($I2186*INDEX(Config!$B:$B,MATCH($C2186,Config!$A:$A,0)),0),0))</f>
        <v/>
      </c>
      <c r="N2186" s="36" t="str">
        <f t="shared" si="2"/>
        <v/>
      </c>
      <c r="O2186" s="36" t="str">
        <f t="shared" si="3"/>
        <v/>
      </c>
      <c r="P2186" s="15"/>
      <c r="Q2186" s="37" t="str">
        <f t="shared" si="4"/>
        <v/>
      </c>
      <c r="R2186" s="37" t="str">
        <f t="shared" si="5"/>
        <v/>
      </c>
      <c r="S2186" s="32" t="str">
        <f t="shared" si="6"/>
        <v/>
      </c>
      <c r="T2186" s="37" t="str">
        <f t="shared" si="7"/>
        <v/>
      </c>
      <c r="U2186" s="37" t="str">
        <f t="array" ref="U2186">IF($F2186="","",IFERROR(INDEX(Config!$F:$F,MATCH($F2186,Config!$D:$D,0)),0))</f>
        <v/>
      </c>
    </row>
    <row r="2187" ht="15.0" customHeight="1">
      <c r="A2187" s="34"/>
      <c r="B2187" s="35"/>
      <c r="C2187" s="15"/>
      <c r="D2187" s="15"/>
      <c r="E2187" s="15"/>
      <c r="F2187" s="15"/>
      <c r="G2187" s="36" t="str">
        <f t="array" ref="G2187">IF($F2187="","",IFERROR(INDEX(Config!$E:$E,MATCH($F2187,Config!$D:$D,0)),0))</f>
        <v/>
      </c>
      <c r="H2187" s="16"/>
      <c r="I2187" s="36" t="str">
        <f t="shared" si="1"/>
        <v/>
      </c>
      <c r="J2187" s="16"/>
      <c r="K2187" s="15"/>
      <c r="L2187" s="15"/>
      <c r="M2187" s="36" t="str">
        <f t="array" ref="M2187">IF($A2187="","",IF($L2187="Atendido",IFERROR($I2187*INDEX(Config!$B:$B,MATCH($C2187,Config!$A:$A,0)),0),0))</f>
        <v/>
      </c>
      <c r="N2187" s="36" t="str">
        <f t="shared" si="2"/>
        <v/>
      </c>
      <c r="O2187" s="36" t="str">
        <f t="shared" si="3"/>
        <v/>
      </c>
      <c r="P2187" s="15"/>
      <c r="Q2187" s="37" t="str">
        <f t="shared" si="4"/>
        <v/>
      </c>
      <c r="R2187" s="37" t="str">
        <f t="shared" si="5"/>
        <v/>
      </c>
      <c r="S2187" s="32" t="str">
        <f t="shared" si="6"/>
        <v/>
      </c>
      <c r="T2187" s="37" t="str">
        <f t="shared" si="7"/>
        <v/>
      </c>
      <c r="U2187" s="37" t="str">
        <f t="array" ref="U2187">IF($F2187="","",IFERROR(INDEX(Config!$F:$F,MATCH($F2187,Config!$D:$D,0)),0))</f>
        <v/>
      </c>
    </row>
    <row r="2188" ht="15.0" customHeight="1">
      <c r="A2188" s="34"/>
      <c r="B2188" s="35"/>
      <c r="C2188" s="15"/>
      <c r="D2188" s="15"/>
      <c r="E2188" s="15"/>
      <c r="F2188" s="15"/>
      <c r="G2188" s="36" t="str">
        <f t="array" ref="G2188">IF($F2188="","",IFERROR(INDEX(Config!$E:$E,MATCH($F2188,Config!$D:$D,0)),0))</f>
        <v/>
      </c>
      <c r="H2188" s="16"/>
      <c r="I2188" s="36" t="str">
        <f t="shared" si="1"/>
        <v/>
      </c>
      <c r="J2188" s="16"/>
      <c r="K2188" s="15"/>
      <c r="L2188" s="15"/>
      <c r="M2188" s="36" t="str">
        <f t="array" ref="M2188">IF($A2188="","",IF($L2188="Atendido",IFERROR($I2188*INDEX(Config!$B:$B,MATCH($C2188,Config!$A:$A,0)),0),0))</f>
        <v/>
      </c>
      <c r="N2188" s="36" t="str">
        <f t="shared" si="2"/>
        <v/>
      </c>
      <c r="O2188" s="36" t="str">
        <f t="shared" si="3"/>
        <v/>
      </c>
      <c r="P2188" s="15"/>
      <c r="Q2188" s="37" t="str">
        <f t="shared" si="4"/>
        <v/>
      </c>
      <c r="R2188" s="37" t="str">
        <f t="shared" si="5"/>
        <v/>
      </c>
      <c r="S2188" s="32" t="str">
        <f t="shared" si="6"/>
        <v/>
      </c>
      <c r="T2188" s="37" t="str">
        <f t="shared" si="7"/>
        <v/>
      </c>
      <c r="U2188" s="37" t="str">
        <f t="array" ref="U2188">IF($F2188="","",IFERROR(INDEX(Config!$F:$F,MATCH($F2188,Config!$D:$D,0)),0))</f>
        <v/>
      </c>
    </row>
    <row r="2189" ht="15.0" customHeight="1">
      <c r="A2189" s="34"/>
      <c r="B2189" s="35"/>
      <c r="C2189" s="15"/>
      <c r="D2189" s="15"/>
      <c r="E2189" s="15"/>
      <c r="F2189" s="15"/>
      <c r="G2189" s="36" t="str">
        <f t="array" ref="G2189">IF($F2189="","",IFERROR(INDEX(Config!$E:$E,MATCH($F2189,Config!$D:$D,0)),0))</f>
        <v/>
      </c>
      <c r="H2189" s="16"/>
      <c r="I2189" s="36" t="str">
        <f t="shared" si="1"/>
        <v/>
      </c>
      <c r="J2189" s="16"/>
      <c r="K2189" s="15"/>
      <c r="L2189" s="15"/>
      <c r="M2189" s="36" t="str">
        <f t="array" ref="M2189">IF($A2189="","",IF($L2189="Atendido",IFERROR($I2189*INDEX(Config!$B:$B,MATCH($C2189,Config!$A:$A,0)),0),0))</f>
        <v/>
      </c>
      <c r="N2189" s="36" t="str">
        <f t="shared" si="2"/>
        <v/>
      </c>
      <c r="O2189" s="36" t="str">
        <f t="shared" si="3"/>
        <v/>
      </c>
      <c r="P2189" s="15"/>
      <c r="Q2189" s="37" t="str">
        <f t="shared" si="4"/>
        <v/>
      </c>
      <c r="R2189" s="37" t="str">
        <f t="shared" si="5"/>
        <v/>
      </c>
      <c r="S2189" s="32" t="str">
        <f t="shared" si="6"/>
        <v/>
      </c>
      <c r="T2189" s="37" t="str">
        <f t="shared" si="7"/>
        <v/>
      </c>
      <c r="U2189" s="37" t="str">
        <f t="array" ref="U2189">IF($F2189="","",IFERROR(INDEX(Config!$F:$F,MATCH($F2189,Config!$D:$D,0)),0))</f>
        <v/>
      </c>
    </row>
    <row r="2190" ht="15.0" customHeight="1">
      <c r="A2190" s="34"/>
      <c r="B2190" s="35"/>
      <c r="C2190" s="15"/>
      <c r="D2190" s="15"/>
      <c r="E2190" s="15"/>
      <c r="F2190" s="15"/>
      <c r="G2190" s="36" t="str">
        <f t="array" ref="G2190">IF($F2190="","",IFERROR(INDEX(Config!$E:$E,MATCH($F2190,Config!$D:$D,0)),0))</f>
        <v/>
      </c>
      <c r="H2190" s="16"/>
      <c r="I2190" s="36" t="str">
        <f t="shared" si="1"/>
        <v/>
      </c>
      <c r="J2190" s="16"/>
      <c r="K2190" s="15"/>
      <c r="L2190" s="15"/>
      <c r="M2190" s="36" t="str">
        <f t="array" ref="M2190">IF($A2190="","",IF($L2190="Atendido",IFERROR($I2190*INDEX(Config!$B:$B,MATCH($C2190,Config!$A:$A,0)),0),0))</f>
        <v/>
      </c>
      <c r="N2190" s="36" t="str">
        <f t="shared" si="2"/>
        <v/>
      </c>
      <c r="O2190" s="36" t="str">
        <f t="shared" si="3"/>
        <v/>
      </c>
      <c r="P2190" s="15"/>
      <c r="Q2190" s="37" t="str">
        <f t="shared" si="4"/>
        <v/>
      </c>
      <c r="R2190" s="37" t="str">
        <f t="shared" si="5"/>
        <v/>
      </c>
      <c r="S2190" s="32" t="str">
        <f t="shared" si="6"/>
        <v/>
      </c>
      <c r="T2190" s="37" t="str">
        <f t="shared" si="7"/>
        <v/>
      </c>
      <c r="U2190" s="37" t="str">
        <f t="array" ref="U2190">IF($F2190="","",IFERROR(INDEX(Config!$F:$F,MATCH($F2190,Config!$D:$D,0)),0))</f>
        <v/>
      </c>
    </row>
    <row r="2191" ht="15.0" customHeight="1">
      <c r="A2191" s="34"/>
      <c r="B2191" s="35"/>
      <c r="C2191" s="15"/>
      <c r="D2191" s="15"/>
      <c r="E2191" s="15"/>
      <c r="F2191" s="15"/>
      <c r="G2191" s="36" t="str">
        <f t="array" ref="G2191">IF($F2191="","",IFERROR(INDEX(Config!$E:$E,MATCH($F2191,Config!$D:$D,0)),0))</f>
        <v/>
      </c>
      <c r="H2191" s="16"/>
      <c r="I2191" s="36" t="str">
        <f t="shared" si="1"/>
        <v/>
      </c>
      <c r="J2191" s="16"/>
      <c r="K2191" s="15"/>
      <c r="L2191" s="15"/>
      <c r="M2191" s="36" t="str">
        <f t="array" ref="M2191">IF($A2191="","",IF($L2191="Atendido",IFERROR($I2191*INDEX(Config!$B:$B,MATCH($C2191,Config!$A:$A,0)),0),0))</f>
        <v/>
      </c>
      <c r="N2191" s="36" t="str">
        <f t="shared" si="2"/>
        <v/>
      </c>
      <c r="O2191" s="36" t="str">
        <f t="shared" si="3"/>
        <v/>
      </c>
      <c r="P2191" s="15"/>
      <c r="Q2191" s="37" t="str">
        <f t="shared" si="4"/>
        <v/>
      </c>
      <c r="R2191" s="37" t="str">
        <f t="shared" si="5"/>
        <v/>
      </c>
      <c r="S2191" s="32" t="str">
        <f t="shared" si="6"/>
        <v/>
      </c>
      <c r="T2191" s="37" t="str">
        <f t="shared" si="7"/>
        <v/>
      </c>
      <c r="U2191" s="37" t="str">
        <f t="array" ref="U2191">IF($F2191="","",IFERROR(INDEX(Config!$F:$F,MATCH($F2191,Config!$D:$D,0)),0))</f>
        <v/>
      </c>
    </row>
    <row r="2192" ht="15.0" customHeight="1">
      <c r="A2192" s="34"/>
      <c r="B2192" s="35"/>
      <c r="C2192" s="15"/>
      <c r="D2192" s="15"/>
      <c r="E2192" s="15"/>
      <c r="F2192" s="15"/>
      <c r="G2192" s="36" t="str">
        <f t="array" ref="G2192">IF($F2192="","",IFERROR(INDEX(Config!$E:$E,MATCH($F2192,Config!$D:$D,0)),0))</f>
        <v/>
      </c>
      <c r="H2192" s="16"/>
      <c r="I2192" s="36" t="str">
        <f t="shared" si="1"/>
        <v/>
      </c>
      <c r="J2192" s="16"/>
      <c r="K2192" s="15"/>
      <c r="L2192" s="15"/>
      <c r="M2192" s="36" t="str">
        <f t="array" ref="M2192">IF($A2192="","",IF($L2192="Atendido",IFERROR($I2192*INDEX(Config!$B:$B,MATCH($C2192,Config!$A:$A,0)),0),0))</f>
        <v/>
      </c>
      <c r="N2192" s="36" t="str">
        <f t="shared" si="2"/>
        <v/>
      </c>
      <c r="O2192" s="36" t="str">
        <f t="shared" si="3"/>
        <v/>
      </c>
      <c r="P2192" s="15"/>
      <c r="Q2192" s="37" t="str">
        <f t="shared" si="4"/>
        <v/>
      </c>
      <c r="R2192" s="37" t="str">
        <f t="shared" si="5"/>
        <v/>
      </c>
      <c r="S2192" s="32" t="str">
        <f t="shared" si="6"/>
        <v/>
      </c>
      <c r="T2192" s="37" t="str">
        <f t="shared" si="7"/>
        <v/>
      </c>
      <c r="U2192" s="37" t="str">
        <f t="array" ref="U2192">IF($F2192="","",IFERROR(INDEX(Config!$F:$F,MATCH($F2192,Config!$D:$D,0)),0))</f>
        <v/>
      </c>
    </row>
    <row r="2193" ht="15.0" customHeight="1">
      <c r="A2193" s="34"/>
      <c r="B2193" s="35"/>
      <c r="C2193" s="15"/>
      <c r="D2193" s="15"/>
      <c r="E2193" s="15"/>
      <c r="F2193" s="15"/>
      <c r="G2193" s="36" t="str">
        <f t="array" ref="G2193">IF($F2193="","",IFERROR(INDEX(Config!$E:$E,MATCH($F2193,Config!$D:$D,0)),0))</f>
        <v/>
      </c>
      <c r="H2193" s="16"/>
      <c r="I2193" s="36" t="str">
        <f t="shared" si="1"/>
        <v/>
      </c>
      <c r="J2193" s="16"/>
      <c r="K2193" s="15"/>
      <c r="L2193" s="15"/>
      <c r="M2193" s="36" t="str">
        <f t="array" ref="M2193">IF($A2193="","",IF($L2193="Atendido",IFERROR($I2193*INDEX(Config!$B:$B,MATCH($C2193,Config!$A:$A,0)),0),0))</f>
        <v/>
      </c>
      <c r="N2193" s="36" t="str">
        <f t="shared" si="2"/>
        <v/>
      </c>
      <c r="O2193" s="36" t="str">
        <f t="shared" si="3"/>
        <v/>
      </c>
      <c r="P2193" s="15"/>
      <c r="Q2193" s="37" t="str">
        <f t="shared" si="4"/>
        <v/>
      </c>
      <c r="R2193" s="37" t="str">
        <f t="shared" si="5"/>
        <v/>
      </c>
      <c r="S2193" s="32" t="str">
        <f t="shared" si="6"/>
        <v/>
      </c>
      <c r="T2193" s="37" t="str">
        <f t="shared" si="7"/>
        <v/>
      </c>
      <c r="U2193" s="37" t="str">
        <f t="array" ref="U2193">IF($F2193="","",IFERROR(INDEX(Config!$F:$F,MATCH($F2193,Config!$D:$D,0)),0))</f>
        <v/>
      </c>
    </row>
    <row r="2194" ht="15.0" customHeight="1">
      <c r="A2194" s="34"/>
      <c r="B2194" s="35"/>
      <c r="C2194" s="15"/>
      <c r="D2194" s="15"/>
      <c r="E2194" s="15"/>
      <c r="F2194" s="15"/>
      <c r="G2194" s="36" t="str">
        <f t="array" ref="G2194">IF($F2194="","",IFERROR(INDEX(Config!$E:$E,MATCH($F2194,Config!$D:$D,0)),0))</f>
        <v/>
      </c>
      <c r="H2194" s="16"/>
      <c r="I2194" s="36" t="str">
        <f t="shared" si="1"/>
        <v/>
      </c>
      <c r="J2194" s="16"/>
      <c r="K2194" s="15"/>
      <c r="L2194" s="15"/>
      <c r="M2194" s="36" t="str">
        <f t="array" ref="M2194">IF($A2194="","",IF($L2194="Atendido",IFERROR($I2194*INDEX(Config!$B:$B,MATCH($C2194,Config!$A:$A,0)),0),0))</f>
        <v/>
      </c>
      <c r="N2194" s="36" t="str">
        <f t="shared" si="2"/>
        <v/>
      </c>
      <c r="O2194" s="36" t="str">
        <f t="shared" si="3"/>
        <v/>
      </c>
      <c r="P2194" s="15"/>
      <c r="Q2194" s="37" t="str">
        <f t="shared" si="4"/>
        <v/>
      </c>
      <c r="R2194" s="37" t="str">
        <f t="shared" si="5"/>
        <v/>
      </c>
      <c r="S2194" s="32" t="str">
        <f t="shared" si="6"/>
        <v/>
      </c>
      <c r="T2194" s="37" t="str">
        <f t="shared" si="7"/>
        <v/>
      </c>
      <c r="U2194" s="37" t="str">
        <f t="array" ref="U2194">IF($F2194="","",IFERROR(INDEX(Config!$F:$F,MATCH($F2194,Config!$D:$D,0)),0))</f>
        <v/>
      </c>
    </row>
    <row r="2195" ht="15.0" customHeight="1">
      <c r="A2195" s="34"/>
      <c r="B2195" s="35"/>
      <c r="C2195" s="15"/>
      <c r="D2195" s="15"/>
      <c r="E2195" s="15"/>
      <c r="F2195" s="15"/>
      <c r="G2195" s="36" t="str">
        <f t="array" ref="G2195">IF($F2195="","",IFERROR(INDEX(Config!$E:$E,MATCH($F2195,Config!$D:$D,0)),0))</f>
        <v/>
      </c>
      <c r="H2195" s="16"/>
      <c r="I2195" s="36" t="str">
        <f t="shared" si="1"/>
        <v/>
      </c>
      <c r="J2195" s="16"/>
      <c r="K2195" s="15"/>
      <c r="L2195" s="15"/>
      <c r="M2195" s="36" t="str">
        <f t="array" ref="M2195">IF($A2195="","",IF($L2195="Atendido",IFERROR($I2195*INDEX(Config!$B:$B,MATCH($C2195,Config!$A:$A,0)),0),0))</f>
        <v/>
      </c>
      <c r="N2195" s="36" t="str">
        <f t="shared" si="2"/>
        <v/>
      </c>
      <c r="O2195" s="36" t="str">
        <f t="shared" si="3"/>
        <v/>
      </c>
      <c r="P2195" s="15"/>
      <c r="Q2195" s="37" t="str">
        <f t="shared" si="4"/>
        <v/>
      </c>
      <c r="R2195" s="37" t="str">
        <f t="shared" si="5"/>
        <v/>
      </c>
      <c r="S2195" s="32" t="str">
        <f t="shared" si="6"/>
        <v/>
      </c>
      <c r="T2195" s="37" t="str">
        <f t="shared" si="7"/>
        <v/>
      </c>
      <c r="U2195" s="37" t="str">
        <f t="array" ref="U2195">IF($F2195="","",IFERROR(INDEX(Config!$F:$F,MATCH($F2195,Config!$D:$D,0)),0))</f>
        <v/>
      </c>
    </row>
    <row r="2196" ht="15.0" customHeight="1">
      <c r="A2196" s="34"/>
      <c r="B2196" s="35"/>
      <c r="C2196" s="15"/>
      <c r="D2196" s="15"/>
      <c r="E2196" s="15"/>
      <c r="F2196" s="15"/>
      <c r="G2196" s="36" t="str">
        <f t="array" ref="G2196">IF($F2196="","",IFERROR(INDEX(Config!$E:$E,MATCH($F2196,Config!$D:$D,0)),0))</f>
        <v/>
      </c>
      <c r="H2196" s="16"/>
      <c r="I2196" s="36" t="str">
        <f t="shared" si="1"/>
        <v/>
      </c>
      <c r="J2196" s="16"/>
      <c r="K2196" s="15"/>
      <c r="L2196" s="15"/>
      <c r="M2196" s="36" t="str">
        <f t="array" ref="M2196">IF($A2196="","",IF($L2196="Atendido",IFERROR($I2196*INDEX(Config!$B:$B,MATCH($C2196,Config!$A:$A,0)),0),0))</f>
        <v/>
      </c>
      <c r="N2196" s="36" t="str">
        <f t="shared" si="2"/>
        <v/>
      </c>
      <c r="O2196" s="36" t="str">
        <f t="shared" si="3"/>
        <v/>
      </c>
      <c r="P2196" s="15"/>
      <c r="Q2196" s="37" t="str">
        <f t="shared" si="4"/>
        <v/>
      </c>
      <c r="R2196" s="37" t="str">
        <f t="shared" si="5"/>
        <v/>
      </c>
      <c r="S2196" s="32" t="str">
        <f t="shared" si="6"/>
        <v/>
      </c>
      <c r="T2196" s="37" t="str">
        <f t="shared" si="7"/>
        <v/>
      </c>
      <c r="U2196" s="37" t="str">
        <f t="array" ref="U2196">IF($F2196="","",IFERROR(INDEX(Config!$F:$F,MATCH($F2196,Config!$D:$D,0)),0))</f>
        <v/>
      </c>
    </row>
    <row r="2197" ht="15.0" customHeight="1">
      <c r="A2197" s="34"/>
      <c r="B2197" s="35"/>
      <c r="C2197" s="15"/>
      <c r="D2197" s="15"/>
      <c r="E2197" s="15"/>
      <c r="F2197" s="15"/>
      <c r="G2197" s="36" t="str">
        <f t="array" ref="G2197">IF($F2197="","",IFERROR(INDEX(Config!$E:$E,MATCH($F2197,Config!$D:$D,0)),0))</f>
        <v/>
      </c>
      <c r="H2197" s="16"/>
      <c r="I2197" s="36" t="str">
        <f t="shared" si="1"/>
        <v/>
      </c>
      <c r="J2197" s="16"/>
      <c r="K2197" s="15"/>
      <c r="L2197" s="15"/>
      <c r="M2197" s="36" t="str">
        <f t="array" ref="M2197">IF($A2197="","",IF($L2197="Atendido",IFERROR($I2197*INDEX(Config!$B:$B,MATCH($C2197,Config!$A:$A,0)),0),0))</f>
        <v/>
      </c>
      <c r="N2197" s="36" t="str">
        <f t="shared" si="2"/>
        <v/>
      </c>
      <c r="O2197" s="36" t="str">
        <f t="shared" si="3"/>
        <v/>
      </c>
      <c r="P2197" s="15"/>
      <c r="Q2197" s="37" t="str">
        <f t="shared" si="4"/>
        <v/>
      </c>
      <c r="R2197" s="37" t="str">
        <f t="shared" si="5"/>
        <v/>
      </c>
      <c r="S2197" s="32" t="str">
        <f t="shared" si="6"/>
        <v/>
      </c>
      <c r="T2197" s="37" t="str">
        <f t="shared" si="7"/>
        <v/>
      </c>
      <c r="U2197" s="37" t="str">
        <f t="array" ref="U2197">IF($F2197="","",IFERROR(INDEX(Config!$F:$F,MATCH($F2197,Config!$D:$D,0)),0))</f>
        <v/>
      </c>
    </row>
    <row r="2198" ht="15.0" customHeight="1">
      <c r="A2198" s="34"/>
      <c r="B2198" s="35"/>
      <c r="C2198" s="15"/>
      <c r="D2198" s="15"/>
      <c r="E2198" s="15"/>
      <c r="F2198" s="15"/>
      <c r="G2198" s="36" t="str">
        <f t="array" ref="G2198">IF($F2198="","",IFERROR(INDEX(Config!$E:$E,MATCH($F2198,Config!$D:$D,0)),0))</f>
        <v/>
      </c>
      <c r="H2198" s="16"/>
      <c r="I2198" s="36" t="str">
        <f t="shared" si="1"/>
        <v/>
      </c>
      <c r="J2198" s="16"/>
      <c r="K2198" s="15"/>
      <c r="L2198" s="15"/>
      <c r="M2198" s="36" t="str">
        <f t="array" ref="M2198">IF($A2198="","",IF($L2198="Atendido",IFERROR($I2198*INDEX(Config!$B:$B,MATCH($C2198,Config!$A:$A,0)),0),0))</f>
        <v/>
      </c>
      <c r="N2198" s="36" t="str">
        <f t="shared" si="2"/>
        <v/>
      </c>
      <c r="O2198" s="36" t="str">
        <f t="shared" si="3"/>
        <v/>
      </c>
      <c r="P2198" s="15"/>
      <c r="Q2198" s="37" t="str">
        <f t="shared" si="4"/>
        <v/>
      </c>
      <c r="R2198" s="37" t="str">
        <f t="shared" si="5"/>
        <v/>
      </c>
      <c r="S2198" s="32" t="str">
        <f t="shared" si="6"/>
        <v/>
      </c>
      <c r="T2198" s="37" t="str">
        <f t="shared" si="7"/>
        <v/>
      </c>
      <c r="U2198" s="37" t="str">
        <f t="array" ref="U2198">IF($F2198="","",IFERROR(INDEX(Config!$F:$F,MATCH($F2198,Config!$D:$D,0)),0))</f>
        <v/>
      </c>
    </row>
    <row r="2199" ht="15.0" customHeight="1">
      <c r="A2199" s="34"/>
      <c r="B2199" s="35"/>
      <c r="C2199" s="15"/>
      <c r="D2199" s="15"/>
      <c r="E2199" s="15"/>
      <c r="F2199" s="15"/>
      <c r="G2199" s="36" t="str">
        <f t="array" ref="G2199">IF($F2199="","",IFERROR(INDEX(Config!$E:$E,MATCH($F2199,Config!$D:$D,0)),0))</f>
        <v/>
      </c>
      <c r="H2199" s="16"/>
      <c r="I2199" s="36" t="str">
        <f t="shared" si="1"/>
        <v/>
      </c>
      <c r="J2199" s="16"/>
      <c r="K2199" s="15"/>
      <c r="L2199" s="15"/>
      <c r="M2199" s="36" t="str">
        <f t="array" ref="M2199">IF($A2199="","",IF($L2199="Atendido",IFERROR($I2199*INDEX(Config!$B:$B,MATCH($C2199,Config!$A:$A,0)),0),0))</f>
        <v/>
      </c>
      <c r="N2199" s="36" t="str">
        <f t="shared" si="2"/>
        <v/>
      </c>
      <c r="O2199" s="36" t="str">
        <f t="shared" si="3"/>
        <v/>
      </c>
      <c r="P2199" s="15"/>
      <c r="Q2199" s="37" t="str">
        <f t="shared" si="4"/>
        <v/>
      </c>
      <c r="R2199" s="37" t="str">
        <f t="shared" si="5"/>
        <v/>
      </c>
      <c r="S2199" s="32" t="str">
        <f t="shared" si="6"/>
        <v/>
      </c>
      <c r="T2199" s="37" t="str">
        <f t="shared" si="7"/>
        <v/>
      </c>
      <c r="U2199" s="37" t="str">
        <f t="array" ref="U2199">IF($F2199="","",IFERROR(INDEX(Config!$F:$F,MATCH($F2199,Config!$D:$D,0)),0))</f>
        <v/>
      </c>
    </row>
    <row r="2200" ht="15.0" customHeight="1">
      <c r="A2200" s="34"/>
      <c r="B2200" s="35"/>
      <c r="C2200" s="15"/>
      <c r="D2200" s="15"/>
      <c r="E2200" s="15"/>
      <c r="F2200" s="15"/>
      <c r="G2200" s="36" t="str">
        <f t="array" ref="G2200">IF($F2200="","",IFERROR(INDEX(Config!$E:$E,MATCH($F2200,Config!$D:$D,0)),0))</f>
        <v/>
      </c>
      <c r="H2200" s="16"/>
      <c r="I2200" s="36" t="str">
        <f t="shared" si="1"/>
        <v/>
      </c>
      <c r="J2200" s="16"/>
      <c r="K2200" s="15"/>
      <c r="L2200" s="15"/>
      <c r="M2200" s="36" t="str">
        <f t="array" ref="M2200">IF($A2200="","",IF($L2200="Atendido",IFERROR($I2200*INDEX(Config!$B:$B,MATCH($C2200,Config!$A:$A,0)),0),0))</f>
        <v/>
      </c>
      <c r="N2200" s="36" t="str">
        <f t="shared" si="2"/>
        <v/>
      </c>
      <c r="O2200" s="36" t="str">
        <f t="shared" si="3"/>
        <v/>
      </c>
      <c r="P2200" s="15"/>
      <c r="Q2200" s="37" t="str">
        <f t="shared" si="4"/>
        <v/>
      </c>
      <c r="R2200" s="37" t="str">
        <f t="shared" si="5"/>
        <v/>
      </c>
      <c r="S2200" s="32" t="str">
        <f t="shared" si="6"/>
        <v/>
      </c>
      <c r="T2200" s="37" t="str">
        <f t="shared" si="7"/>
        <v/>
      </c>
      <c r="U2200" s="37" t="str">
        <f t="array" ref="U2200">IF($F2200="","",IFERROR(INDEX(Config!$F:$F,MATCH($F2200,Config!$D:$D,0)),0))</f>
        <v/>
      </c>
    </row>
    <row r="2201" ht="15.0" customHeight="1">
      <c r="A2201" s="34"/>
      <c r="B2201" s="35"/>
      <c r="C2201" s="15"/>
      <c r="D2201" s="15"/>
      <c r="E2201" s="15"/>
      <c r="F2201" s="15"/>
      <c r="G2201" s="36" t="str">
        <f t="array" ref="G2201">IF($F2201="","",IFERROR(INDEX(Config!$E:$E,MATCH($F2201,Config!$D:$D,0)),0))</f>
        <v/>
      </c>
      <c r="H2201" s="16"/>
      <c r="I2201" s="36" t="str">
        <f t="shared" si="1"/>
        <v/>
      </c>
      <c r="J2201" s="16"/>
      <c r="K2201" s="15"/>
      <c r="L2201" s="15"/>
      <c r="M2201" s="36" t="str">
        <f t="array" ref="M2201">IF($A2201="","",IF($L2201="Atendido",IFERROR($I2201*INDEX(Config!$B:$B,MATCH($C2201,Config!$A:$A,0)),0),0))</f>
        <v/>
      </c>
      <c r="N2201" s="36" t="str">
        <f t="shared" si="2"/>
        <v/>
      </c>
      <c r="O2201" s="36" t="str">
        <f t="shared" si="3"/>
        <v/>
      </c>
      <c r="P2201" s="15"/>
      <c r="Q2201" s="37" t="str">
        <f t="shared" si="4"/>
        <v/>
      </c>
      <c r="R2201" s="37" t="str">
        <f t="shared" si="5"/>
        <v/>
      </c>
      <c r="S2201" s="32" t="str">
        <f t="shared" si="6"/>
        <v/>
      </c>
      <c r="T2201" s="37" t="str">
        <f t="shared" si="7"/>
        <v/>
      </c>
      <c r="U2201" s="37" t="str">
        <f t="array" ref="U2201">IF($F2201="","",IFERROR(INDEX(Config!$F:$F,MATCH($F2201,Config!$D:$D,0)),0))</f>
        <v/>
      </c>
    </row>
    <row r="2202" ht="15.0" customHeight="1">
      <c r="A2202" s="34"/>
      <c r="B2202" s="35"/>
      <c r="C2202" s="15"/>
      <c r="D2202" s="15"/>
      <c r="E2202" s="15"/>
      <c r="F2202" s="15"/>
      <c r="G2202" s="36" t="str">
        <f t="array" ref="G2202">IF($F2202="","",IFERROR(INDEX(Config!$E:$E,MATCH($F2202,Config!$D:$D,0)),0))</f>
        <v/>
      </c>
      <c r="H2202" s="16"/>
      <c r="I2202" s="36" t="str">
        <f t="shared" si="1"/>
        <v/>
      </c>
      <c r="J2202" s="16"/>
      <c r="K2202" s="15"/>
      <c r="L2202" s="15"/>
      <c r="M2202" s="36" t="str">
        <f t="array" ref="M2202">IF($A2202="","",IF($L2202="Atendido",IFERROR($I2202*INDEX(Config!$B:$B,MATCH($C2202,Config!$A:$A,0)),0),0))</f>
        <v/>
      </c>
      <c r="N2202" s="36" t="str">
        <f t="shared" si="2"/>
        <v/>
      </c>
      <c r="O2202" s="36" t="str">
        <f t="shared" si="3"/>
        <v/>
      </c>
      <c r="P2202" s="15"/>
      <c r="Q2202" s="37" t="str">
        <f t="shared" si="4"/>
        <v/>
      </c>
      <c r="R2202" s="37" t="str">
        <f t="shared" si="5"/>
        <v/>
      </c>
      <c r="S2202" s="32" t="str">
        <f t="shared" si="6"/>
        <v/>
      </c>
      <c r="T2202" s="37" t="str">
        <f t="shared" si="7"/>
        <v/>
      </c>
      <c r="U2202" s="37" t="str">
        <f t="array" ref="U2202">IF($F2202="","",IFERROR(INDEX(Config!$F:$F,MATCH($F2202,Config!$D:$D,0)),0))</f>
        <v/>
      </c>
    </row>
    <row r="2203" ht="15.0" customHeight="1">
      <c r="A2203" s="34"/>
      <c r="B2203" s="35"/>
      <c r="C2203" s="15"/>
      <c r="D2203" s="15"/>
      <c r="E2203" s="15"/>
      <c r="F2203" s="15"/>
      <c r="G2203" s="36" t="str">
        <f t="array" ref="G2203">IF($F2203="","",IFERROR(INDEX(Config!$E:$E,MATCH($F2203,Config!$D:$D,0)),0))</f>
        <v/>
      </c>
      <c r="H2203" s="16"/>
      <c r="I2203" s="36" t="str">
        <f t="shared" si="1"/>
        <v/>
      </c>
      <c r="J2203" s="16"/>
      <c r="K2203" s="15"/>
      <c r="L2203" s="15"/>
      <c r="M2203" s="36" t="str">
        <f t="array" ref="M2203">IF($A2203="","",IF($L2203="Atendido",IFERROR($I2203*INDEX(Config!$B:$B,MATCH($C2203,Config!$A:$A,0)),0),0))</f>
        <v/>
      </c>
      <c r="N2203" s="36" t="str">
        <f t="shared" si="2"/>
        <v/>
      </c>
      <c r="O2203" s="36" t="str">
        <f t="shared" si="3"/>
        <v/>
      </c>
      <c r="P2203" s="15"/>
      <c r="Q2203" s="37" t="str">
        <f t="shared" si="4"/>
        <v/>
      </c>
      <c r="R2203" s="37" t="str">
        <f t="shared" si="5"/>
        <v/>
      </c>
      <c r="S2203" s="32" t="str">
        <f t="shared" si="6"/>
        <v/>
      </c>
      <c r="T2203" s="37" t="str">
        <f t="shared" si="7"/>
        <v/>
      </c>
      <c r="U2203" s="37" t="str">
        <f t="array" ref="U2203">IF($F2203="","",IFERROR(INDEX(Config!$F:$F,MATCH($F2203,Config!$D:$D,0)),0))</f>
        <v/>
      </c>
    </row>
    <row r="2204" ht="15.0" customHeight="1">
      <c r="A2204" s="34"/>
      <c r="B2204" s="35"/>
      <c r="C2204" s="15"/>
      <c r="D2204" s="15"/>
      <c r="E2204" s="15"/>
      <c r="F2204" s="15"/>
      <c r="G2204" s="36" t="str">
        <f t="array" ref="G2204">IF($F2204="","",IFERROR(INDEX(Config!$E:$E,MATCH($F2204,Config!$D:$D,0)),0))</f>
        <v/>
      </c>
      <c r="H2204" s="16"/>
      <c r="I2204" s="36" t="str">
        <f t="shared" si="1"/>
        <v/>
      </c>
      <c r="J2204" s="16"/>
      <c r="K2204" s="15"/>
      <c r="L2204" s="15"/>
      <c r="M2204" s="36" t="str">
        <f t="array" ref="M2204">IF($A2204="","",IF($L2204="Atendido",IFERROR($I2204*INDEX(Config!$B:$B,MATCH($C2204,Config!$A:$A,0)),0),0))</f>
        <v/>
      </c>
      <c r="N2204" s="36" t="str">
        <f t="shared" si="2"/>
        <v/>
      </c>
      <c r="O2204" s="36" t="str">
        <f t="shared" si="3"/>
        <v/>
      </c>
      <c r="P2204" s="15"/>
      <c r="Q2204" s="37" t="str">
        <f t="shared" si="4"/>
        <v/>
      </c>
      <c r="R2204" s="37" t="str">
        <f t="shared" si="5"/>
        <v/>
      </c>
      <c r="S2204" s="32" t="str">
        <f t="shared" si="6"/>
        <v/>
      </c>
      <c r="T2204" s="37" t="str">
        <f t="shared" si="7"/>
        <v/>
      </c>
      <c r="U2204" s="37" t="str">
        <f t="array" ref="U2204">IF($F2204="","",IFERROR(INDEX(Config!$F:$F,MATCH($F2204,Config!$D:$D,0)),0))</f>
        <v/>
      </c>
    </row>
    <row r="2205" ht="15.0" customHeight="1">
      <c r="A2205" s="34"/>
      <c r="B2205" s="35"/>
      <c r="C2205" s="15"/>
      <c r="D2205" s="15"/>
      <c r="E2205" s="15"/>
      <c r="F2205" s="15"/>
      <c r="G2205" s="36" t="str">
        <f t="array" ref="G2205">IF($F2205="","",IFERROR(INDEX(Config!$E:$E,MATCH($F2205,Config!$D:$D,0)),0))</f>
        <v/>
      </c>
      <c r="H2205" s="16"/>
      <c r="I2205" s="36" t="str">
        <f t="shared" si="1"/>
        <v/>
      </c>
      <c r="J2205" s="16"/>
      <c r="K2205" s="15"/>
      <c r="L2205" s="15"/>
      <c r="M2205" s="36" t="str">
        <f t="array" ref="M2205">IF($A2205="","",IF($L2205="Atendido",IFERROR($I2205*INDEX(Config!$B:$B,MATCH($C2205,Config!$A:$A,0)),0),0))</f>
        <v/>
      </c>
      <c r="N2205" s="36" t="str">
        <f t="shared" si="2"/>
        <v/>
      </c>
      <c r="O2205" s="36" t="str">
        <f t="shared" si="3"/>
        <v/>
      </c>
      <c r="P2205" s="15"/>
      <c r="Q2205" s="37" t="str">
        <f t="shared" si="4"/>
        <v/>
      </c>
      <c r="R2205" s="37" t="str">
        <f t="shared" si="5"/>
        <v/>
      </c>
      <c r="S2205" s="32" t="str">
        <f t="shared" si="6"/>
        <v/>
      </c>
      <c r="T2205" s="37" t="str">
        <f t="shared" si="7"/>
        <v/>
      </c>
      <c r="U2205" s="37" t="str">
        <f t="array" ref="U2205">IF($F2205="","",IFERROR(INDEX(Config!$F:$F,MATCH($F2205,Config!$D:$D,0)),0))</f>
        <v/>
      </c>
    </row>
    <row r="2206" ht="15.0" customHeight="1">
      <c r="A2206" s="34"/>
      <c r="B2206" s="35"/>
      <c r="C2206" s="15"/>
      <c r="D2206" s="15"/>
      <c r="E2206" s="15"/>
      <c r="F2206" s="15"/>
      <c r="G2206" s="36" t="str">
        <f t="array" ref="G2206">IF($F2206="","",IFERROR(INDEX(Config!$E:$E,MATCH($F2206,Config!$D:$D,0)),0))</f>
        <v/>
      </c>
      <c r="H2206" s="16"/>
      <c r="I2206" s="36" t="str">
        <f t="shared" si="1"/>
        <v/>
      </c>
      <c r="J2206" s="16"/>
      <c r="K2206" s="15"/>
      <c r="L2206" s="15"/>
      <c r="M2206" s="36" t="str">
        <f t="array" ref="M2206">IF($A2206="","",IF($L2206="Atendido",IFERROR($I2206*INDEX(Config!$B:$B,MATCH($C2206,Config!$A:$A,0)),0),0))</f>
        <v/>
      </c>
      <c r="N2206" s="36" t="str">
        <f t="shared" si="2"/>
        <v/>
      </c>
      <c r="O2206" s="36" t="str">
        <f t="shared" si="3"/>
        <v/>
      </c>
      <c r="P2206" s="15"/>
      <c r="Q2206" s="37" t="str">
        <f t="shared" si="4"/>
        <v/>
      </c>
      <c r="R2206" s="37" t="str">
        <f t="shared" si="5"/>
        <v/>
      </c>
      <c r="S2206" s="32" t="str">
        <f t="shared" si="6"/>
        <v/>
      </c>
      <c r="T2206" s="37" t="str">
        <f t="shared" si="7"/>
        <v/>
      </c>
      <c r="U2206" s="37" t="str">
        <f t="array" ref="U2206">IF($F2206="","",IFERROR(INDEX(Config!$F:$F,MATCH($F2206,Config!$D:$D,0)),0))</f>
        <v/>
      </c>
    </row>
    <row r="2207" ht="15.0" customHeight="1">
      <c r="A2207" s="34"/>
      <c r="B2207" s="35"/>
      <c r="C2207" s="15"/>
      <c r="D2207" s="15"/>
      <c r="E2207" s="15"/>
      <c r="F2207" s="15"/>
      <c r="G2207" s="36" t="str">
        <f t="array" ref="G2207">IF($F2207="","",IFERROR(INDEX(Config!$E:$E,MATCH($F2207,Config!$D:$D,0)),0))</f>
        <v/>
      </c>
      <c r="H2207" s="16"/>
      <c r="I2207" s="36" t="str">
        <f t="shared" si="1"/>
        <v/>
      </c>
      <c r="J2207" s="16"/>
      <c r="K2207" s="15"/>
      <c r="L2207" s="15"/>
      <c r="M2207" s="36" t="str">
        <f t="array" ref="M2207">IF($A2207="","",IF($L2207="Atendido",IFERROR($I2207*INDEX(Config!$B:$B,MATCH($C2207,Config!$A:$A,0)),0),0))</f>
        <v/>
      </c>
      <c r="N2207" s="36" t="str">
        <f t="shared" si="2"/>
        <v/>
      </c>
      <c r="O2207" s="36" t="str">
        <f t="shared" si="3"/>
        <v/>
      </c>
      <c r="P2207" s="15"/>
      <c r="Q2207" s="37" t="str">
        <f t="shared" si="4"/>
        <v/>
      </c>
      <c r="R2207" s="37" t="str">
        <f t="shared" si="5"/>
        <v/>
      </c>
      <c r="S2207" s="32" t="str">
        <f t="shared" si="6"/>
        <v/>
      </c>
      <c r="T2207" s="37" t="str">
        <f t="shared" si="7"/>
        <v/>
      </c>
      <c r="U2207" s="37" t="str">
        <f t="array" ref="U2207">IF($F2207="","",IFERROR(INDEX(Config!$F:$F,MATCH($F2207,Config!$D:$D,0)),0))</f>
        <v/>
      </c>
    </row>
    <row r="2208" ht="15.0" customHeight="1">
      <c r="A2208" s="34"/>
      <c r="B2208" s="35"/>
      <c r="C2208" s="15"/>
      <c r="D2208" s="15"/>
      <c r="E2208" s="15"/>
      <c r="F2208" s="15"/>
      <c r="G2208" s="36" t="str">
        <f t="array" ref="G2208">IF($F2208="","",IFERROR(INDEX(Config!$E:$E,MATCH($F2208,Config!$D:$D,0)),0))</f>
        <v/>
      </c>
      <c r="H2208" s="16"/>
      <c r="I2208" s="36" t="str">
        <f t="shared" si="1"/>
        <v/>
      </c>
      <c r="J2208" s="16"/>
      <c r="K2208" s="15"/>
      <c r="L2208" s="15"/>
      <c r="M2208" s="36" t="str">
        <f t="array" ref="M2208">IF($A2208="","",IF($L2208="Atendido",IFERROR($I2208*INDEX(Config!$B:$B,MATCH($C2208,Config!$A:$A,0)),0),0))</f>
        <v/>
      </c>
      <c r="N2208" s="36" t="str">
        <f t="shared" si="2"/>
        <v/>
      </c>
      <c r="O2208" s="36" t="str">
        <f t="shared" si="3"/>
        <v/>
      </c>
      <c r="P2208" s="15"/>
      <c r="Q2208" s="37" t="str">
        <f t="shared" si="4"/>
        <v/>
      </c>
      <c r="R2208" s="37" t="str">
        <f t="shared" si="5"/>
        <v/>
      </c>
      <c r="S2208" s="32" t="str">
        <f t="shared" si="6"/>
        <v/>
      </c>
      <c r="T2208" s="37" t="str">
        <f t="shared" si="7"/>
        <v/>
      </c>
      <c r="U2208" s="37" t="str">
        <f t="array" ref="U2208">IF($F2208="","",IFERROR(INDEX(Config!$F:$F,MATCH($F2208,Config!$D:$D,0)),0))</f>
        <v/>
      </c>
    </row>
    <row r="2209" ht="15.0" customHeight="1">
      <c r="A2209" s="34"/>
      <c r="B2209" s="35"/>
      <c r="C2209" s="15"/>
      <c r="D2209" s="15"/>
      <c r="E2209" s="15"/>
      <c r="F2209" s="15"/>
      <c r="G2209" s="36" t="str">
        <f t="array" ref="G2209">IF($F2209="","",IFERROR(INDEX(Config!$E:$E,MATCH($F2209,Config!$D:$D,0)),0))</f>
        <v/>
      </c>
      <c r="H2209" s="16"/>
      <c r="I2209" s="36" t="str">
        <f t="shared" si="1"/>
        <v/>
      </c>
      <c r="J2209" s="16"/>
      <c r="K2209" s="15"/>
      <c r="L2209" s="15"/>
      <c r="M2209" s="36" t="str">
        <f t="array" ref="M2209">IF($A2209="","",IF($L2209="Atendido",IFERROR($I2209*INDEX(Config!$B:$B,MATCH($C2209,Config!$A:$A,0)),0),0))</f>
        <v/>
      </c>
      <c r="N2209" s="36" t="str">
        <f t="shared" si="2"/>
        <v/>
      </c>
      <c r="O2209" s="36" t="str">
        <f t="shared" si="3"/>
        <v/>
      </c>
      <c r="P2209" s="15"/>
      <c r="Q2209" s="37" t="str">
        <f t="shared" si="4"/>
        <v/>
      </c>
      <c r="R2209" s="37" t="str">
        <f t="shared" si="5"/>
        <v/>
      </c>
      <c r="S2209" s="32" t="str">
        <f t="shared" si="6"/>
        <v/>
      </c>
      <c r="T2209" s="37" t="str">
        <f t="shared" si="7"/>
        <v/>
      </c>
      <c r="U2209" s="37" t="str">
        <f t="array" ref="U2209">IF($F2209="","",IFERROR(INDEX(Config!$F:$F,MATCH($F2209,Config!$D:$D,0)),0))</f>
        <v/>
      </c>
    </row>
    <row r="2210" ht="15.0" customHeight="1">
      <c r="A2210" s="34"/>
      <c r="B2210" s="35"/>
      <c r="C2210" s="15"/>
      <c r="D2210" s="15"/>
      <c r="E2210" s="15"/>
      <c r="F2210" s="15"/>
      <c r="G2210" s="36" t="str">
        <f t="array" ref="G2210">IF($F2210="","",IFERROR(INDEX(Config!$E:$E,MATCH($F2210,Config!$D:$D,0)),0))</f>
        <v/>
      </c>
      <c r="H2210" s="16"/>
      <c r="I2210" s="36" t="str">
        <f t="shared" si="1"/>
        <v/>
      </c>
      <c r="J2210" s="16"/>
      <c r="K2210" s="15"/>
      <c r="L2210" s="15"/>
      <c r="M2210" s="36" t="str">
        <f t="array" ref="M2210">IF($A2210="","",IF($L2210="Atendido",IFERROR($I2210*INDEX(Config!$B:$B,MATCH($C2210,Config!$A:$A,0)),0),0))</f>
        <v/>
      </c>
      <c r="N2210" s="36" t="str">
        <f t="shared" si="2"/>
        <v/>
      </c>
      <c r="O2210" s="36" t="str">
        <f t="shared" si="3"/>
        <v/>
      </c>
      <c r="P2210" s="15"/>
      <c r="Q2210" s="37" t="str">
        <f t="shared" si="4"/>
        <v/>
      </c>
      <c r="R2210" s="37" t="str">
        <f t="shared" si="5"/>
        <v/>
      </c>
      <c r="S2210" s="32" t="str">
        <f t="shared" si="6"/>
        <v/>
      </c>
      <c r="T2210" s="37" t="str">
        <f t="shared" si="7"/>
        <v/>
      </c>
      <c r="U2210" s="37" t="str">
        <f t="array" ref="U2210">IF($F2210="","",IFERROR(INDEX(Config!$F:$F,MATCH($F2210,Config!$D:$D,0)),0))</f>
        <v/>
      </c>
    </row>
    <row r="2211" ht="15.0" customHeight="1">
      <c r="A2211" s="34"/>
      <c r="B2211" s="35"/>
      <c r="C2211" s="15"/>
      <c r="D2211" s="15"/>
      <c r="E2211" s="15"/>
      <c r="F2211" s="15"/>
      <c r="G2211" s="36" t="str">
        <f t="array" ref="G2211">IF($F2211="","",IFERROR(INDEX(Config!$E:$E,MATCH($F2211,Config!$D:$D,0)),0))</f>
        <v/>
      </c>
      <c r="H2211" s="16"/>
      <c r="I2211" s="36" t="str">
        <f t="shared" si="1"/>
        <v/>
      </c>
      <c r="J2211" s="16"/>
      <c r="K2211" s="15"/>
      <c r="L2211" s="15"/>
      <c r="M2211" s="36" t="str">
        <f t="array" ref="M2211">IF($A2211="","",IF($L2211="Atendido",IFERROR($I2211*INDEX(Config!$B:$B,MATCH($C2211,Config!$A:$A,0)),0),0))</f>
        <v/>
      </c>
      <c r="N2211" s="36" t="str">
        <f t="shared" si="2"/>
        <v/>
      </c>
      <c r="O2211" s="36" t="str">
        <f t="shared" si="3"/>
        <v/>
      </c>
      <c r="P2211" s="15"/>
      <c r="Q2211" s="37" t="str">
        <f t="shared" si="4"/>
        <v/>
      </c>
      <c r="R2211" s="37" t="str">
        <f t="shared" si="5"/>
        <v/>
      </c>
      <c r="S2211" s="32" t="str">
        <f t="shared" si="6"/>
        <v/>
      </c>
      <c r="T2211" s="37" t="str">
        <f t="shared" si="7"/>
        <v/>
      </c>
      <c r="U2211" s="37" t="str">
        <f t="array" ref="U2211">IF($F2211="","",IFERROR(INDEX(Config!$F:$F,MATCH($F2211,Config!$D:$D,0)),0))</f>
        <v/>
      </c>
    </row>
    <row r="2212" ht="15.0" customHeight="1">
      <c r="A2212" s="34"/>
      <c r="B2212" s="35"/>
      <c r="C2212" s="15"/>
      <c r="D2212" s="15"/>
      <c r="E2212" s="15"/>
      <c r="F2212" s="15"/>
      <c r="G2212" s="36" t="str">
        <f t="array" ref="G2212">IF($F2212="","",IFERROR(INDEX(Config!$E:$E,MATCH($F2212,Config!$D:$D,0)),0))</f>
        <v/>
      </c>
      <c r="H2212" s="16"/>
      <c r="I2212" s="36" t="str">
        <f t="shared" si="1"/>
        <v/>
      </c>
      <c r="J2212" s="16"/>
      <c r="K2212" s="15"/>
      <c r="L2212" s="15"/>
      <c r="M2212" s="36" t="str">
        <f t="array" ref="M2212">IF($A2212="","",IF($L2212="Atendido",IFERROR($I2212*INDEX(Config!$B:$B,MATCH($C2212,Config!$A:$A,0)),0),0))</f>
        <v/>
      </c>
      <c r="N2212" s="36" t="str">
        <f t="shared" si="2"/>
        <v/>
      </c>
      <c r="O2212" s="36" t="str">
        <f t="shared" si="3"/>
        <v/>
      </c>
      <c r="P2212" s="15"/>
      <c r="Q2212" s="37" t="str">
        <f t="shared" si="4"/>
        <v/>
      </c>
      <c r="R2212" s="37" t="str">
        <f t="shared" si="5"/>
        <v/>
      </c>
      <c r="S2212" s="32" t="str">
        <f t="shared" si="6"/>
        <v/>
      </c>
      <c r="T2212" s="37" t="str">
        <f t="shared" si="7"/>
        <v/>
      </c>
      <c r="U2212" s="37" t="str">
        <f t="array" ref="U2212">IF($F2212="","",IFERROR(INDEX(Config!$F:$F,MATCH($F2212,Config!$D:$D,0)),0))</f>
        <v/>
      </c>
    </row>
    <row r="2213" ht="15.0" customHeight="1">
      <c r="A2213" s="34"/>
      <c r="B2213" s="35"/>
      <c r="C2213" s="15"/>
      <c r="D2213" s="15"/>
      <c r="E2213" s="15"/>
      <c r="F2213" s="15"/>
      <c r="G2213" s="36" t="str">
        <f t="array" ref="G2213">IF($F2213="","",IFERROR(INDEX(Config!$E:$E,MATCH($F2213,Config!$D:$D,0)),0))</f>
        <v/>
      </c>
      <c r="H2213" s="16"/>
      <c r="I2213" s="36" t="str">
        <f t="shared" si="1"/>
        <v/>
      </c>
      <c r="J2213" s="16"/>
      <c r="K2213" s="15"/>
      <c r="L2213" s="15"/>
      <c r="M2213" s="36" t="str">
        <f t="array" ref="M2213">IF($A2213="","",IF($L2213="Atendido",IFERROR($I2213*INDEX(Config!$B:$B,MATCH($C2213,Config!$A:$A,0)),0),0))</f>
        <v/>
      </c>
      <c r="N2213" s="36" t="str">
        <f t="shared" si="2"/>
        <v/>
      </c>
      <c r="O2213" s="36" t="str">
        <f t="shared" si="3"/>
        <v/>
      </c>
      <c r="P2213" s="15"/>
      <c r="Q2213" s="37" t="str">
        <f t="shared" si="4"/>
        <v/>
      </c>
      <c r="R2213" s="37" t="str">
        <f t="shared" si="5"/>
        <v/>
      </c>
      <c r="S2213" s="32" t="str">
        <f t="shared" si="6"/>
        <v/>
      </c>
      <c r="T2213" s="37" t="str">
        <f t="shared" si="7"/>
        <v/>
      </c>
      <c r="U2213" s="37" t="str">
        <f t="array" ref="U2213">IF($F2213="","",IFERROR(INDEX(Config!$F:$F,MATCH($F2213,Config!$D:$D,0)),0))</f>
        <v/>
      </c>
    </row>
    <row r="2214" ht="15.0" customHeight="1">
      <c r="A2214" s="34"/>
      <c r="B2214" s="35"/>
      <c r="C2214" s="15"/>
      <c r="D2214" s="15"/>
      <c r="E2214" s="15"/>
      <c r="F2214" s="15"/>
      <c r="G2214" s="36" t="str">
        <f t="array" ref="G2214">IF($F2214="","",IFERROR(INDEX(Config!$E:$E,MATCH($F2214,Config!$D:$D,0)),0))</f>
        <v/>
      </c>
      <c r="H2214" s="16"/>
      <c r="I2214" s="36" t="str">
        <f t="shared" si="1"/>
        <v/>
      </c>
      <c r="J2214" s="16"/>
      <c r="K2214" s="15"/>
      <c r="L2214" s="15"/>
      <c r="M2214" s="36" t="str">
        <f t="array" ref="M2214">IF($A2214="","",IF($L2214="Atendido",IFERROR($I2214*INDEX(Config!$B:$B,MATCH($C2214,Config!$A:$A,0)),0),0))</f>
        <v/>
      </c>
      <c r="N2214" s="36" t="str">
        <f t="shared" si="2"/>
        <v/>
      </c>
      <c r="O2214" s="36" t="str">
        <f t="shared" si="3"/>
        <v/>
      </c>
      <c r="P2214" s="15"/>
      <c r="Q2214" s="37" t="str">
        <f t="shared" si="4"/>
        <v/>
      </c>
      <c r="R2214" s="37" t="str">
        <f t="shared" si="5"/>
        <v/>
      </c>
      <c r="S2214" s="32" t="str">
        <f t="shared" si="6"/>
        <v/>
      </c>
      <c r="T2214" s="37" t="str">
        <f t="shared" si="7"/>
        <v/>
      </c>
      <c r="U2214" s="37" t="str">
        <f t="array" ref="U2214">IF($F2214="","",IFERROR(INDEX(Config!$F:$F,MATCH($F2214,Config!$D:$D,0)),0))</f>
        <v/>
      </c>
    </row>
    <row r="2215" ht="15.0" customHeight="1">
      <c r="A2215" s="34"/>
      <c r="B2215" s="35"/>
      <c r="C2215" s="15"/>
      <c r="D2215" s="15"/>
      <c r="E2215" s="15"/>
      <c r="F2215" s="15"/>
      <c r="G2215" s="36" t="str">
        <f t="array" ref="G2215">IF($F2215="","",IFERROR(INDEX(Config!$E:$E,MATCH($F2215,Config!$D:$D,0)),0))</f>
        <v/>
      </c>
      <c r="H2215" s="16"/>
      <c r="I2215" s="36" t="str">
        <f t="shared" si="1"/>
        <v/>
      </c>
      <c r="J2215" s="16"/>
      <c r="K2215" s="15"/>
      <c r="L2215" s="15"/>
      <c r="M2215" s="36" t="str">
        <f t="array" ref="M2215">IF($A2215="","",IF($L2215="Atendido",IFERROR($I2215*INDEX(Config!$B:$B,MATCH($C2215,Config!$A:$A,0)),0),0))</f>
        <v/>
      </c>
      <c r="N2215" s="36" t="str">
        <f t="shared" si="2"/>
        <v/>
      </c>
      <c r="O2215" s="36" t="str">
        <f t="shared" si="3"/>
        <v/>
      </c>
      <c r="P2215" s="15"/>
      <c r="Q2215" s="37" t="str">
        <f t="shared" si="4"/>
        <v/>
      </c>
      <c r="R2215" s="37" t="str">
        <f t="shared" si="5"/>
        <v/>
      </c>
      <c r="S2215" s="32" t="str">
        <f t="shared" si="6"/>
        <v/>
      </c>
      <c r="T2215" s="37" t="str">
        <f t="shared" si="7"/>
        <v/>
      </c>
      <c r="U2215" s="37" t="str">
        <f t="array" ref="U2215">IF($F2215="","",IFERROR(INDEX(Config!$F:$F,MATCH($F2215,Config!$D:$D,0)),0))</f>
        <v/>
      </c>
    </row>
    <row r="2216" ht="15.0" customHeight="1">
      <c r="A2216" s="34"/>
      <c r="B2216" s="35"/>
      <c r="C2216" s="15"/>
      <c r="D2216" s="15"/>
      <c r="E2216" s="15"/>
      <c r="F2216" s="15"/>
      <c r="G2216" s="36" t="str">
        <f t="array" ref="G2216">IF($F2216="","",IFERROR(INDEX(Config!$E:$E,MATCH($F2216,Config!$D:$D,0)),0))</f>
        <v/>
      </c>
      <c r="H2216" s="16"/>
      <c r="I2216" s="36" t="str">
        <f t="shared" si="1"/>
        <v/>
      </c>
      <c r="J2216" s="16"/>
      <c r="K2216" s="15"/>
      <c r="L2216" s="15"/>
      <c r="M2216" s="36" t="str">
        <f t="array" ref="M2216">IF($A2216="","",IF($L2216="Atendido",IFERROR($I2216*INDEX(Config!$B:$B,MATCH($C2216,Config!$A:$A,0)),0),0))</f>
        <v/>
      </c>
      <c r="N2216" s="36" t="str">
        <f t="shared" si="2"/>
        <v/>
      </c>
      <c r="O2216" s="36" t="str">
        <f t="shared" si="3"/>
        <v/>
      </c>
      <c r="P2216" s="15"/>
      <c r="Q2216" s="37" t="str">
        <f t="shared" si="4"/>
        <v/>
      </c>
      <c r="R2216" s="37" t="str">
        <f t="shared" si="5"/>
        <v/>
      </c>
      <c r="S2216" s="32" t="str">
        <f t="shared" si="6"/>
        <v/>
      </c>
      <c r="T2216" s="37" t="str">
        <f t="shared" si="7"/>
        <v/>
      </c>
      <c r="U2216" s="37" t="str">
        <f t="array" ref="U2216">IF($F2216="","",IFERROR(INDEX(Config!$F:$F,MATCH($F2216,Config!$D:$D,0)),0))</f>
        <v/>
      </c>
    </row>
    <row r="2217" ht="15.0" customHeight="1">
      <c r="A2217" s="34"/>
      <c r="B2217" s="35"/>
      <c r="C2217" s="15"/>
      <c r="D2217" s="15"/>
      <c r="E2217" s="15"/>
      <c r="F2217" s="15"/>
      <c r="G2217" s="36" t="str">
        <f t="array" ref="G2217">IF($F2217="","",IFERROR(INDEX(Config!$E:$E,MATCH($F2217,Config!$D:$D,0)),0))</f>
        <v/>
      </c>
      <c r="H2217" s="16"/>
      <c r="I2217" s="36" t="str">
        <f t="shared" si="1"/>
        <v/>
      </c>
      <c r="J2217" s="16"/>
      <c r="K2217" s="15"/>
      <c r="L2217" s="15"/>
      <c r="M2217" s="36" t="str">
        <f t="array" ref="M2217">IF($A2217="","",IF($L2217="Atendido",IFERROR($I2217*INDEX(Config!$B:$B,MATCH($C2217,Config!$A:$A,0)),0),0))</f>
        <v/>
      </c>
      <c r="N2217" s="36" t="str">
        <f t="shared" si="2"/>
        <v/>
      </c>
      <c r="O2217" s="36" t="str">
        <f t="shared" si="3"/>
        <v/>
      </c>
      <c r="P2217" s="15"/>
      <c r="Q2217" s="37" t="str">
        <f t="shared" si="4"/>
        <v/>
      </c>
      <c r="R2217" s="37" t="str">
        <f t="shared" si="5"/>
        <v/>
      </c>
      <c r="S2217" s="32" t="str">
        <f t="shared" si="6"/>
        <v/>
      </c>
      <c r="T2217" s="37" t="str">
        <f t="shared" si="7"/>
        <v/>
      </c>
      <c r="U2217" s="37" t="str">
        <f t="array" ref="U2217">IF($F2217="","",IFERROR(INDEX(Config!$F:$F,MATCH($F2217,Config!$D:$D,0)),0))</f>
        <v/>
      </c>
    </row>
    <row r="2218" ht="15.0" customHeight="1">
      <c r="A2218" s="34"/>
      <c r="B2218" s="35"/>
      <c r="C2218" s="15"/>
      <c r="D2218" s="15"/>
      <c r="E2218" s="15"/>
      <c r="F2218" s="15"/>
      <c r="G2218" s="36" t="str">
        <f t="array" ref="G2218">IF($F2218="","",IFERROR(INDEX(Config!$E:$E,MATCH($F2218,Config!$D:$D,0)),0))</f>
        <v/>
      </c>
      <c r="H2218" s="16"/>
      <c r="I2218" s="36" t="str">
        <f t="shared" si="1"/>
        <v/>
      </c>
      <c r="J2218" s="16"/>
      <c r="K2218" s="15"/>
      <c r="L2218" s="15"/>
      <c r="M2218" s="36" t="str">
        <f t="array" ref="M2218">IF($A2218="","",IF($L2218="Atendido",IFERROR($I2218*INDEX(Config!$B:$B,MATCH($C2218,Config!$A:$A,0)),0),0))</f>
        <v/>
      </c>
      <c r="N2218" s="36" t="str">
        <f t="shared" si="2"/>
        <v/>
      </c>
      <c r="O2218" s="36" t="str">
        <f t="shared" si="3"/>
        <v/>
      </c>
      <c r="P2218" s="15"/>
      <c r="Q2218" s="37" t="str">
        <f t="shared" si="4"/>
        <v/>
      </c>
      <c r="R2218" s="37" t="str">
        <f t="shared" si="5"/>
        <v/>
      </c>
      <c r="S2218" s="32" t="str">
        <f t="shared" si="6"/>
        <v/>
      </c>
      <c r="T2218" s="37" t="str">
        <f t="shared" si="7"/>
        <v/>
      </c>
      <c r="U2218" s="37" t="str">
        <f t="array" ref="U2218">IF($F2218="","",IFERROR(INDEX(Config!$F:$F,MATCH($F2218,Config!$D:$D,0)),0))</f>
        <v/>
      </c>
    </row>
    <row r="2219" ht="15.0" customHeight="1">
      <c r="A2219" s="34"/>
      <c r="B2219" s="35"/>
      <c r="C2219" s="15"/>
      <c r="D2219" s="15"/>
      <c r="E2219" s="15"/>
      <c r="F2219" s="15"/>
      <c r="G2219" s="36" t="str">
        <f t="array" ref="G2219">IF($F2219="","",IFERROR(INDEX(Config!$E:$E,MATCH($F2219,Config!$D:$D,0)),0))</f>
        <v/>
      </c>
      <c r="H2219" s="16"/>
      <c r="I2219" s="36" t="str">
        <f t="shared" si="1"/>
        <v/>
      </c>
      <c r="J2219" s="16"/>
      <c r="K2219" s="15"/>
      <c r="L2219" s="15"/>
      <c r="M2219" s="36" t="str">
        <f t="array" ref="M2219">IF($A2219="","",IF($L2219="Atendido",IFERROR($I2219*INDEX(Config!$B:$B,MATCH($C2219,Config!$A:$A,0)),0),0))</f>
        <v/>
      </c>
      <c r="N2219" s="36" t="str">
        <f t="shared" si="2"/>
        <v/>
      </c>
      <c r="O2219" s="36" t="str">
        <f t="shared" si="3"/>
        <v/>
      </c>
      <c r="P2219" s="15"/>
      <c r="Q2219" s="37" t="str">
        <f t="shared" si="4"/>
        <v/>
      </c>
      <c r="R2219" s="37" t="str">
        <f t="shared" si="5"/>
        <v/>
      </c>
      <c r="S2219" s="32" t="str">
        <f t="shared" si="6"/>
        <v/>
      </c>
      <c r="T2219" s="37" t="str">
        <f t="shared" si="7"/>
        <v/>
      </c>
      <c r="U2219" s="37" t="str">
        <f t="array" ref="U2219">IF($F2219="","",IFERROR(INDEX(Config!$F:$F,MATCH($F2219,Config!$D:$D,0)),0))</f>
        <v/>
      </c>
    </row>
    <row r="2220" ht="15.0" customHeight="1">
      <c r="A2220" s="34"/>
      <c r="B2220" s="35"/>
      <c r="C2220" s="15"/>
      <c r="D2220" s="15"/>
      <c r="E2220" s="15"/>
      <c r="F2220" s="15"/>
      <c r="G2220" s="36" t="str">
        <f t="array" ref="G2220">IF($F2220="","",IFERROR(INDEX(Config!$E:$E,MATCH($F2220,Config!$D:$D,0)),0))</f>
        <v/>
      </c>
      <c r="H2220" s="16"/>
      <c r="I2220" s="36" t="str">
        <f t="shared" si="1"/>
        <v/>
      </c>
      <c r="J2220" s="16"/>
      <c r="K2220" s="15"/>
      <c r="L2220" s="15"/>
      <c r="M2220" s="36" t="str">
        <f t="array" ref="M2220">IF($A2220="","",IF($L2220="Atendido",IFERROR($I2220*INDEX(Config!$B:$B,MATCH($C2220,Config!$A:$A,0)),0),0))</f>
        <v/>
      </c>
      <c r="N2220" s="36" t="str">
        <f t="shared" si="2"/>
        <v/>
      </c>
      <c r="O2220" s="36" t="str">
        <f t="shared" si="3"/>
        <v/>
      </c>
      <c r="P2220" s="15"/>
      <c r="Q2220" s="37" t="str">
        <f t="shared" si="4"/>
        <v/>
      </c>
      <c r="R2220" s="37" t="str">
        <f t="shared" si="5"/>
        <v/>
      </c>
      <c r="S2220" s="32" t="str">
        <f t="shared" si="6"/>
        <v/>
      </c>
      <c r="T2220" s="37" t="str">
        <f t="shared" si="7"/>
        <v/>
      </c>
      <c r="U2220" s="37" t="str">
        <f t="array" ref="U2220">IF($F2220="","",IFERROR(INDEX(Config!$F:$F,MATCH($F2220,Config!$D:$D,0)),0))</f>
        <v/>
      </c>
    </row>
    <row r="2221" ht="15.0" customHeight="1">
      <c r="A2221" s="34"/>
      <c r="B2221" s="35"/>
      <c r="C2221" s="15"/>
      <c r="D2221" s="15"/>
      <c r="E2221" s="15"/>
      <c r="F2221" s="15"/>
      <c r="G2221" s="36" t="str">
        <f t="array" ref="G2221">IF($F2221="","",IFERROR(INDEX(Config!$E:$E,MATCH($F2221,Config!$D:$D,0)),0))</f>
        <v/>
      </c>
      <c r="H2221" s="16"/>
      <c r="I2221" s="36" t="str">
        <f t="shared" si="1"/>
        <v/>
      </c>
      <c r="J2221" s="16"/>
      <c r="K2221" s="15"/>
      <c r="L2221" s="15"/>
      <c r="M2221" s="36" t="str">
        <f t="array" ref="M2221">IF($A2221="","",IF($L2221="Atendido",IFERROR($I2221*INDEX(Config!$B:$B,MATCH($C2221,Config!$A:$A,0)),0),0))</f>
        <v/>
      </c>
      <c r="N2221" s="36" t="str">
        <f t="shared" si="2"/>
        <v/>
      </c>
      <c r="O2221" s="36" t="str">
        <f t="shared" si="3"/>
        <v/>
      </c>
      <c r="P2221" s="15"/>
      <c r="Q2221" s="37" t="str">
        <f t="shared" si="4"/>
        <v/>
      </c>
      <c r="R2221" s="37" t="str">
        <f t="shared" si="5"/>
        <v/>
      </c>
      <c r="S2221" s="32" t="str">
        <f t="shared" si="6"/>
        <v/>
      </c>
      <c r="T2221" s="37" t="str">
        <f t="shared" si="7"/>
        <v/>
      </c>
      <c r="U2221" s="37" t="str">
        <f t="array" ref="U2221">IF($F2221="","",IFERROR(INDEX(Config!$F:$F,MATCH($F2221,Config!$D:$D,0)),0))</f>
        <v/>
      </c>
    </row>
    <row r="2222" ht="15.0" customHeight="1">
      <c r="A2222" s="34"/>
      <c r="B2222" s="35"/>
      <c r="C2222" s="15"/>
      <c r="D2222" s="15"/>
      <c r="E2222" s="15"/>
      <c r="F2222" s="15"/>
      <c r="G2222" s="36" t="str">
        <f t="array" ref="G2222">IF($F2222="","",IFERROR(INDEX(Config!$E:$E,MATCH($F2222,Config!$D:$D,0)),0))</f>
        <v/>
      </c>
      <c r="H2222" s="16"/>
      <c r="I2222" s="36" t="str">
        <f t="shared" si="1"/>
        <v/>
      </c>
      <c r="J2222" s="16"/>
      <c r="K2222" s="15"/>
      <c r="L2222" s="15"/>
      <c r="M2222" s="36" t="str">
        <f t="array" ref="M2222">IF($A2222="","",IF($L2222="Atendido",IFERROR($I2222*INDEX(Config!$B:$B,MATCH($C2222,Config!$A:$A,0)),0),0))</f>
        <v/>
      </c>
      <c r="N2222" s="36" t="str">
        <f t="shared" si="2"/>
        <v/>
      </c>
      <c r="O2222" s="36" t="str">
        <f t="shared" si="3"/>
        <v/>
      </c>
      <c r="P2222" s="15"/>
      <c r="Q2222" s="37" t="str">
        <f t="shared" si="4"/>
        <v/>
      </c>
      <c r="R2222" s="37" t="str">
        <f t="shared" si="5"/>
        <v/>
      </c>
      <c r="S2222" s="32" t="str">
        <f t="shared" si="6"/>
        <v/>
      </c>
      <c r="T2222" s="37" t="str">
        <f t="shared" si="7"/>
        <v/>
      </c>
      <c r="U2222" s="37" t="str">
        <f t="array" ref="U2222">IF($F2222="","",IFERROR(INDEX(Config!$F:$F,MATCH($F2222,Config!$D:$D,0)),0))</f>
        <v/>
      </c>
    </row>
    <row r="2223" ht="15.0" customHeight="1">
      <c r="A2223" s="34"/>
      <c r="B2223" s="35"/>
      <c r="C2223" s="15"/>
      <c r="D2223" s="15"/>
      <c r="E2223" s="15"/>
      <c r="F2223" s="15"/>
      <c r="G2223" s="36" t="str">
        <f t="array" ref="G2223">IF($F2223="","",IFERROR(INDEX(Config!$E:$E,MATCH($F2223,Config!$D:$D,0)),0))</f>
        <v/>
      </c>
      <c r="H2223" s="16"/>
      <c r="I2223" s="36" t="str">
        <f t="shared" si="1"/>
        <v/>
      </c>
      <c r="J2223" s="16"/>
      <c r="K2223" s="15"/>
      <c r="L2223" s="15"/>
      <c r="M2223" s="36" t="str">
        <f t="array" ref="M2223">IF($A2223="","",IF($L2223="Atendido",IFERROR($I2223*INDEX(Config!$B:$B,MATCH($C2223,Config!$A:$A,0)),0),0))</f>
        <v/>
      </c>
      <c r="N2223" s="36" t="str">
        <f t="shared" si="2"/>
        <v/>
      </c>
      <c r="O2223" s="36" t="str">
        <f t="shared" si="3"/>
        <v/>
      </c>
      <c r="P2223" s="15"/>
      <c r="Q2223" s="37" t="str">
        <f t="shared" si="4"/>
        <v/>
      </c>
      <c r="R2223" s="37" t="str">
        <f t="shared" si="5"/>
        <v/>
      </c>
      <c r="S2223" s="32" t="str">
        <f t="shared" si="6"/>
        <v/>
      </c>
      <c r="T2223" s="37" t="str">
        <f t="shared" si="7"/>
        <v/>
      </c>
      <c r="U2223" s="37" t="str">
        <f t="array" ref="U2223">IF($F2223="","",IFERROR(INDEX(Config!$F:$F,MATCH($F2223,Config!$D:$D,0)),0))</f>
        <v/>
      </c>
    </row>
    <row r="2224" ht="15.0" customHeight="1">
      <c r="A2224" s="34"/>
      <c r="B2224" s="35"/>
      <c r="C2224" s="15"/>
      <c r="D2224" s="15"/>
      <c r="E2224" s="15"/>
      <c r="F2224" s="15"/>
      <c r="G2224" s="36" t="str">
        <f t="array" ref="G2224">IF($F2224="","",IFERROR(INDEX(Config!$E:$E,MATCH($F2224,Config!$D:$D,0)),0))</f>
        <v/>
      </c>
      <c r="H2224" s="16"/>
      <c r="I2224" s="36" t="str">
        <f t="shared" si="1"/>
        <v/>
      </c>
      <c r="J2224" s="16"/>
      <c r="K2224" s="15"/>
      <c r="L2224" s="15"/>
      <c r="M2224" s="36" t="str">
        <f t="array" ref="M2224">IF($A2224="","",IF($L2224="Atendido",IFERROR($I2224*INDEX(Config!$B:$B,MATCH($C2224,Config!$A:$A,0)),0),0))</f>
        <v/>
      </c>
      <c r="N2224" s="36" t="str">
        <f t="shared" si="2"/>
        <v/>
      </c>
      <c r="O2224" s="36" t="str">
        <f t="shared" si="3"/>
        <v/>
      </c>
      <c r="P2224" s="15"/>
      <c r="Q2224" s="37" t="str">
        <f t="shared" si="4"/>
        <v/>
      </c>
      <c r="R2224" s="37" t="str">
        <f t="shared" si="5"/>
        <v/>
      </c>
      <c r="S2224" s="32" t="str">
        <f t="shared" si="6"/>
        <v/>
      </c>
      <c r="T2224" s="37" t="str">
        <f t="shared" si="7"/>
        <v/>
      </c>
      <c r="U2224" s="37" t="str">
        <f t="array" ref="U2224">IF($F2224="","",IFERROR(INDEX(Config!$F:$F,MATCH($F2224,Config!$D:$D,0)),0))</f>
        <v/>
      </c>
    </row>
    <row r="2225" ht="15.0" customHeight="1">
      <c r="A2225" s="34"/>
      <c r="B2225" s="35"/>
      <c r="C2225" s="15"/>
      <c r="D2225" s="15"/>
      <c r="E2225" s="15"/>
      <c r="F2225" s="15"/>
      <c r="G2225" s="36" t="str">
        <f t="array" ref="G2225">IF($F2225="","",IFERROR(INDEX(Config!$E:$E,MATCH($F2225,Config!$D:$D,0)),0))</f>
        <v/>
      </c>
      <c r="H2225" s="16"/>
      <c r="I2225" s="36" t="str">
        <f t="shared" si="1"/>
        <v/>
      </c>
      <c r="J2225" s="16"/>
      <c r="K2225" s="15"/>
      <c r="L2225" s="15"/>
      <c r="M2225" s="36" t="str">
        <f t="array" ref="M2225">IF($A2225="","",IF($L2225="Atendido",IFERROR($I2225*INDEX(Config!$B:$B,MATCH($C2225,Config!$A:$A,0)),0),0))</f>
        <v/>
      </c>
      <c r="N2225" s="36" t="str">
        <f t="shared" si="2"/>
        <v/>
      </c>
      <c r="O2225" s="36" t="str">
        <f t="shared" si="3"/>
        <v/>
      </c>
      <c r="P2225" s="15"/>
      <c r="Q2225" s="37" t="str">
        <f t="shared" si="4"/>
        <v/>
      </c>
      <c r="R2225" s="37" t="str">
        <f t="shared" si="5"/>
        <v/>
      </c>
      <c r="S2225" s="32" t="str">
        <f t="shared" si="6"/>
        <v/>
      </c>
      <c r="T2225" s="37" t="str">
        <f t="shared" si="7"/>
        <v/>
      </c>
      <c r="U2225" s="37" t="str">
        <f t="array" ref="U2225">IF($F2225="","",IFERROR(INDEX(Config!$F:$F,MATCH($F2225,Config!$D:$D,0)),0))</f>
        <v/>
      </c>
    </row>
    <row r="2226" ht="15.0" customHeight="1">
      <c r="A2226" s="34"/>
      <c r="B2226" s="35"/>
      <c r="C2226" s="15"/>
      <c r="D2226" s="15"/>
      <c r="E2226" s="15"/>
      <c r="F2226" s="15"/>
      <c r="G2226" s="36" t="str">
        <f t="array" ref="G2226">IF($F2226="","",IFERROR(INDEX(Config!$E:$E,MATCH($F2226,Config!$D:$D,0)),0))</f>
        <v/>
      </c>
      <c r="H2226" s="16"/>
      <c r="I2226" s="36" t="str">
        <f t="shared" si="1"/>
        <v/>
      </c>
      <c r="J2226" s="16"/>
      <c r="K2226" s="15"/>
      <c r="L2226" s="15"/>
      <c r="M2226" s="36" t="str">
        <f t="array" ref="M2226">IF($A2226="","",IF($L2226="Atendido",IFERROR($I2226*INDEX(Config!$B:$B,MATCH($C2226,Config!$A:$A,0)),0),0))</f>
        <v/>
      </c>
      <c r="N2226" s="36" t="str">
        <f t="shared" si="2"/>
        <v/>
      </c>
      <c r="O2226" s="36" t="str">
        <f t="shared" si="3"/>
        <v/>
      </c>
      <c r="P2226" s="15"/>
      <c r="Q2226" s="37" t="str">
        <f t="shared" si="4"/>
        <v/>
      </c>
      <c r="R2226" s="37" t="str">
        <f t="shared" si="5"/>
        <v/>
      </c>
      <c r="S2226" s="32" t="str">
        <f t="shared" si="6"/>
        <v/>
      </c>
      <c r="T2226" s="37" t="str">
        <f t="shared" si="7"/>
        <v/>
      </c>
      <c r="U2226" s="37" t="str">
        <f t="array" ref="U2226">IF($F2226="","",IFERROR(INDEX(Config!$F:$F,MATCH($F2226,Config!$D:$D,0)),0))</f>
        <v/>
      </c>
    </row>
    <row r="2227" ht="15.0" customHeight="1">
      <c r="A2227" s="34"/>
      <c r="B2227" s="35"/>
      <c r="C2227" s="15"/>
      <c r="D2227" s="15"/>
      <c r="E2227" s="15"/>
      <c r="F2227" s="15"/>
      <c r="G2227" s="36" t="str">
        <f t="array" ref="G2227">IF($F2227="","",IFERROR(INDEX(Config!$E:$E,MATCH($F2227,Config!$D:$D,0)),0))</f>
        <v/>
      </c>
      <c r="H2227" s="16"/>
      <c r="I2227" s="36" t="str">
        <f t="shared" si="1"/>
        <v/>
      </c>
      <c r="J2227" s="16"/>
      <c r="K2227" s="15"/>
      <c r="L2227" s="15"/>
      <c r="M2227" s="36" t="str">
        <f t="array" ref="M2227">IF($A2227="","",IF($L2227="Atendido",IFERROR($I2227*INDEX(Config!$B:$B,MATCH($C2227,Config!$A:$A,0)),0),0))</f>
        <v/>
      </c>
      <c r="N2227" s="36" t="str">
        <f t="shared" si="2"/>
        <v/>
      </c>
      <c r="O2227" s="36" t="str">
        <f t="shared" si="3"/>
        <v/>
      </c>
      <c r="P2227" s="15"/>
      <c r="Q2227" s="37" t="str">
        <f t="shared" si="4"/>
        <v/>
      </c>
      <c r="R2227" s="37" t="str">
        <f t="shared" si="5"/>
        <v/>
      </c>
      <c r="S2227" s="32" t="str">
        <f t="shared" si="6"/>
        <v/>
      </c>
      <c r="T2227" s="37" t="str">
        <f t="shared" si="7"/>
        <v/>
      </c>
      <c r="U2227" s="37" t="str">
        <f t="array" ref="U2227">IF($F2227="","",IFERROR(INDEX(Config!$F:$F,MATCH($F2227,Config!$D:$D,0)),0))</f>
        <v/>
      </c>
    </row>
    <row r="2228" ht="15.0" customHeight="1">
      <c r="A2228" s="34"/>
      <c r="B2228" s="35"/>
      <c r="C2228" s="15"/>
      <c r="D2228" s="15"/>
      <c r="E2228" s="15"/>
      <c r="F2228" s="15"/>
      <c r="G2228" s="36" t="str">
        <f t="array" ref="G2228">IF($F2228="","",IFERROR(INDEX(Config!$E:$E,MATCH($F2228,Config!$D:$D,0)),0))</f>
        <v/>
      </c>
      <c r="H2228" s="16"/>
      <c r="I2228" s="36" t="str">
        <f t="shared" si="1"/>
        <v/>
      </c>
      <c r="J2228" s="16"/>
      <c r="K2228" s="15"/>
      <c r="L2228" s="15"/>
      <c r="M2228" s="36" t="str">
        <f t="array" ref="M2228">IF($A2228="","",IF($L2228="Atendido",IFERROR($I2228*INDEX(Config!$B:$B,MATCH($C2228,Config!$A:$A,0)),0),0))</f>
        <v/>
      </c>
      <c r="N2228" s="36" t="str">
        <f t="shared" si="2"/>
        <v/>
      </c>
      <c r="O2228" s="36" t="str">
        <f t="shared" si="3"/>
        <v/>
      </c>
      <c r="P2228" s="15"/>
      <c r="Q2228" s="37" t="str">
        <f t="shared" si="4"/>
        <v/>
      </c>
      <c r="R2228" s="37" t="str">
        <f t="shared" si="5"/>
        <v/>
      </c>
      <c r="S2228" s="32" t="str">
        <f t="shared" si="6"/>
        <v/>
      </c>
      <c r="T2228" s="37" t="str">
        <f t="shared" si="7"/>
        <v/>
      </c>
      <c r="U2228" s="37" t="str">
        <f t="array" ref="U2228">IF($F2228="","",IFERROR(INDEX(Config!$F:$F,MATCH($F2228,Config!$D:$D,0)),0))</f>
        <v/>
      </c>
    </row>
    <row r="2229" ht="15.0" customHeight="1">
      <c r="A2229" s="34"/>
      <c r="B2229" s="35"/>
      <c r="C2229" s="15"/>
      <c r="D2229" s="15"/>
      <c r="E2229" s="15"/>
      <c r="F2229" s="15"/>
      <c r="G2229" s="36" t="str">
        <f t="array" ref="G2229">IF($F2229="","",IFERROR(INDEX(Config!$E:$E,MATCH($F2229,Config!$D:$D,0)),0))</f>
        <v/>
      </c>
      <c r="H2229" s="16"/>
      <c r="I2229" s="36" t="str">
        <f t="shared" si="1"/>
        <v/>
      </c>
      <c r="J2229" s="16"/>
      <c r="K2229" s="15"/>
      <c r="L2229" s="15"/>
      <c r="M2229" s="36" t="str">
        <f t="array" ref="M2229">IF($A2229="","",IF($L2229="Atendido",IFERROR($I2229*INDEX(Config!$B:$B,MATCH($C2229,Config!$A:$A,0)),0),0))</f>
        <v/>
      </c>
      <c r="N2229" s="36" t="str">
        <f t="shared" si="2"/>
        <v/>
      </c>
      <c r="O2229" s="36" t="str">
        <f t="shared" si="3"/>
        <v/>
      </c>
      <c r="P2229" s="15"/>
      <c r="Q2229" s="37" t="str">
        <f t="shared" si="4"/>
        <v/>
      </c>
      <c r="R2229" s="37" t="str">
        <f t="shared" si="5"/>
        <v/>
      </c>
      <c r="S2229" s="32" t="str">
        <f t="shared" si="6"/>
        <v/>
      </c>
      <c r="T2229" s="37" t="str">
        <f t="shared" si="7"/>
        <v/>
      </c>
      <c r="U2229" s="37" t="str">
        <f t="array" ref="U2229">IF($F2229="","",IFERROR(INDEX(Config!$F:$F,MATCH($F2229,Config!$D:$D,0)),0))</f>
        <v/>
      </c>
    </row>
    <row r="2230" ht="15.0" customHeight="1">
      <c r="A2230" s="34"/>
      <c r="B2230" s="35"/>
      <c r="C2230" s="15"/>
      <c r="D2230" s="15"/>
      <c r="E2230" s="15"/>
      <c r="F2230" s="15"/>
      <c r="G2230" s="36" t="str">
        <f t="array" ref="G2230">IF($F2230="","",IFERROR(INDEX(Config!$E:$E,MATCH($F2230,Config!$D:$D,0)),0))</f>
        <v/>
      </c>
      <c r="H2230" s="16"/>
      <c r="I2230" s="36" t="str">
        <f t="shared" si="1"/>
        <v/>
      </c>
      <c r="J2230" s="16"/>
      <c r="K2230" s="15"/>
      <c r="L2230" s="15"/>
      <c r="M2230" s="36" t="str">
        <f t="array" ref="M2230">IF($A2230="","",IF($L2230="Atendido",IFERROR($I2230*INDEX(Config!$B:$B,MATCH($C2230,Config!$A:$A,0)),0),0))</f>
        <v/>
      </c>
      <c r="N2230" s="36" t="str">
        <f t="shared" si="2"/>
        <v/>
      </c>
      <c r="O2230" s="36" t="str">
        <f t="shared" si="3"/>
        <v/>
      </c>
      <c r="P2230" s="15"/>
      <c r="Q2230" s="37" t="str">
        <f t="shared" si="4"/>
        <v/>
      </c>
      <c r="R2230" s="37" t="str">
        <f t="shared" si="5"/>
        <v/>
      </c>
      <c r="S2230" s="32" t="str">
        <f t="shared" si="6"/>
        <v/>
      </c>
      <c r="T2230" s="37" t="str">
        <f t="shared" si="7"/>
        <v/>
      </c>
      <c r="U2230" s="37" t="str">
        <f t="array" ref="U2230">IF($F2230="","",IFERROR(INDEX(Config!$F:$F,MATCH($F2230,Config!$D:$D,0)),0))</f>
        <v/>
      </c>
    </row>
    <row r="2231" ht="15.0" customHeight="1">
      <c r="A2231" s="34"/>
      <c r="B2231" s="35"/>
      <c r="C2231" s="15"/>
      <c r="D2231" s="15"/>
      <c r="E2231" s="15"/>
      <c r="F2231" s="15"/>
      <c r="G2231" s="36" t="str">
        <f t="array" ref="G2231">IF($F2231="","",IFERROR(INDEX(Config!$E:$E,MATCH($F2231,Config!$D:$D,0)),0))</f>
        <v/>
      </c>
      <c r="H2231" s="16"/>
      <c r="I2231" s="36" t="str">
        <f t="shared" si="1"/>
        <v/>
      </c>
      <c r="J2231" s="16"/>
      <c r="K2231" s="15"/>
      <c r="L2231" s="15"/>
      <c r="M2231" s="36" t="str">
        <f t="array" ref="M2231">IF($A2231="","",IF($L2231="Atendido",IFERROR($I2231*INDEX(Config!$B:$B,MATCH($C2231,Config!$A:$A,0)),0),0))</f>
        <v/>
      </c>
      <c r="N2231" s="36" t="str">
        <f t="shared" si="2"/>
        <v/>
      </c>
      <c r="O2231" s="36" t="str">
        <f t="shared" si="3"/>
        <v/>
      </c>
      <c r="P2231" s="15"/>
      <c r="Q2231" s="37" t="str">
        <f t="shared" si="4"/>
        <v/>
      </c>
      <c r="R2231" s="37" t="str">
        <f t="shared" si="5"/>
        <v/>
      </c>
      <c r="S2231" s="32" t="str">
        <f t="shared" si="6"/>
        <v/>
      </c>
      <c r="T2231" s="37" t="str">
        <f t="shared" si="7"/>
        <v/>
      </c>
      <c r="U2231" s="37" t="str">
        <f t="array" ref="U2231">IF($F2231="","",IFERROR(INDEX(Config!$F:$F,MATCH($F2231,Config!$D:$D,0)),0))</f>
        <v/>
      </c>
    </row>
    <row r="2232" ht="15.0" customHeight="1">
      <c r="A2232" s="34"/>
      <c r="B2232" s="35"/>
      <c r="C2232" s="15"/>
      <c r="D2232" s="15"/>
      <c r="E2232" s="15"/>
      <c r="F2232" s="15"/>
      <c r="G2232" s="36" t="str">
        <f t="array" ref="G2232">IF($F2232="","",IFERROR(INDEX(Config!$E:$E,MATCH($F2232,Config!$D:$D,0)),0))</f>
        <v/>
      </c>
      <c r="H2232" s="16"/>
      <c r="I2232" s="36" t="str">
        <f t="shared" si="1"/>
        <v/>
      </c>
      <c r="J2232" s="16"/>
      <c r="K2232" s="15"/>
      <c r="L2232" s="15"/>
      <c r="M2232" s="36" t="str">
        <f t="array" ref="M2232">IF($A2232="","",IF($L2232="Atendido",IFERROR($I2232*INDEX(Config!$B:$B,MATCH($C2232,Config!$A:$A,0)),0),0))</f>
        <v/>
      </c>
      <c r="N2232" s="36" t="str">
        <f t="shared" si="2"/>
        <v/>
      </c>
      <c r="O2232" s="36" t="str">
        <f t="shared" si="3"/>
        <v/>
      </c>
      <c r="P2232" s="15"/>
      <c r="Q2232" s="37" t="str">
        <f t="shared" si="4"/>
        <v/>
      </c>
      <c r="R2232" s="37" t="str">
        <f t="shared" si="5"/>
        <v/>
      </c>
      <c r="S2232" s="32" t="str">
        <f t="shared" si="6"/>
        <v/>
      </c>
      <c r="T2232" s="37" t="str">
        <f t="shared" si="7"/>
        <v/>
      </c>
      <c r="U2232" s="37" t="str">
        <f t="array" ref="U2232">IF($F2232="","",IFERROR(INDEX(Config!$F:$F,MATCH($F2232,Config!$D:$D,0)),0))</f>
        <v/>
      </c>
    </row>
    <row r="2233" ht="15.0" customHeight="1">
      <c r="A2233" s="34"/>
      <c r="B2233" s="35"/>
      <c r="C2233" s="15"/>
      <c r="D2233" s="15"/>
      <c r="E2233" s="15"/>
      <c r="F2233" s="15"/>
      <c r="G2233" s="36" t="str">
        <f t="array" ref="G2233">IF($F2233="","",IFERROR(INDEX(Config!$E:$E,MATCH($F2233,Config!$D:$D,0)),0))</f>
        <v/>
      </c>
      <c r="H2233" s="16"/>
      <c r="I2233" s="36" t="str">
        <f t="shared" si="1"/>
        <v/>
      </c>
      <c r="J2233" s="16"/>
      <c r="K2233" s="15"/>
      <c r="L2233" s="15"/>
      <c r="M2233" s="36" t="str">
        <f t="array" ref="M2233">IF($A2233="","",IF($L2233="Atendido",IFERROR($I2233*INDEX(Config!$B:$B,MATCH($C2233,Config!$A:$A,0)),0),0))</f>
        <v/>
      </c>
      <c r="N2233" s="36" t="str">
        <f t="shared" si="2"/>
        <v/>
      </c>
      <c r="O2233" s="36" t="str">
        <f t="shared" si="3"/>
        <v/>
      </c>
      <c r="P2233" s="15"/>
      <c r="Q2233" s="37" t="str">
        <f t="shared" si="4"/>
        <v/>
      </c>
      <c r="R2233" s="37" t="str">
        <f t="shared" si="5"/>
        <v/>
      </c>
      <c r="S2233" s="32" t="str">
        <f t="shared" si="6"/>
        <v/>
      </c>
      <c r="T2233" s="37" t="str">
        <f t="shared" si="7"/>
        <v/>
      </c>
      <c r="U2233" s="37" t="str">
        <f t="array" ref="U2233">IF($F2233="","",IFERROR(INDEX(Config!$F:$F,MATCH($F2233,Config!$D:$D,0)),0))</f>
        <v/>
      </c>
    </row>
    <row r="2234" ht="15.0" customHeight="1">
      <c r="A2234" s="34"/>
      <c r="B2234" s="35"/>
      <c r="C2234" s="15"/>
      <c r="D2234" s="15"/>
      <c r="E2234" s="15"/>
      <c r="F2234" s="15"/>
      <c r="G2234" s="36" t="str">
        <f t="array" ref="G2234">IF($F2234="","",IFERROR(INDEX(Config!$E:$E,MATCH($F2234,Config!$D:$D,0)),0))</f>
        <v/>
      </c>
      <c r="H2234" s="16"/>
      <c r="I2234" s="36" t="str">
        <f t="shared" si="1"/>
        <v/>
      </c>
      <c r="J2234" s="16"/>
      <c r="K2234" s="15"/>
      <c r="L2234" s="15"/>
      <c r="M2234" s="36" t="str">
        <f t="array" ref="M2234">IF($A2234="","",IF($L2234="Atendido",IFERROR($I2234*INDEX(Config!$B:$B,MATCH($C2234,Config!$A:$A,0)),0),0))</f>
        <v/>
      </c>
      <c r="N2234" s="36" t="str">
        <f t="shared" si="2"/>
        <v/>
      </c>
      <c r="O2234" s="36" t="str">
        <f t="shared" si="3"/>
        <v/>
      </c>
      <c r="P2234" s="15"/>
      <c r="Q2234" s="37" t="str">
        <f t="shared" si="4"/>
        <v/>
      </c>
      <c r="R2234" s="37" t="str">
        <f t="shared" si="5"/>
        <v/>
      </c>
      <c r="S2234" s="32" t="str">
        <f t="shared" si="6"/>
        <v/>
      </c>
      <c r="T2234" s="37" t="str">
        <f t="shared" si="7"/>
        <v/>
      </c>
      <c r="U2234" s="37" t="str">
        <f t="array" ref="U2234">IF($F2234="","",IFERROR(INDEX(Config!$F:$F,MATCH($F2234,Config!$D:$D,0)),0))</f>
        <v/>
      </c>
    </row>
    <row r="2235" ht="15.0" customHeight="1">
      <c r="A2235" s="34"/>
      <c r="B2235" s="35"/>
      <c r="C2235" s="15"/>
      <c r="D2235" s="15"/>
      <c r="E2235" s="15"/>
      <c r="F2235" s="15"/>
      <c r="G2235" s="36" t="str">
        <f t="array" ref="G2235">IF($F2235="","",IFERROR(INDEX(Config!$E:$E,MATCH($F2235,Config!$D:$D,0)),0))</f>
        <v/>
      </c>
      <c r="H2235" s="16"/>
      <c r="I2235" s="36" t="str">
        <f t="shared" si="1"/>
        <v/>
      </c>
      <c r="J2235" s="16"/>
      <c r="K2235" s="15"/>
      <c r="L2235" s="15"/>
      <c r="M2235" s="36" t="str">
        <f t="array" ref="M2235">IF($A2235="","",IF($L2235="Atendido",IFERROR($I2235*INDEX(Config!$B:$B,MATCH($C2235,Config!$A:$A,0)),0),0))</f>
        <v/>
      </c>
      <c r="N2235" s="36" t="str">
        <f t="shared" si="2"/>
        <v/>
      </c>
      <c r="O2235" s="36" t="str">
        <f t="shared" si="3"/>
        <v/>
      </c>
      <c r="P2235" s="15"/>
      <c r="Q2235" s="37" t="str">
        <f t="shared" si="4"/>
        <v/>
      </c>
      <c r="R2235" s="37" t="str">
        <f t="shared" si="5"/>
        <v/>
      </c>
      <c r="S2235" s="32" t="str">
        <f t="shared" si="6"/>
        <v/>
      </c>
      <c r="T2235" s="37" t="str">
        <f t="shared" si="7"/>
        <v/>
      </c>
      <c r="U2235" s="37" t="str">
        <f t="array" ref="U2235">IF($F2235="","",IFERROR(INDEX(Config!$F:$F,MATCH($F2235,Config!$D:$D,0)),0))</f>
        <v/>
      </c>
    </row>
    <row r="2236" ht="15.0" customHeight="1">
      <c r="A2236" s="34"/>
      <c r="B2236" s="35"/>
      <c r="C2236" s="15"/>
      <c r="D2236" s="15"/>
      <c r="E2236" s="15"/>
      <c r="F2236" s="15"/>
      <c r="G2236" s="36" t="str">
        <f t="array" ref="G2236">IF($F2236="","",IFERROR(INDEX(Config!$E:$E,MATCH($F2236,Config!$D:$D,0)),0))</f>
        <v/>
      </c>
      <c r="H2236" s="16"/>
      <c r="I2236" s="36" t="str">
        <f t="shared" si="1"/>
        <v/>
      </c>
      <c r="J2236" s="16"/>
      <c r="K2236" s="15"/>
      <c r="L2236" s="15"/>
      <c r="M2236" s="36" t="str">
        <f t="array" ref="M2236">IF($A2236="","",IF($L2236="Atendido",IFERROR($I2236*INDEX(Config!$B:$B,MATCH($C2236,Config!$A:$A,0)),0),0))</f>
        <v/>
      </c>
      <c r="N2236" s="36" t="str">
        <f t="shared" si="2"/>
        <v/>
      </c>
      <c r="O2236" s="36" t="str">
        <f t="shared" si="3"/>
        <v/>
      </c>
      <c r="P2236" s="15"/>
      <c r="Q2236" s="37" t="str">
        <f t="shared" si="4"/>
        <v/>
      </c>
      <c r="R2236" s="37" t="str">
        <f t="shared" si="5"/>
        <v/>
      </c>
      <c r="S2236" s="32" t="str">
        <f t="shared" si="6"/>
        <v/>
      </c>
      <c r="T2236" s="37" t="str">
        <f t="shared" si="7"/>
        <v/>
      </c>
      <c r="U2236" s="37" t="str">
        <f t="array" ref="U2236">IF($F2236="","",IFERROR(INDEX(Config!$F:$F,MATCH($F2236,Config!$D:$D,0)),0))</f>
        <v/>
      </c>
    </row>
    <row r="2237" ht="15.0" customHeight="1">
      <c r="A2237" s="34"/>
      <c r="B2237" s="35"/>
      <c r="C2237" s="15"/>
      <c r="D2237" s="15"/>
      <c r="E2237" s="15"/>
      <c r="F2237" s="15"/>
      <c r="G2237" s="36" t="str">
        <f t="array" ref="G2237">IF($F2237="","",IFERROR(INDEX(Config!$E:$E,MATCH($F2237,Config!$D:$D,0)),0))</f>
        <v/>
      </c>
      <c r="H2237" s="16"/>
      <c r="I2237" s="36" t="str">
        <f t="shared" si="1"/>
        <v/>
      </c>
      <c r="J2237" s="16"/>
      <c r="K2237" s="15"/>
      <c r="L2237" s="15"/>
      <c r="M2237" s="36" t="str">
        <f t="array" ref="M2237">IF($A2237="","",IF($L2237="Atendido",IFERROR($I2237*INDEX(Config!$B:$B,MATCH($C2237,Config!$A:$A,0)),0),0))</f>
        <v/>
      </c>
      <c r="N2237" s="36" t="str">
        <f t="shared" si="2"/>
        <v/>
      </c>
      <c r="O2237" s="36" t="str">
        <f t="shared" si="3"/>
        <v/>
      </c>
      <c r="P2237" s="15"/>
      <c r="Q2237" s="37" t="str">
        <f t="shared" si="4"/>
        <v/>
      </c>
      <c r="R2237" s="37" t="str">
        <f t="shared" si="5"/>
        <v/>
      </c>
      <c r="S2237" s="32" t="str">
        <f t="shared" si="6"/>
        <v/>
      </c>
      <c r="T2237" s="37" t="str">
        <f t="shared" si="7"/>
        <v/>
      </c>
      <c r="U2237" s="37" t="str">
        <f t="array" ref="U2237">IF($F2237="","",IFERROR(INDEX(Config!$F:$F,MATCH($F2237,Config!$D:$D,0)),0))</f>
        <v/>
      </c>
    </row>
    <row r="2238" ht="15.0" customHeight="1">
      <c r="A2238" s="34"/>
      <c r="B2238" s="35"/>
      <c r="C2238" s="15"/>
      <c r="D2238" s="15"/>
      <c r="E2238" s="15"/>
      <c r="F2238" s="15"/>
      <c r="G2238" s="36" t="str">
        <f t="array" ref="G2238">IF($F2238="","",IFERROR(INDEX(Config!$E:$E,MATCH($F2238,Config!$D:$D,0)),0))</f>
        <v/>
      </c>
      <c r="H2238" s="16"/>
      <c r="I2238" s="36" t="str">
        <f t="shared" si="1"/>
        <v/>
      </c>
      <c r="J2238" s="16"/>
      <c r="K2238" s="15"/>
      <c r="L2238" s="15"/>
      <c r="M2238" s="36" t="str">
        <f t="array" ref="M2238">IF($A2238="","",IF($L2238="Atendido",IFERROR($I2238*INDEX(Config!$B:$B,MATCH($C2238,Config!$A:$A,0)),0),0))</f>
        <v/>
      </c>
      <c r="N2238" s="36" t="str">
        <f t="shared" si="2"/>
        <v/>
      </c>
      <c r="O2238" s="36" t="str">
        <f t="shared" si="3"/>
        <v/>
      </c>
      <c r="P2238" s="15"/>
      <c r="Q2238" s="37" t="str">
        <f t="shared" si="4"/>
        <v/>
      </c>
      <c r="R2238" s="37" t="str">
        <f t="shared" si="5"/>
        <v/>
      </c>
      <c r="S2238" s="32" t="str">
        <f t="shared" si="6"/>
        <v/>
      </c>
      <c r="T2238" s="37" t="str">
        <f t="shared" si="7"/>
        <v/>
      </c>
      <c r="U2238" s="37" t="str">
        <f t="array" ref="U2238">IF($F2238="","",IFERROR(INDEX(Config!$F:$F,MATCH($F2238,Config!$D:$D,0)),0))</f>
        <v/>
      </c>
    </row>
    <row r="2239" ht="15.0" customHeight="1">
      <c r="A2239" s="34"/>
      <c r="B2239" s="35"/>
      <c r="C2239" s="15"/>
      <c r="D2239" s="15"/>
      <c r="E2239" s="15"/>
      <c r="F2239" s="15"/>
      <c r="G2239" s="36" t="str">
        <f t="array" ref="G2239">IF($F2239="","",IFERROR(INDEX(Config!$E:$E,MATCH($F2239,Config!$D:$D,0)),0))</f>
        <v/>
      </c>
      <c r="H2239" s="16"/>
      <c r="I2239" s="36" t="str">
        <f t="shared" si="1"/>
        <v/>
      </c>
      <c r="J2239" s="16"/>
      <c r="K2239" s="15"/>
      <c r="L2239" s="15"/>
      <c r="M2239" s="36" t="str">
        <f t="array" ref="M2239">IF($A2239="","",IF($L2239="Atendido",IFERROR($I2239*INDEX(Config!$B:$B,MATCH($C2239,Config!$A:$A,0)),0),0))</f>
        <v/>
      </c>
      <c r="N2239" s="36" t="str">
        <f t="shared" si="2"/>
        <v/>
      </c>
      <c r="O2239" s="36" t="str">
        <f t="shared" si="3"/>
        <v/>
      </c>
      <c r="P2239" s="15"/>
      <c r="Q2239" s="37" t="str">
        <f t="shared" si="4"/>
        <v/>
      </c>
      <c r="R2239" s="37" t="str">
        <f t="shared" si="5"/>
        <v/>
      </c>
      <c r="S2239" s="32" t="str">
        <f t="shared" si="6"/>
        <v/>
      </c>
      <c r="T2239" s="37" t="str">
        <f t="shared" si="7"/>
        <v/>
      </c>
      <c r="U2239" s="37" t="str">
        <f t="array" ref="U2239">IF($F2239="","",IFERROR(INDEX(Config!$F:$F,MATCH($F2239,Config!$D:$D,0)),0))</f>
        <v/>
      </c>
    </row>
    <row r="2240" ht="15.0" customHeight="1">
      <c r="A2240" s="34"/>
      <c r="B2240" s="35"/>
      <c r="C2240" s="15"/>
      <c r="D2240" s="15"/>
      <c r="E2240" s="15"/>
      <c r="F2240" s="15"/>
      <c r="G2240" s="36" t="str">
        <f t="array" ref="G2240">IF($F2240="","",IFERROR(INDEX(Config!$E:$E,MATCH($F2240,Config!$D:$D,0)),0))</f>
        <v/>
      </c>
      <c r="H2240" s="16"/>
      <c r="I2240" s="36" t="str">
        <f t="shared" si="1"/>
        <v/>
      </c>
      <c r="J2240" s="16"/>
      <c r="K2240" s="15"/>
      <c r="L2240" s="15"/>
      <c r="M2240" s="36" t="str">
        <f t="array" ref="M2240">IF($A2240="","",IF($L2240="Atendido",IFERROR($I2240*INDEX(Config!$B:$B,MATCH($C2240,Config!$A:$A,0)),0),0))</f>
        <v/>
      </c>
      <c r="N2240" s="36" t="str">
        <f t="shared" si="2"/>
        <v/>
      </c>
      <c r="O2240" s="36" t="str">
        <f t="shared" si="3"/>
        <v/>
      </c>
      <c r="P2240" s="15"/>
      <c r="Q2240" s="37" t="str">
        <f t="shared" si="4"/>
        <v/>
      </c>
      <c r="R2240" s="37" t="str">
        <f t="shared" si="5"/>
        <v/>
      </c>
      <c r="S2240" s="32" t="str">
        <f t="shared" si="6"/>
        <v/>
      </c>
      <c r="T2240" s="37" t="str">
        <f t="shared" si="7"/>
        <v/>
      </c>
      <c r="U2240" s="37" t="str">
        <f t="array" ref="U2240">IF($F2240="","",IFERROR(INDEX(Config!$F:$F,MATCH($F2240,Config!$D:$D,0)),0))</f>
        <v/>
      </c>
    </row>
    <row r="2241" ht="15.0" customHeight="1">
      <c r="A2241" s="34"/>
      <c r="B2241" s="35"/>
      <c r="C2241" s="15"/>
      <c r="D2241" s="15"/>
      <c r="E2241" s="15"/>
      <c r="F2241" s="15"/>
      <c r="G2241" s="36" t="str">
        <f t="array" ref="G2241">IF($F2241="","",IFERROR(INDEX(Config!$E:$E,MATCH($F2241,Config!$D:$D,0)),0))</f>
        <v/>
      </c>
      <c r="H2241" s="16"/>
      <c r="I2241" s="36" t="str">
        <f t="shared" si="1"/>
        <v/>
      </c>
      <c r="J2241" s="16"/>
      <c r="K2241" s="15"/>
      <c r="L2241" s="15"/>
      <c r="M2241" s="36" t="str">
        <f t="array" ref="M2241">IF($A2241="","",IF($L2241="Atendido",IFERROR($I2241*INDEX(Config!$B:$B,MATCH($C2241,Config!$A:$A,0)),0),0))</f>
        <v/>
      </c>
      <c r="N2241" s="36" t="str">
        <f t="shared" si="2"/>
        <v/>
      </c>
      <c r="O2241" s="36" t="str">
        <f t="shared" si="3"/>
        <v/>
      </c>
      <c r="P2241" s="15"/>
      <c r="Q2241" s="37" t="str">
        <f t="shared" si="4"/>
        <v/>
      </c>
      <c r="R2241" s="37" t="str">
        <f t="shared" si="5"/>
        <v/>
      </c>
      <c r="S2241" s="32" t="str">
        <f t="shared" si="6"/>
        <v/>
      </c>
      <c r="T2241" s="37" t="str">
        <f t="shared" si="7"/>
        <v/>
      </c>
      <c r="U2241" s="37" t="str">
        <f t="array" ref="U2241">IF($F2241="","",IFERROR(INDEX(Config!$F:$F,MATCH($F2241,Config!$D:$D,0)),0))</f>
        <v/>
      </c>
    </row>
    <row r="2242" ht="15.0" customHeight="1">
      <c r="A2242" s="34"/>
      <c r="B2242" s="35"/>
      <c r="C2242" s="15"/>
      <c r="D2242" s="15"/>
      <c r="E2242" s="15"/>
      <c r="F2242" s="15"/>
      <c r="G2242" s="36" t="str">
        <f t="array" ref="G2242">IF($F2242="","",IFERROR(INDEX(Config!$E:$E,MATCH($F2242,Config!$D:$D,0)),0))</f>
        <v/>
      </c>
      <c r="H2242" s="16"/>
      <c r="I2242" s="36" t="str">
        <f t="shared" si="1"/>
        <v/>
      </c>
      <c r="J2242" s="16"/>
      <c r="K2242" s="15"/>
      <c r="L2242" s="15"/>
      <c r="M2242" s="36" t="str">
        <f t="array" ref="M2242">IF($A2242="","",IF($L2242="Atendido",IFERROR($I2242*INDEX(Config!$B:$B,MATCH($C2242,Config!$A:$A,0)),0),0))</f>
        <v/>
      </c>
      <c r="N2242" s="36" t="str">
        <f t="shared" si="2"/>
        <v/>
      </c>
      <c r="O2242" s="36" t="str">
        <f t="shared" si="3"/>
        <v/>
      </c>
      <c r="P2242" s="15"/>
      <c r="Q2242" s="37" t="str">
        <f t="shared" si="4"/>
        <v/>
      </c>
      <c r="R2242" s="37" t="str">
        <f t="shared" si="5"/>
        <v/>
      </c>
      <c r="S2242" s="32" t="str">
        <f t="shared" si="6"/>
        <v/>
      </c>
      <c r="T2242" s="37" t="str">
        <f t="shared" si="7"/>
        <v/>
      </c>
      <c r="U2242" s="37" t="str">
        <f t="array" ref="U2242">IF($F2242="","",IFERROR(INDEX(Config!$F:$F,MATCH($F2242,Config!$D:$D,0)),0))</f>
        <v/>
      </c>
    </row>
    <row r="2243" ht="15.0" customHeight="1">
      <c r="A2243" s="34"/>
      <c r="B2243" s="35"/>
      <c r="C2243" s="15"/>
      <c r="D2243" s="15"/>
      <c r="E2243" s="15"/>
      <c r="F2243" s="15"/>
      <c r="G2243" s="36" t="str">
        <f t="array" ref="G2243">IF($F2243="","",IFERROR(INDEX(Config!$E:$E,MATCH($F2243,Config!$D:$D,0)),0))</f>
        <v/>
      </c>
      <c r="H2243" s="16"/>
      <c r="I2243" s="36" t="str">
        <f t="shared" si="1"/>
        <v/>
      </c>
      <c r="J2243" s="16"/>
      <c r="K2243" s="15"/>
      <c r="L2243" s="15"/>
      <c r="M2243" s="36" t="str">
        <f t="array" ref="M2243">IF($A2243="","",IF($L2243="Atendido",IFERROR($I2243*INDEX(Config!$B:$B,MATCH($C2243,Config!$A:$A,0)),0),0))</f>
        <v/>
      </c>
      <c r="N2243" s="36" t="str">
        <f t="shared" si="2"/>
        <v/>
      </c>
      <c r="O2243" s="36" t="str">
        <f t="shared" si="3"/>
        <v/>
      </c>
      <c r="P2243" s="15"/>
      <c r="Q2243" s="37" t="str">
        <f t="shared" si="4"/>
        <v/>
      </c>
      <c r="R2243" s="37" t="str">
        <f t="shared" si="5"/>
        <v/>
      </c>
      <c r="S2243" s="32" t="str">
        <f t="shared" si="6"/>
        <v/>
      </c>
      <c r="T2243" s="37" t="str">
        <f t="shared" si="7"/>
        <v/>
      </c>
      <c r="U2243" s="37" t="str">
        <f t="array" ref="U2243">IF($F2243="","",IFERROR(INDEX(Config!$F:$F,MATCH($F2243,Config!$D:$D,0)),0))</f>
        <v/>
      </c>
    </row>
    <row r="2244" ht="15.0" customHeight="1">
      <c r="A2244" s="34"/>
      <c r="B2244" s="35"/>
      <c r="C2244" s="15"/>
      <c r="D2244" s="15"/>
      <c r="E2244" s="15"/>
      <c r="F2244" s="15"/>
      <c r="G2244" s="36" t="str">
        <f t="array" ref="G2244">IF($F2244="","",IFERROR(INDEX(Config!$E:$E,MATCH($F2244,Config!$D:$D,0)),0))</f>
        <v/>
      </c>
      <c r="H2244" s="16"/>
      <c r="I2244" s="36" t="str">
        <f t="shared" si="1"/>
        <v/>
      </c>
      <c r="J2244" s="16"/>
      <c r="K2244" s="15"/>
      <c r="L2244" s="15"/>
      <c r="M2244" s="36" t="str">
        <f t="array" ref="M2244">IF($A2244="","",IF($L2244="Atendido",IFERROR($I2244*INDEX(Config!$B:$B,MATCH($C2244,Config!$A:$A,0)),0),0))</f>
        <v/>
      </c>
      <c r="N2244" s="36" t="str">
        <f t="shared" si="2"/>
        <v/>
      </c>
      <c r="O2244" s="36" t="str">
        <f t="shared" si="3"/>
        <v/>
      </c>
      <c r="P2244" s="15"/>
      <c r="Q2244" s="37" t="str">
        <f t="shared" si="4"/>
        <v/>
      </c>
      <c r="R2244" s="37" t="str">
        <f t="shared" si="5"/>
        <v/>
      </c>
      <c r="S2244" s="32" t="str">
        <f t="shared" si="6"/>
        <v/>
      </c>
      <c r="T2244" s="37" t="str">
        <f t="shared" si="7"/>
        <v/>
      </c>
      <c r="U2244" s="37" t="str">
        <f t="array" ref="U2244">IF($F2244="","",IFERROR(INDEX(Config!$F:$F,MATCH($F2244,Config!$D:$D,0)),0))</f>
        <v/>
      </c>
    </row>
    <row r="2245" ht="15.0" customHeight="1">
      <c r="A2245" s="34"/>
      <c r="B2245" s="35"/>
      <c r="C2245" s="15"/>
      <c r="D2245" s="15"/>
      <c r="E2245" s="15"/>
      <c r="F2245" s="15"/>
      <c r="G2245" s="36" t="str">
        <f t="array" ref="G2245">IF($F2245="","",IFERROR(INDEX(Config!$E:$E,MATCH($F2245,Config!$D:$D,0)),0))</f>
        <v/>
      </c>
      <c r="H2245" s="16"/>
      <c r="I2245" s="36" t="str">
        <f t="shared" si="1"/>
        <v/>
      </c>
      <c r="J2245" s="16"/>
      <c r="K2245" s="15"/>
      <c r="L2245" s="15"/>
      <c r="M2245" s="36" t="str">
        <f t="array" ref="M2245">IF($A2245="","",IF($L2245="Atendido",IFERROR($I2245*INDEX(Config!$B:$B,MATCH($C2245,Config!$A:$A,0)),0),0))</f>
        <v/>
      </c>
      <c r="N2245" s="36" t="str">
        <f t="shared" si="2"/>
        <v/>
      </c>
      <c r="O2245" s="36" t="str">
        <f t="shared" si="3"/>
        <v/>
      </c>
      <c r="P2245" s="15"/>
      <c r="Q2245" s="37" t="str">
        <f t="shared" si="4"/>
        <v/>
      </c>
      <c r="R2245" s="37" t="str">
        <f t="shared" si="5"/>
        <v/>
      </c>
      <c r="S2245" s="32" t="str">
        <f t="shared" si="6"/>
        <v/>
      </c>
      <c r="T2245" s="37" t="str">
        <f t="shared" si="7"/>
        <v/>
      </c>
      <c r="U2245" s="37" t="str">
        <f t="array" ref="U2245">IF($F2245="","",IFERROR(INDEX(Config!$F:$F,MATCH($F2245,Config!$D:$D,0)),0))</f>
        <v/>
      </c>
    </row>
    <row r="2246" ht="15.0" customHeight="1">
      <c r="A2246" s="34"/>
      <c r="B2246" s="35"/>
      <c r="C2246" s="15"/>
      <c r="D2246" s="15"/>
      <c r="E2246" s="15"/>
      <c r="F2246" s="15"/>
      <c r="G2246" s="36" t="str">
        <f t="array" ref="G2246">IF($F2246="","",IFERROR(INDEX(Config!$E:$E,MATCH($F2246,Config!$D:$D,0)),0))</f>
        <v/>
      </c>
      <c r="H2246" s="16"/>
      <c r="I2246" s="36" t="str">
        <f t="shared" si="1"/>
        <v/>
      </c>
      <c r="J2246" s="16"/>
      <c r="K2246" s="15"/>
      <c r="L2246" s="15"/>
      <c r="M2246" s="36" t="str">
        <f t="array" ref="M2246">IF($A2246="","",IF($L2246="Atendido",IFERROR($I2246*INDEX(Config!$B:$B,MATCH($C2246,Config!$A:$A,0)),0),0))</f>
        <v/>
      </c>
      <c r="N2246" s="36" t="str">
        <f t="shared" si="2"/>
        <v/>
      </c>
      <c r="O2246" s="36" t="str">
        <f t="shared" si="3"/>
        <v/>
      </c>
      <c r="P2246" s="15"/>
      <c r="Q2246" s="37" t="str">
        <f t="shared" si="4"/>
        <v/>
      </c>
      <c r="R2246" s="37" t="str">
        <f t="shared" si="5"/>
        <v/>
      </c>
      <c r="S2246" s="32" t="str">
        <f t="shared" si="6"/>
        <v/>
      </c>
      <c r="T2246" s="37" t="str">
        <f t="shared" si="7"/>
        <v/>
      </c>
      <c r="U2246" s="37" t="str">
        <f t="array" ref="U2246">IF($F2246="","",IFERROR(INDEX(Config!$F:$F,MATCH($F2246,Config!$D:$D,0)),0))</f>
        <v/>
      </c>
    </row>
    <row r="2247" ht="15.0" customHeight="1">
      <c r="A2247" s="34"/>
      <c r="B2247" s="35"/>
      <c r="C2247" s="15"/>
      <c r="D2247" s="15"/>
      <c r="E2247" s="15"/>
      <c r="F2247" s="15"/>
      <c r="G2247" s="36" t="str">
        <f t="array" ref="G2247">IF($F2247="","",IFERROR(INDEX(Config!$E:$E,MATCH($F2247,Config!$D:$D,0)),0))</f>
        <v/>
      </c>
      <c r="H2247" s="16"/>
      <c r="I2247" s="36" t="str">
        <f t="shared" si="1"/>
        <v/>
      </c>
      <c r="J2247" s="16"/>
      <c r="K2247" s="15"/>
      <c r="L2247" s="15"/>
      <c r="M2247" s="36" t="str">
        <f t="array" ref="M2247">IF($A2247="","",IF($L2247="Atendido",IFERROR($I2247*INDEX(Config!$B:$B,MATCH($C2247,Config!$A:$A,0)),0),0))</f>
        <v/>
      </c>
      <c r="N2247" s="36" t="str">
        <f t="shared" si="2"/>
        <v/>
      </c>
      <c r="O2247" s="36" t="str">
        <f t="shared" si="3"/>
        <v/>
      </c>
      <c r="P2247" s="15"/>
      <c r="Q2247" s="37" t="str">
        <f t="shared" si="4"/>
        <v/>
      </c>
      <c r="R2247" s="37" t="str">
        <f t="shared" si="5"/>
        <v/>
      </c>
      <c r="S2247" s="32" t="str">
        <f t="shared" si="6"/>
        <v/>
      </c>
      <c r="T2247" s="37" t="str">
        <f t="shared" si="7"/>
        <v/>
      </c>
      <c r="U2247" s="37" t="str">
        <f t="array" ref="U2247">IF($F2247="","",IFERROR(INDEX(Config!$F:$F,MATCH($F2247,Config!$D:$D,0)),0))</f>
        <v/>
      </c>
    </row>
    <row r="2248" ht="15.0" customHeight="1">
      <c r="A2248" s="34"/>
      <c r="B2248" s="35"/>
      <c r="C2248" s="15"/>
      <c r="D2248" s="15"/>
      <c r="E2248" s="15"/>
      <c r="F2248" s="15"/>
      <c r="G2248" s="36" t="str">
        <f t="array" ref="G2248">IF($F2248="","",IFERROR(INDEX(Config!$E:$E,MATCH($F2248,Config!$D:$D,0)),0))</f>
        <v/>
      </c>
      <c r="H2248" s="16"/>
      <c r="I2248" s="36" t="str">
        <f t="shared" si="1"/>
        <v/>
      </c>
      <c r="J2248" s="16"/>
      <c r="K2248" s="15"/>
      <c r="L2248" s="15"/>
      <c r="M2248" s="36" t="str">
        <f t="array" ref="M2248">IF($A2248="","",IF($L2248="Atendido",IFERROR($I2248*INDEX(Config!$B:$B,MATCH($C2248,Config!$A:$A,0)),0),0))</f>
        <v/>
      </c>
      <c r="N2248" s="36" t="str">
        <f t="shared" si="2"/>
        <v/>
      </c>
      <c r="O2248" s="36" t="str">
        <f t="shared" si="3"/>
        <v/>
      </c>
      <c r="P2248" s="15"/>
      <c r="Q2248" s="37" t="str">
        <f t="shared" si="4"/>
        <v/>
      </c>
      <c r="R2248" s="37" t="str">
        <f t="shared" si="5"/>
        <v/>
      </c>
      <c r="S2248" s="32" t="str">
        <f t="shared" si="6"/>
        <v/>
      </c>
      <c r="T2248" s="37" t="str">
        <f t="shared" si="7"/>
        <v/>
      </c>
      <c r="U2248" s="37" t="str">
        <f t="array" ref="U2248">IF($F2248="","",IFERROR(INDEX(Config!$F:$F,MATCH($F2248,Config!$D:$D,0)),0))</f>
        <v/>
      </c>
    </row>
    <row r="2249" ht="15.0" customHeight="1">
      <c r="A2249" s="34"/>
      <c r="B2249" s="35"/>
      <c r="C2249" s="15"/>
      <c r="D2249" s="15"/>
      <c r="E2249" s="15"/>
      <c r="F2249" s="15"/>
      <c r="G2249" s="36" t="str">
        <f t="array" ref="G2249">IF($F2249="","",IFERROR(INDEX(Config!$E:$E,MATCH($F2249,Config!$D:$D,0)),0))</f>
        <v/>
      </c>
      <c r="H2249" s="16"/>
      <c r="I2249" s="36" t="str">
        <f t="shared" si="1"/>
        <v/>
      </c>
      <c r="J2249" s="16"/>
      <c r="K2249" s="15"/>
      <c r="L2249" s="15"/>
      <c r="M2249" s="36" t="str">
        <f t="array" ref="M2249">IF($A2249="","",IF($L2249="Atendido",IFERROR($I2249*INDEX(Config!$B:$B,MATCH($C2249,Config!$A:$A,0)),0),0))</f>
        <v/>
      </c>
      <c r="N2249" s="36" t="str">
        <f t="shared" si="2"/>
        <v/>
      </c>
      <c r="O2249" s="36" t="str">
        <f t="shared" si="3"/>
        <v/>
      </c>
      <c r="P2249" s="15"/>
      <c r="Q2249" s="37" t="str">
        <f t="shared" si="4"/>
        <v/>
      </c>
      <c r="R2249" s="37" t="str">
        <f t="shared" si="5"/>
        <v/>
      </c>
      <c r="S2249" s="32" t="str">
        <f t="shared" si="6"/>
        <v/>
      </c>
      <c r="T2249" s="37" t="str">
        <f t="shared" si="7"/>
        <v/>
      </c>
      <c r="U2249" s="37" t="str">
        <f t="array" ref="U2249">IF($F2249="","",IFERROR(INDEX(Config!$F:$F,MATCH($F2249,Config!$D:$D,0)),0))</f>
        <v/>
      </c>
    </row>
    <row r="2250" ht="15.0" customHeight="1">
      <c r="A2250" s="34"/>
      <c r="B2250" s="35"/>
      <c r="C2250" s="15"/>
      <c r="D2250" s="15"/>
      <c r="E2250" s="15"/>
      <c r="F2250" s="15"/>
      <c r="G2250" s="36" t="str">
        <f t="array" ref="G2250">IF($F2250="","",IFERROR(INDEX(Config!$E:$E,MATCH($F2250,Config!$D:$D,0)),0))</f>
        <v/>
      </c>
      <c r="H2250" s="16"/>
      <c r="I2250" s="36" t="str">
        <f t="shared" si="1"/>
        <v/>
      </c>
      <c r="J2250" s="16"/>
      <c r="K2250" s="15"/>
      <c r="L2250" s="15"/>
      <c r="M2250" s="36" t="str">
        <f t="array" ref="M2250">IF($A2250="","",IF($L2250="Atendido",IFERROR($I2250*INDEX(Config!$B:$B,MATCH($C2250,Config!$A:$A,0)),0),0))</f>
        <v/>
      </c>
      <c r="N2250" s="36" t="str">
        <f t="shared" si="2"/>
        <v/>
      </c>
      <c r="O2250" s="36" t="str">
        <f t="shared" si="3"/>
        <v/>
      </c>
      <c r="P2250" s="15"/>
      <c r="Q2250" s="37" t="str">
        <f t="shared" si="4"/>
        <v/>
      </c>
      <c r="R2250" s="37" t="str">
        <f t="shared" si="5"/>
        <v/>
      </c>
      <c r="S2250" s="32" t="str">
        <f t="shared" si="6"/>
        <v/>
      </c>
      <c r="T2250" s="37" t="str">
        <f t="shared" si="7"/>
        <v/>
      </c>
      <c r="U2250" s="37" t="str">
        <f t="array" ref="U2250">IF($F2250="","",IFERROR(INDEX(Config!$F:$F,MATCH($F2250,Config!$D:$D,0)),0))</f>
        <v/>
      </c>
    </row>
    <row r="2251" ht="15.0" customHeight="1">
      <c r="A2251" s="34"/>
      <c r="B2251" s="35"/>
      <c r="C2251" s="15"/>
      <c r="D2251" s="15"/>
      <c r="E2251" s="15"/>
      <c r="F2251" s="15"/>
      <c r="G2251" s="36" t="str">
        <f t="array" ref="G2251">IF($F2251="","",IFERROR(INDEX(Config!$E:$E,MATCH($F2251,Config!$D:$D,0)),0))</f>
        <v/>
      </c>
      <c r="H2251" s="16"/>
      <c r="I2251" s="36" t="str">
        <f t="shared" si="1"/>
        <v/>
      </c>
      <c r="J2251" s="16"/>
      <c r="K2251" s="15"/>
      <c r="L2251" s="15"/>
      <c r="M2251" s="36" t="str">
        <f t="array" ref="M2251">IF($A2251="","",IF($L2251="Atendido",IFERROR($I2251*INDEX(Config!$B:$B,MATCH($C2251,Config!$A:$A,0)),0),0))</f>
        <v/>
      </c>
      <c r="N2251" s="36" t="str">
        <f t="shared" si="2"/>
        <v/>
      </c>
      <c r="O2251" s="36" t="str">
        <f t="shared" si="3"/>
        <v/>
      </c>
      <c r="P2251" s="15"/>
      <c r="Q2251" s="37" t="str">
        <f t="shared" si="4"/>
        <v/>
      </c>
      <c r="R2251" s="37" t="str">
        <f t="shared" si="5"/>
        <v/>
      </c>
      <c r="S2251" s="32" t="str">
        <f t="shared" si="6"/>
        <v/>
      </c>
      <c r="T2251" s="37" t="str">
        <f t="shared" si="7"/>
        <v/>
      </c>
      <c r="U2251" s="37" t="str">
        <f t="array" ref="U2251">IF($F2251="","",IFERROR(INDEX(Config!$F:$F,MATCH($F2251,Config!$D:$D,0)),0))</f>
        <v/>
      </c>
    </row>
    <row r="2252" ht="15.0" customHeight="1">
      <c r="A2252" s="34"/>
      <c r="B2252" s="35"/>
      <c r="C2252" s="15"/>
      <c r="D2252" s="15"/>
      <c r="E2252" s="15"/>
      <c r="F2252" s="15"/>
      <c r="G2252" s="36" t="str">
        <f t="array" ref="G2252">IF($F2252="","",IFERROR(INDEX(Config!$E:$E,MATCH($F2252,Config!$D:$D,0)),0))</f>
        <v/>
      </c>
      <c r="H2252" s="16"/>
      <c r="I2252" s="36" t="str">
        <f t="shared" si="1"/>
        <v/>
      </c>
      <c r="J2252" s="16"/>
      <c r="K2252" s="15"/>
      <c r="L2252" s="15"/>
      <c r="M2252" s="36" t="str">
        <f t="array" ref="M2252">IF($A2252="","",IF($L2252="Atendido",IFERROR($I2252*INDEX(Config!$B:$B,MATCH($C2252,Config!$A:$A,0)),0),0))</f>
        <v/>
      </c>
      <c r="N2252" s="36" t="str">
        <f t="shared" si="2"/>
        <v/>
      </c>
      <c r="O2252" s="36" t="str">
        <f t="shared" si="3"/>
        <v/>
      </c>
      <c r="P2252" s="15"/>
      <c r="Q2252" s="37" t="str">
        <f t="shared" si="4"/>
        <v/>
      </c>
      <c r="R2252" s="37" t="str">
        <f t="shared" si="5"/>
        <v/>
      </c>
      <c r="S2252" s="32" t="str">
        <f t="shared" si="6"/>
        <v/>
      </c>
      <c r="T2252" s="37" t="str">
        <f t="shared" si="7"/>
        <v/>
      </c>
      <c r="U2252" s="37" t="str">
        <f t="array" ref="U2252">IF($F2252="","",IFERROR(INDEX(Config!$F:$F,MATCH($F2252,Config!$D:$D,0)),0))</f>
        <v/>
      </c>
    </row>
    <row r="2253" ht="15.0" customHeight="1">
      <c r="A2253" s="34"/>
      <c r="B2253" s="35"/>
      <c r="C2253" s="15"/>
      <c r="D2253" s="15"/>
      <c r="E2253" s="15"/>
      <c r="F2253" s="15"/>
      <c r="G2253" s="36" t="str">
        <f t="array" ref="G2253">IF($F2253="","",IFERROR(INDEX(Config!$E:$E,MATCH($F2253,Config!$D:$D,0)),0))</f>
        <v/>
      </c>
      <c r="H2253" s="16"/>
      <c r="I2253" s="36" t="str">
        <f t="shared" si="1"/>
        <v/>
      </c>
      <c r="J2253" s="16"/>
      <c r="K2253" s="15"/>
      <c r="L2253" s="15"/>
      <c r="M2253" s="36" t="str">
        <f t="array" ref="M2253">IF($A2253="","",IF($L2253="Atendido",IFERROR($I2253*INDEX(Config!$B:$B,MATCH($C2253,Config!$A:$A,0)),0),0))</f>
        <v/>
      </c>
      <c r="N2253" s="36" t="str">
        <f t="shared" si="2"/>
        <v/>
      </c>
      <c r="O2253" s="36" t="str">
        <f t="shared" si="3"/>
        <v/>
      </c>
      <c r="P2253" s="15"/>
      <c r="Q2253" s="37" t="str">
        <f t="shared" si="4"/>
        <v/>
      </c>
      <c r="R2253" s="37" t="str">
        <f t="shared" si="5"/>
        <v/>
      </c>
      <c r="S2253" s="32" t="str">
        <f t="shared" si="6"/>
        <v/>
      </c>
      <c r="T2253" s="37" t="str">
        <f t="shared" si="7"/>
        <v/>
      </c>
      <c r="U2253" s="37" t="str">
        <f t="array" ref="U2253">IF($F2253="","",IFERROR(INDEX(Config!$F:$F,MATCH($F2253,Config!$D:$D,0)),0))</f>
        <v/>
      </c>
    </row>
    <row r="2254" ht="15.0" customHeight="1">
      <c r="A2254" s="34"/>
      <c r="B2254" s="35"/>
      <c r="C2254" s="15"/>
      <c r="D2254" s="15"/>
      <c r="E2254" s="15"/>
      <c r="F2254" s="15"/>
      <c r="G2254" s="36" t="str">
        <f t="array" ref="G2254">IF($F2254="","",IFERROR(INDEX(Config!$E:$E,MATCH($F2254,Config!$D:$D,0)),0))</f>
        <v/>
      </c>
      <c r="H2254" s="16"/>
      <c r="I2254" s="36" t="str">
        <f t="shared" si="1"/>
        <v/>
      </c>
      <c r="J2254" s="16"/>
      <c r="K2254" s="15"/>
      <c r="L2254" s="15"/>
      <c r="M2254" s="36" t="str">
        <f t="array" ref="M2254">IF($A2254="","",IF($L2254="Atendido",IFERROR($I2254*INDEX(Config!$B:$B,MATCH($C2254,Config!$A:$A,0)),0),0))</f>
        <v/>
      </c>
      <c r="N2254" s="36" t="str">
        <f t="shared" si="2"/>
        <v/>
      </c>
      <c r="O2254" s="36" t="str">
        <f t="shared" si="3"/>
        <v/>
      </c>
      <c r="P2254" s="15"/>
      <c r="Q2254" s="37" t="str">
        <f t="shared" si="4"/>
        <v/>
      </c>
      <c r="R2254" s="37" t="str">
        <f t="shared" si="5"/>
        <v/>
      </c>
      <c r="S2254" s="32" t="str">
        <f t="shared" si="6"/>
        <v/>
      </c>
      <c r="T2254" s="37" t="str">
        <f t="shared" si="7"/>
        <v/>
      </c>
      <c r="U2254" s="37" t="str">
        <f t="array" ref="U2254">IF($F2254="","",IFERROR(INDEX(Config!$F:$F,MATCH($F2254,Config!$D:$D,0)),0))</f>
        <v/>
      </c>
    </row>
    <row r="2255" ht="15.0" customHeight="1">
      <c r="A2255" s="34"/>
      <c r="B2255" s="35"/>
      <c r="C2255" s="15"/>
      <c r="D2255" s="15"/>
      <c r="E2255" s="15"/>
      <c r="F2255" s="15"/>
      <c r="G2255" s="36" t="str">
        <f t="array" ref="G2255">IF($F2255="","",IFERROR(INDEX(Config!$E:$E,MATCH($F2255,Config!$D:$D,0)),0))</f>
        <v/>
      </c>
      <c r="H2255" s="16"/>
      <c r="I2255" s="36" t="str">
        <f t="shared" si="1"/>
        <v/>
      </c>
      <c r="J2255" s="16"/>
      <c r="K2255" s="15"/>
      <c r="L2255" s="15"/>
      <c r="M2255" s="36" t="str">
        <f t="array" ref="M2255">IF($A2255="","",IF($L2255="Atendido",IFERROR($I2255*INDEX(Config!$B:$B,MATCH($C2255,Config!$A:$A,0)),0),0))</f>
        <v/>
      </c>
      <c r="N2255" s="36" t="str">
        <f t="shared" si="2"/>
        <v/>
      </c>
      <c r="O2255" s="36" t="str">
        <f t="shared" si="3"/>
        <v/>
      </c>
      <c r="P2255" s="15"/>
      <c r="Q2255" s="37" t="str">
        <f t="shared" si="4"/>
        <v/>
      </c>
      <c r="R2255" s="37" t="str">
        <f t="shared" si="5"/>
        <v/>
      </c>
      <c r="S2255" s="32" t="str">
        <f t="shared" si="6"/>
        <v/>
      </c>
      <c r="T2255" s="37" t="str">
        <f t="shared" si="7"/>
        <v/>
      </c>
      <c r="U2255" s="37" t="str">
        <f t="array" ref="U2255">IF($F2255="","",IFERROR(INDEX(Config!$F:$F,MATCH($F2255,Config!$D:$D,0)),0))</f>
        <v/>
      </c>
    </row>
    <row r="2256" ht="15.0" customHeight="1">
      <c r="A2256" s="34"/>
      <c r="B2256" s="35"/>
      <c r="C2256" s="15"/>
      <c r="D2256" s="15"/>
      <c r="E2256" s="15"/>
      <c r="F2256" s="15"/>
      <c r="G2256" s="36" t="str">
        <f t="array" ref="G2256">IF($F2256="","",IFERROR(INDEX(Config!$E:$E,MATCH($F2256,Config!$D:$D,0)),0))</f>
        <v/>
      </c>
      <c r="H2256" s="16"/>
      <c r="I2256" s="36" t="str">
        <f t="shared" si="1"/>
        <v/>
      </c>
      <c r="J2256" s="16"/>
      <c r="K2256" s="15"/>
      <c r="L2256" s="15"/>
      <c r="M2256" s="36" t="str">
        <f t="array" ref="M2256">IF($A2256="","",IF($L2256="Atendido",IFERROR($I2256*INDEX(Config!$B:$B,MATCH($C2256,Config!$A:$A,0)),0),0))</f>
        <v/>
      </c>
      <c r="N2256" s="36" t="str">
        <f t="shared" si="2"/>
        <v/>
      </c>
      <c r="O2256" s="36" t="str">
        <f t="shared" si="3"/>
        <v/>
      </c>
      <c r="P2256" s="15"/>
      <c r="Q2256" s="37" t="str">
        <f t="shared" si="4"/>
        <v/>
      </c>
      <c r="R2256" s="37" t="str">
        <f t="shared" si="5"/>
        <v/>
      </c>
      <c r="S2256" s="32" t="str">
        <f t="shared" si="6"/>
        <v/>
      </c>
      <c r="T2256" s="37" t="str">
        <f t="shared" si="7"/>
        <v/>
      </c>
      <c r="U2256" s="37" t="str">
        <f t="array" ref="U2256">IF($F2256="","",IFERROR(INDEX(Config!$F:$F,MATCH($F2256,Config!$D:$D,0)),0))</f>
        <v/>
      </c>
    </row>
    <row r="2257" ht="15.0" customHeight="1">
      <c r="A2257" s="34"/>
      <c r="B2257" s="35"/>
      <c r="C2257" s="15"/>
      <c r="D2257" s="15"/>
      <c r="E2257" s="15"/>
      <c r="F2257" s="15"/>
      <c r="G2257" s="36" t="str">
        <f t="array" ref="G2257">IF($F2257="","",IFERROR(INDEX(Config!$E:$E,MATCH($F2257,Config!$D:$D,0)),0))</f>
        <v/>
      </c>
      <c r="H2257" s="16"/>
      <c r="I2257" s="36" t="str">
        <f t="shared" si="1"/>
        <v/>
      </c>
      <c r="J2257" s="16"/>
      <c r="K2257" s="15"/>
      <c r="L2257" s="15"/>
      <c r="M2257" s="36" t="str">
        <f t="array" ref="M2257">IF($A2257="","",IF($L2257="Atendido",IFERROR($I2257*INDEX(Config!$B:$B,MATCH($C2257,Config!$A:$A,0)),0),0))</f>
        <v/>
      </c>
      <c r="N2257" s="36" t="str">
        <f t="shared" si="2"/>
        <v/>
      </c>
      <c r="O2257" s="36" t="str">
        <f t="shared" si="3"/>
        <v/>
      </c>
      <c r="P2257" s="15"/>
      <c r="Q2257" s="37" t="str">
        <f t="shared" si="4"/>
        <v/>
      </c>
      <c r="R2257" s="37" t="str">
        <f t="shared" si="5"/>
        <v/>
      </c>
      <c r="S2257" s="32" t="str">
        <f t="shared" si="6"/>
        <v/>
      </c>
      <c r="T2257" s="37" t="str">
        <f t="shared" si="7"/>
        <v/>
      </c>
      <c r="U2257" s="37" t="str">
        <f t="array" ref="U2257">IF($F2257="","",IFERROR(INDEX(Config!$F:$F,MATCH($F2257,Config!$D:$D,0)),0))</f>
        <v/>
      </c>
    </row>
    <row r="2258" ht="15.0" customHeight="1">
      <c r="A2258" s="34"/>
      <c r="B2258" s="35"/>
      <c r="C2258" s="15"/>
      <c r="D2258" s="15"/>
      <c r="E2258" s="15"/>
      <c r="F2258" s="15"/>
      <c r="G2258" s="36" t="str">
        <f t="array" ref="G2258">IF($F2258="","",IFERROR(INDEX(Config!$E:$E,MATCH($F2258,Config!$D:$D,0)),0))</f>
        <v/>
      </c>
      <c r="H2258" s="16"/>
      <c r="I2258" s="36" t="str">
        <f t="shared" si="1"/>
        <v/>
      </c>
      <c r="J2258" s="16"/>
      <c r="K2258" s="15"/>
      <c r="L2258" s="15"/>
      <c r="M2258" s="36" t="str">
        <f t="array" ref="M2258">IF($A2258="","",IF($L2258="Atendido",IFERROR($I2258*INDEX(Config!$B:$B,MATCH($C2258,Config!$A:$A,0)),0),0))</f>
        <v/>
      </c>
      <c r="N2258" s="36" t="str">
        <f t="shared" si="2"/>
        <v/>
      </c>
      <c r="O2258" s="36" t="str">
        <f t="shared" si="3"/>
        <v/>
      </c>
      <c r="P2258" s="15"/>
      <c r="Q2258" s="37" t="str">
        <f t="shared" si="4"/>
        <v/>
      </c>
      <c r="R2258" s="37" t="str">
        <f t="shared" si="5"/>
        <v/>
      </c>
      <c r="S2258" s="32" t="str">
        <f t="shared" si="6"/>
        <v/>
      </c>
      <c r="T2258" s="37" t="str">
        <f t="shared" si="7"/>
        <v/>
      </c>
      <c r="U2258" s="37" t="str">
        <f t="array" ref="U2258">IF($F2258="","",IFERROR(INDEX(Config!$F:$F,MATCH($F2258,Config!$D:$D,0)),0))</f>
        <v/>
      </c>
    </row>
    <row r="2259" ht="15.0" customHeight="1">
      <c r="A2259" s="34"/>
      <c r="B2259" s="35"/>
      <c r="C2259" s="15"/>
      <c r="D2259" s="15"/>
      <c r="E2259" s="15"/>
      <c r="F2259" s="15"/>
      <c r="G2259" s="36" t="str">
        <f t="array" ref="G2259">IF($F2259="","",IFERROR(INDEX(Config!$E:$E,MATCH($F2259,Config!$D:$D,0)),0))</f>
        <v/>
      </c>
      <c r="H2259" s="16"/>
      <c r="I2259" s="36" t="str">
        <f t="shared" si="1"/>
        <v/>
      </c>
      <c r="J2259" s="16"/>
      <c r="K2259" s="15"/>
      <c r="L2259" s="15"/>
      <c r="M2259" s="36" t="str">
        <f t="array" ref="M2259">IF($A2259="","",IF($L2259="Atendido",IFERROR($I2259*INDEX(Config!$B:$B,MATCH($C2259,Config!$A:$A,0)),0),0))</f>
        <v/>
      </c>
      <c r="N2259" s="36" t="str">
        <f t="shared" si="2"/>
        <v/>
      </c>
      <c r="O2259" s="36" t="str">
        <f t="shared" si="3"/>
        <v/>
      </c>
      <c r="P2259" s="15"/>
      <c r="Q2259" s="37" t="str">
        <f t="shared" si="4"/>
        <v/>
      </c>
      <c r="R2259" s="37" t="str">
        <f t="shared" si="5"/>
        <v/>
      </c>
      <c r="S2259" s="32" t="str">
        <f t="shared" si="6"/>
        <v/>
      </c>
      <c r="T2259" s="37" t="str">
        <f t="shared" si="7"/>
        <v/>
      </c>
      <c r="U2259" s="37" t="str">
        <f t="array" ref="U2259">IF($F2259="","",IFERROR(INDEX(Config!$F:$F,MATCH($F2259,Config!$D:$D,0)),0))</f>
        <v/>
      </c>
    </row>
    <row r="2260" ht="15.0" customHeight="1">
      <c r="A2260" s="34"/>
      <c r="B2260" s="35"/>
      <c r="C2260" s="15"/>
      <c r="D2260" s="15"/>
      <c r="E2260" s="15"/>
      <c r="F2260" s="15"/>
      <c r="G2260" s="36" t="str">
        <f t="array" ref="G2260">IF($F2260="","",IFERROR(INDEX(Config!$E:$E,MATCH($F2260,Config!$D:$D,0)),0))</f>
        <v/>
      </c>
      <c r="H2260" s="16"/>
      <c r="I2260" s="36" t="str">
        <f t="shared" si="1"/>
        <v/>
      </c>
      <c r="J2260" s="16"/>
      <c r="K2260" s="15"/>
      <c r="L2260" s="15"/>
      <c r="M2260" s="36" t="str">
        <f t="array" ref="M2260">IF($A2260="","",IF($L2260="Atendido",IFERROR($I2260*INDEX(Config!$B:$B,MATCH($C2260,Config!$A:$A,0)),0),0))</f>
        <v/>
      </c>
      <c r="N2260" s="36" t="str">
        <f t="shared" si="2"/>
        <v/>
      </c>
      <c r="O2260" s="36" t="str">
        <f t="shared" si="3"/>
        <v/>
      </c>
      <c r="P2260" s="15"/>
      <c r="Q2260" s="37" t="str">
        <f t="shared" si="4"/>
        <v/>
      </c>
      <c r="R2260" s="37" t="str">
        <f t="shared" si="5"/>
        <v/>
      </c>
      <c r="S2260" s="32" t="str">
        <f t="shared" si="6"/>
        <v/>
      </c>
      <c r="T2260" s="37" t="str">
        <f t="shared" si="7"/>
        <v/>
      </c>
      <c r="U2260" s="37" t="str">
        <f t="array" ref="U2260">IF($F2260="","",IFERROR(INDEX(Config!$F:$F,MATCH($F2260,Config!$D:$D,0)),0))</f>
        <v/>
      </c>
    </row>
    <row r="2261" ht="15.0" customHeight="1">
      <c r="A2261" s="34"/>
      <c r="B2261" s="35"/>
      <c r="C2261" s="15"/>
      <c r="D2261" s="15"/>
      <c r="E2261" s="15"/>
      <c r="F2261" s="15"/>
      <c r="G2261" s="36" t="str">
        <f t="array" ref="G2261">IF($F2261="","",IFERROR(INDEX(Config!$E:$E,MATCH($F2261,Config!$D:$D,0)),0))</f>
        <v/>
      </c>
      <c r="H2261" s="16"/>
      <c r="I2261" s="36" t="str">
        <f t="shared" si="1"/>
        <v/>
      </c>
      <c r="J2261" s="16"/>
      <c r="K2261" s="15"/>
      <c r="L2261" s="15"/>
      <c r="M2261" s="36" t="str">
        <f t="array" ref="M2261">IF($A2261="","",IF($L2261="Atendido",IFERROR($I2261*INDEX(Config!$B:$B,MATCH($C2261,Config!$A:$A,0)),0),0))</f>
        <v/>
      </c>
      <c r="N2261" s="36" t="str">
        <f t="shared" si="2"/>
        <v/>
      </c>
      <c r="O2261" s="36" t="str">
        <f t="shared" si="3"/>
        <v/>
      </c>
      <c r="P2261" s="15"/>
      <c r="Q2261" s="37" t="str">
        <f t="shared" si="4"/>
        <v/>
      </c>
      <c r="R2261" s="37" t="str">
        <f t="shared" si="5"/>
        <v/>
      </c>
      <c r="S2261" s="32" t="str">
        <f t="shared" si="6"/>
        <v/>
      </c>
      <c r="T2261" s="37" t="str">
        <f t="shared" si="7"/>
        <v/>
      </c>
      <c r="U2261" s="37" t="str">
        <f t="array" ref="U2261">IF($F2261="","",IFERROR(INDEX(Config!$F:$F,MATCH($F2261,Config!$D:$D,0)),0))</f>
        <v/>
      </c>
    </row>
    <row r="2262" ht="15.0" customHeight="1">
      <c r="A2262" s="34"/>
      <c r="B2262" s="35"/>
      <c r="C2262" s="15"/>
      <c r="D2262" s="15"/>
      <c r="E2262" s="15"/>
      <c r="F2262" s="15"/>
      <c r="G2262" s="36" t="str">
        <f t="array" ref="G2262">IF($F2262="","",IFERROR(INDEX(Config!$E:$E,MATCH($F2262,Config!$D:$D,0)),0))</f>
        <v/>
      </c>
      <c r="H2262" s="16"/>
      <c r="I2262" s="36" t="str">
        <f t="shared" si="1"/>
        <v/>
      </c>
      <c r="J2262" s="16"/>
      <c r="K2262" s="15"/>
      <c r="L2262" s="15"/>
      <c r="M2262" s="36" t="str">
        <f t="array" ref="M2262">IF($A2262="","",IF($L2262="Atendido",IFERROR($I2262*INDEX(Config!$B:$B,MATCH($C2262,Config!$A:$A,0)),0),0))</f>
        <v/>
      </c>
      <c r="N2262" s="36" t="str">
        <f t="shared" si="2"/>
        <v/>
      </c>
      <c r="O2262" s="36" t="str">
        <f t="shared" si="3"/>
        <v/>
      </c>
      <c r="P2262" s="15"/>
      <c r="Q2262" s="37" t="str">
        <f t="shared" si="4"/>
        <v/>
      </c>
      <c r="R2262" s="37" t="str">
        <f t="shared" si="5"/>
        <v/>
      </c>
      <c r="S2262" s="32" t="str">
        <f t="shared" si="6"/>
        <v/>
      </c>
      <c r="T2262" s="37" t="str">
        <f t="shared" si="7"/>
        <v/>
      </c>
      <c r="U2262" s="37" t="str">
        <f t="array" ref="U2262">IF($F2262="","",IFERROR(INDEX(Config!$F:$F,MATCH($F2262,Config!$D:$D,0)),0))</f>
        <v/>
      </c>
    </row>
    <row r="2263" ht="15.0" customHeight="1">
      <c r="A2263" s="34"/>
      <c r="B2263" s="35"/>
      <c r="C2263" s="15"/>
      <c r="D2263" s="15"/>
      <c r="E2263" s="15"/>
      <c r="F2263" s="15"/>
      <c r="G2263" s="36" t="str">
        <f t="array" ref="G2263">IF($F2263="","",IFERROR(INDEX(Config!$E:$E,MATCH($F2263,Config!$D:$D,0)),0))</f>
        <v/>
      </c>
      <c r="H2263" s="16"/>
      <c r="I2263" s="36" t="str">
        <f t="shared" si="1"/>
        <v/>
      </c>
      <c r="J2263" s="16"/>
      <c r="K2263" s="15"/>
      <c r="L2263" s="15"/>
      <c r="M2263" s="36" t="str">
        <f t="array" ref="M2263">IF($A2263="","",IF($L2263="Atendido",IFERROR($I2263*INDEX(Config!$B:$B,MATCH($C2263,Config!$A:$A,0)),0),0))</f>
        <v/>
      </c>
      <c r="N2263" s="36" t="str">
        <f t="shared" si="2"/>
        <v/>
      </c>
      <c r="O2263" s="36" t="str">
        <f t="shared" si="3"/>
        <v/>
      </c>
      <c r="P2263" s="15"/>
      <c r="Q2263" s="37" t="str">
        <f t="shared" si="4"/>
        <v/>
      </c>
      <c r="R2263" s="37" t="str">
        <f t="shared" si="5"/>
        <v/>
      </c>
      <c r="S2263" s="32" t="str">
        <f t="shared" si="6"/>
        <v/>
      </c>
      <c r="T2263" s="37" t="str">
        <f t="shared" si="7"/>
        <v/>
      </c>
      <c r="U2263" s="37" t="str">
        <f t="array" ref="U2263">IF($F2263="","",IFERROR(INDEX(Config!$F:$F,MATCH($F2263,Config!$D:$D,0)),0))</f>
        <v/>
      </c>
    </row>
    <row r="2264" ht="15.0" customHeight="1">
      <c r="A2264" s="34"/>
      <c r="B2264" s="35"/>
      <c r="C2264" s="15"/>
      <c r="D2264" s="15"/>
      <c r="E2264" s="15"/>
      <c r="F2264" s="15"/>
      <c r="G2264" s="36" t="str">
        <f t="array" ref="G2264">IF($F2264="","",IFERROR(INDEX(Config!$E:$E,MATCH($F2264,Config!$D:$D,0)),0))</f>
        <v/>
      </c>
      <c r="H2264" s="16"/>
      <c r="I2264" s="36" t="str">
        <f t="shared" si="1"/>
        <v/>
      </c>
      <c r="J2264" s="16"/>
      <c r="K2264" s="15"/>
      <c r="L2264" s="15"/>
      <c r="M2264" s="36" t="str">
        <f t="array" ref="M2264">IF($A2264="","",IF($L2264="Atendido",IFERROR($I2264*INDEX(Config!$B:$B,MATCH($C2264,Config!$A:$A,0)),0),0))</f>
        <v/>
      </c>
      <c r="N2264" s="36" t="str">
        <f t="shared" si="2"/>
        <v/>
      </c>
      <c r="O2264" s="36" t="str">
        <f t="shared" si="3"/>
        <v/>
      </c>
      <c r="P2264" s="15"/>
      <c r="Q2264" s="37" t="str">
        <f t="shared" si="4"/>
        <v/>
      </c>
      <c r="R2264" s="37" t="str">
        <f t="shared" si="5"/>
        <v/>
      </c>
      <c r="S2264" s="32" t="str">
        <f t="shared" si="6"/>
        <v/>
      </c>
      <c r="T2264" s="37" t="str">
        <f t="shared" si="7"/>
        <v/>
      </c>
      <c r="U2264" s="37" t="str">
        <f t="array" ref="U2264">IF($F2264="","",IFERROR(INDEX(Config!$F:$F,MATCH($F2264,Config!$D:$D,0)),0))</f>
        <v/>
      </c>
    </row>
    <row r="2265" ht="15.0" customHeight="1">
      <c r="A2265" s="34"/>
      <c r="B2265" s="35"/>
      <c r="C2265" s="15"/>
      <c r="D2265" s="15"/>
      <c r="E2265" s="15"/>
      <c r="F2265" s="15"/>
      <c r="G2265" s="36" t="str">
        <f t="array" ref="G2265">IF($F2265="","",IFERROR(INDEX(Config!$E:$E,MATCH($F2265,Config!$D:$D,0)),0))</f>
        <v/>
      </c>
      <c r="H2265" s="16"/>
      <c r="I2265" s="36" t="str">
        <f t="shared" si="1"/>
        <v/>
      </c>
      <c r="J2265" s="16"/>
      <c r="K2265" s="15"/>
      <c r="L2265" s="15"/>
      <c r="M2265" s="36" t="str">
        <f t="array" ref="M2265">IF($A2265="","",IF($L2265="Atendido",IFERROR($I2265*INDEX(Config!$B:$B,MATCH($C2265,Config!$A:$A,0)),0),0))</f>
        <v/>
      </c>
      <c r="N2265" s="36" t="str">
        <f t="shared" si="2"/>
        <v/>
      </c>
      <c r="O2265" s="36" t="str">
        <f t="shared" si="3"/>
        <v/>
      </c>
      <c r="P2265" s="15"/>
      <c r="Q2265" s="37" t="str">
        <f t="shared" si="4"/>
        <v/>
      </c>
      <c r="R2265" s="37" t="str">
        <f t="shared" si="5"/>
        <v/>
      </c>
      <c r="S2265" s="32" t="str">
        <f t="shared" si="6"/>
        <v/>
      </c>
      <c r="T2265" s="37" t="str">
        <f t="shared" si="7"/>
        <v/>
      </c>
      <c r="U2265" s="37" t="str">
        <f t="array" ref="U2265">IF($F2265="","",IFERROR(INDEX(Config!$F:$F,MATCH($F2265,Config!$D:$D,0)),0))</f>
        <v/>
      </c>
    </row>
    <row r="2266" ht="15.0" customHeight="1">
      <c r="A2266" s="34"/>
      <c r="B2266" s="35"/>
      <c r="C2266" s="15"/>
      <c r="D2266" s="15"/>
      <c r="E2266" s="15"/>
      <c r="F2266" s="15"/>
      <c r="G2266" s="36" t="str">
        <f t="array" ref="G2266">IF($F2266="","",IFERROR(INDEX(Config!$E:$E,MATCH($F2266,Config!$D:$D,0)),0))</f>
        <v/>
      </c>
      <c r="H2266" s="16"/>
      <c r="I2266" s="36" t="str">
        <f t="shared" si="1"/>
        <v/>
      </c>
      <c r="J2266" s="16"/>
      <c r="K2266" s="15"/>
      <c r="L2266" s="15"/>
      <c r="M2266" s="36" t="str">
        <f t="array" ref="M2266">IF($A2266="","",IF($L2266="Atendido",IFERROR($I2266*INDEX(Config!$B:$B,MATCH($C2266,Config!$A:$A,0)),0),0))</f>
        <v/>
      </c>
      <c r="N2266" s="36" t="str">
        <f t="shared" si="2"/>
        <v/>
      </c>
      <c r="O2266" s="36" t="str">
        <f t="shared" si="3"/>
        <v/>
      </c>
      <c r="P2266" s="15"/>
      <c r="Q2266" s="37" t="str">
        <f t="shared" si="4"/>
        <v/>
      </c>
      <c r="R2266" s="37" t="str">
        <f t="shared" si="5"/>
        <v/>
      </c>
      <c r="S2266" s="32" t="str">
        <f t="shared" si="6"/>
        <v/>
      </c>
      <c r="T2266" s="37" t="str">
        <f t="shared" si="7"/>
        <v/>
      </c>
      <c r="U2266" s="37" t="str">
        <f t="array" ref="U2266">IF($F2266="","",IFERROR(INDEX(Config!$F:$F,MATCH($F2266,Config!$D:$D,0)),0))</f>
        <v/>
      </c>
    </row>
    <row r="2267" ht="15.0" customHeight="1">
      <c r="A2267" s="34"/>
      <c r="B2267" s="35"/>
      <c r="C2267" s="15"/>
      <c r="D2267" s="15"/>
      <c r="E2267" s="15"/>
      <c r="F2267" s="15"/>
      <c r="G2267" s="36" t="str">
        <f t="array" ref="G2267">IF($F2267="","",IFERROR(INDEX(Config!$E:$E,MATCH($F2267,Config!$D:$D,0)),0))</f>
        <v/>
      </c>
      <c r="H2267" s="16"/>
      <c r="I2267" s="36" t="str">
        <f t="shared" si="1"/>
        <v/>
      </c>
      <c r="J2267" s="16"/>
      <c r="K2267" s="15"/>
      <c r="L2267" s="15"/>
      <c r="M2267" s="36" t="str">
        <f t="array" ref="M2267">IF($A2267="","",IF($L2267="Atendido",IFERROR($I2267*INDEX(Config!$B:$B,MATCH($C2267,Config!$A:$A,0)),0),0))</f>
        <v/>
      </c>
      <c r="N2267" s="36" t="str">
        <f t="shared" si="2"/>
        <v/>
      </c>
      <c r="O2267" s="36" t="str">
        <f t="shared" si="3"/>
        <v/>
      </c>
      <c r="P2267" s="15"/>
      <c r="Q2267" s="37" t="str">
        <f t="shared" si="4"/>
        <v/>
      </c>
      <c r="R2267" s="37" t="str">
        <f t="shared" si="5"/>
        <v/>
      </c>
      <c r="S2267" s="32" t="str">
        <f t="shared" si="6"/>
        <v/>
      </c>
      <c r="T2267" s="37" t="str">
        <f t="shared" si="7"/>
        <v/>
      </c>
      <c r="U2267" s="37" t="str">
        <f t="array" ref="U2267">IF($F2267="","",IFERROR(INDEX(Config!$F:$F,MATCH($F2267,Config!$D:$D,0)),0))</f>
        <v/>
      </c>
    </row>
    <row r="2268" ht="15.0" customHeight="1">
      <c r="A2268" s="34"/>
      <c r="B2268" s="35"/>
      <c r="C2268" s="15"/>
      <c r="D2268" s="15"/>
      <c r="E2268" s="15"/>
      <c r="F2268" s="15"/>
      <c r="G2268" s="36" t="str">
        <f t="array" ref="G2268">IF($F2268="","",IFERROR(INDEX(Config!$E:$E,MATCH($F2268,Config!$D:$D,0)),0))</f>
        <v/>
      </c>
      <c r="H2268" s="16"/>
      <c r="I2268" s="36" t="str">
        <f t="shared" si="1"/>
        <v/>
      </c>
      <c r="J2268" s="16"/>
      <c r="K2268" s="15"/>
      <c r="L2268" s="15"/>
      <c r="M2268" s="36" t="str">
        <f t="array" ref="M2268">IF($A2268="","",IF($L2268="Atendido",IFERROR($I2268*INDEX(Config!$B:$B,MATCH($C2268,Config!$A:$A,0)),0),0))</f>
        <v/>
      </c>
      <c r="N2268" s="36" t="str">
        <f t="shared" si="2"/>
        <v/>
      </c>
      <c r="O2268" s="36" t="str">
        <f t="shared" si="3"/>
        <v/>
      </c>
      <c r="P2268" s="15"/>
      <c r="Q2268" s="37" t="str">
        <f t="shared" si="4"/>
        <v/>
      </c>
      <c r="R2268" s="37" t="str">
        <f t="shared" si="5"/>
        <v/>
      </c>
      <c r="S2268" s="32" t="str">
        <f t="shared" si="6"/>
        <v/>
      </c>
      <c r="T2268" s="37" t="str">
        <f t="shared" si="7"/>
        <v/>
      </c>
      <c r="U2268" s="37" t="str">
        <f t="array" ref="U2268">IF($F2268="","",IFERROR(INDEX(Config!$F:$F,MATCH($F2268,Config!$D:$D,0)),0))</f>
        <v/>
      </c>
    </row>
    <row r="2269" ht="15.0" customHeight="1">
      <c r="A2269" s="34"/>
      <c r="B2269" s="35"/>
      <c r="C2269" s="15"/>
      <c r="D2269" s="15"/>
      <c r="E2269" s="15"/>
      <c r="F2269" s="15"/>
      <c r="G2269" s="36" t="str">
        <f t="array" ref="G2269">IF($F2269="","",IFERROR(INDEX(Config!$E:$E,MATCH($F2269,Config!$D:$D,0)),0))</f>
        <v/>
      </c>
      <c r="H2269" s="16"/>
      <c r="I2269" s="36" t="str">
        <f t="shared" si="1"/>
        <v/>
      </c>
      <c r="J2269" s="16"/>
      <c r="K2269" s="15"/>
      <c r="L2269" s="15"/>
      <c r="M2269" s="36" t="str">
        <f t="array" ref="M2269">IF($A2269="","",IF($L2269="Atendido",IFERROR($I2269*INDEX(Config!$B:$B,MATCH($C2269,Config!$A:$A,0)),0),0))</f>
        <v/>
      </c>
      <c r="N2269" s="36" t="str">
        <f t="shared" si="2"/>
        <v/>
      </c>
      <c r="O2269" s="36" t="str">
        <f t="shared" si="3"/>
        <v/>
      </c>
      <c r="P2269" s="15"/>
      <c r="Q2269" s="37" t="str">
        <f t="shared" si="4"/>
        <v/>
      </c>
      <c r="R2269" s="37" t="str">
        <f t="shared" si="5"/>
        <v/>
      </c>
      <c r="S2269" s="32" t="str">
        <f t="shared" si="6"/>
        <v/>
      </c>
      <c r="T2269" s="37" t="str">
        <f t="shared" si="7"/>
        <v/>
      </c>
      <c r="U2269" s="37" t="str">
        <f t="array" ref="U2269">IF($F2269="","",IFERROR(INDEX(Config!$F:$F,MATCH($F2269,Config!$D:$D,0)),0))</f>
        <v/>
      </c>
    </row>
    <row r="2270" ht="15.0" customHeight="1">
      <c r="A2270" s="34"/>
      <c r="B2270" s="35"/>
      <c r="C2270" s="15"/>
      <c r="D2270" s="15"/>
      <c r="E2270" s="15"/>
      <c r="F2270" s="15"/>
      <c r="G2270" s="36" t="str">
        <f t="array" ref="G2270">IF($F2270="","",IFERROR(INDEX(Config!$E:$E,MATCH($F2270,Config!$D:$D,0)),0))</f>
        <v/>
      </c>
      <c r="H2270" s="16"/>
      <c r="I2270" s="36" t="str">
        <f t="shared" si="1"/>
        <v/>
      </c>
      <c r="J2270" s="16"/>
      <c r="K2270" s="15"/>
      <c r="L2270" s="15"/>
      <c r="M2270" s="36" t="str">
        <f t="array" ref="M2270">IF($A2270="","",IF($L2270="Atendido",IFERROR($I2270*INDEX(Config!$B:$B,MATCH($C2270,Config!$A:$A,0)),0),0))</f>
        <v/>
      </c>
      <c r="N2270" s="36" t="str">
        <f t="shared" si="2"/>
        <v/>
      </c>
      <c r="O2270" s="36" t="str">
        <f t="shared" si="3"/>
        <v/>
      </c>
      <c r="P2270" s="15"/>
      <c r="Q2270" s="37" t="str">
        <f t="shared" si="4"/>
        <v/>
      </c>
      <c r="R2270" s="37" t="str">
        <f t="shared" si="5"/>
        <v/>
      </c>
      <c r="S2270" s="32" t="str">
        <f t="shared" si="6"/>
        <v/>
      </c>
      <c r="T2270" s="37" t="str">
        <f t="shared" si="7"/>
        <v/>
      </c>
      <c r="U2270" s="37" t="str">
        <f t="array" ref="U2270">IF($F2270="","",IFERROR(INDEX(Config!$F:$F,MATCH($F2270,Config!$D:$D,0)),0))</f>
        <v/>
      </c>
    </row>
    <row r="2271" ht="15.0" customHeight="1">
      <c r="A2271" s="34"/>
      <c r="B2271" s="35"/>
      <c r="C2271" s="15"/>
      <c r="D2271" s="15"/>
      <c r="E2271" s="15"/>
      <c r="F2271" s="15"/>
      <c r="G2271" s="36" t="str">
        <f t="array" ref="G2271">IF($F2271="","",IFERROR(INDEX(Config!$E:$E,MATCH($F2271,Config!$D:$D,0)),0))</f>
        <v/>
      </c>
      <c r="H2271" s="16"/>
      <c r="I2271" s="36" t="str">
        <f t="shared" si="1"/>
        <v/>
      </c>
      <c r="J2271" s="16"/>
      <c r="K2271" s="15"/>
      <c r="L2271" s="15"/>
      <c r="M2271" s="36" t="str">
        <f t="array" ref="M2271">IF($A2271="","",IF($L2271="Atendido",IFERROR($I2271*INDEX(Config!$B:$B,MATCH($C2271,Config!$A:$A,0)),0),0))</f>
        <v/>
      </c>
      <c r="N2271" s="36" t="str">
        <f t="shared" si="2"/>
        <v/>
      </c>
      <c r="O2271" s="36" t="str">
        <f t="shared" si="3"/>
        <v/>
      </c>
      <c r="P2271" s="15"/>
      <c r="Q2271" s="37" t="str">
        <f t="shared" si="4"/>
        <v/>
      </c>
      <c r="R2271" s="37" t="str">
        <f t="shared" si="5"/>
        <v/>
      </c>
      <c r="S2271" s="32" t="str">
        <f t="shared" si="6"/>
        <v/>
      </c>
      <c r="T2271" s="37" t="str">
        <f t="shared" si="7"/>
        <v/>
      </c>
      <c r="U2271" s="37" t="str">
        <f t="array" ref="U2271">IF($F2271="","",IFERROR(INDEX(Config!$F:$F,MATCH($F2271,Config!$D:$D,0)),0))</f>
        <v/>
      </c>
    </row>
    <row r="2272" ht="15.0" customHeight="1">
      <c r="A2272" s="34"/>
      <c r="B2272" s="35"/>
      <c r="C2272" s="15"/>
      <c r="D2272" s="15"/>
      <c r="E2272" s="15"/>
      <c r="F2272" s="15"/>
      <c r="G2272" s="36" t="str">
        <f t="array" ref="G2272">IF($F2272="","",IFERROR(INDEX(Config!$E:$E,MATCH($F2272,Config!$D:$D,0)),0))</f>
        <v/>
      </c>
      <c r="H2272" s="16"/>
      <c r="I2272" s="36" t="str">
        <f t="shared" si="1"/>
        <v/>
      </c>
      <c r="J2272" s="16"/>
      <c r="K2272" s="15"/>
      <c r="L2272" s="15"/>
      <c r="M2272" s="36" t="str">
        <f t="array" ref="M2272">IF($A2272="","",IF($L2272="Atendido",IFERROR($I2272*INDEX(Config!$B:$B,MATCH($C2272,Config!$A:$A,0)),0),0))</f>
        <v/>
      </c>
      <c r="N2272" s="36" t="str">
        <f t="shared" si="2"/>
        <v/>
      </c>
      <c r="O2272" s="36" t="str">
        <f t="shared" si="3"/>
        <v/>
      </c>
      <c r="P2272" s="15"/>
      <c r="Q2272" s="37" t="str">
        <f t="shared" si="4"/>
        <v/>
      </c>
      <c r="R2272" s="37" t="str">
        <f t="shared" si="5"/>
        <v/>
      </c>
      <c r="S2272" s="32" t="str">
        <f t="shared" si="6"/>
        <v/>
      </c>
      <c r="T2272" s="37" t="str">
        <f t="shared" si="7"/>
        <v/>
      </c>
      <c r="U2272" s="37" t="str">
        <f t="array" ref="U2272">IF($F2272="","",IFERROR(INDEX(Config!$F:$F,MATCH($F2272,Config!$D:$D,0)),0))</f>
        <v/>
      </c>
    </row>
    <row r="2273" ht="15.0" customHeight="1">
      <c r="A2273" s="34"/>
      <c r="B2273" s="35"/>
      <c r="C2273" s="15"/>
      <c r="D2273" s="15"/>
      <c r="E2273" s="15"/>
      <c r="F2273" s="15"/>
      <c r="G2273" s="36" t="str">
        <f t="array" ref="G2273">IF($F2273="","",IFERROR(INDEX(Config!$E:$E,MATCH($F2273,Config!$D:$D,0)),0))</f>
        <v/>
      </c>
      <c r="H2273" s="16"/>
      <c r="I2273" s="36" t="str">
        <f t="shared" si="1"/>
        <v/>
      </c>
      <c r="J2273" s="16"/>
      <c r="K2273" s="15"/>
      <c r="L2273" s="15"/>
      <c r="M2273" s="36" t="str">
        <f t="array" ref="M2273">IF($A2273="","",IF($L2273="Atendido",IFERROR($I2273*INDEX(Config!$B:$B,MATCH($C2273,Config!$A:$A,0)),0),0))</f>
        <v/>
      </c>
      <c r="N2273" s="36" t="str">
        <f t="shared" si="2"/>
        <v/>
      </c>
      <c r="O2273" s="36" t="str">
        <f t="shared" si="3"/>
        <v/>
      </c>
      <c r="P2273" s="15"/>
      <c r="Q2273" s="37" t="str">
        <f t="shared" si="4"/>
        <v/>
      </c>
      <c r="R2273" s="37" t="str">
        <f t="shared" si="5"/>
        <v/>
      </c>
      <c r="S2273" s="32" t="str">
        <f t="shared" si="6"/>
        <v/>
      </c>
      <c r="T2273" s="37" t="str">
        <f t="shared" si="7"/>
        <v/>
      </c>
      <c r="U2273" s="37" t="str">
        <f t="array" ref="U2273">IF($F2273="","",IFERROR(INDEX(Config!$F:$F,MATCH($F2273,Config!$D:$D,0)),0))</f>
        <v/>
      </c>
    </row>
    <row r="2274" ht="15.0" customHeight="1">
      <c r="A2274" s="34"/>
      <c r="B2274" s="35"/>
      <c r="C2274" s="15"/>
      <c r="D2274" s="15"/>
      <c r="E2274" s="15"/>
      <c r="F2274" s="15"/>
      <c r="G2274" s="36" t="str">
        <f t="array" ref="G2274">IF($F2274="","",IFERROR(INDEX(Config!$E:$E,MATCH($F2274,Config!$D:$D,0)),0))</f>
        <v/>
      </c>
      <c r="H2274" s="16"/>
      <c r="I2274" s="36" t="str">
        <f t="shared" si="1"/>
        <v/>
      </c>
      <c r="J2274" s="16"/>
      <c r="K2274" s="15"/>
      <c r="L2274" s="15"/>
      <c r="M2274" s="36" t="str">
        <f t="array" ref="M2274">IF($A2274="","",IF($L2274="Atendido",IFERROR($I2274*INDEX(Config!$B:$B,MATCH($C2274,Config!$A:$A,0)),0),0))</f>
        <v/>
      </c>
      <c r="N2274" s="36" t="str">
        <f t="shared" si="2"/>
        <v/>
      </c>
      <c r="O2274" s="36" t="str">
        <f t="shared" si="3"/>
        <v/>
      </c>
      <c r="P2274" s="15"/>
      <c r="Q2274" s="37" t="str">
        <f t="shared" si="4"/>
        <v/>
      </c>
      <c r="R2274" s="37" t="str">
        <f t="shared" si="5"/>
        <v/>
      </c>
      <c r="S2274" s="32" t="str">
        <f t="shared" si="6"/>
        <v/>
      </c>
      <c r="T2274" s="37" t="str">
        <f t="shared" si="7"/>
        <v/>
      </c>
      <c r="U2274" s="37" t="str">
        <f t="array" ref="U2274">IF($F2274="","",IFERROR(INDEX(Config!$F:$F,MATCH($F2274,Config!$D:$D,0)),0))</f>
        <v/>
      </c>
    </row>
    <row r="2275" ht="15.0" customHeight="1">
      <c r="A2275" s="34"/>
      <c r="B2275" s="35"/>
      <c r="C2275" s="15"/>
      <c r="D2275" s="15"/>
      <c r="E2275" s="15"/>
      <c r="F2275" s="15"/>
      <c r="G2275" s="36" t="str">
        <f t="array" ref="G2275">IF($F2275="","",IFERROR(INDEX(Config!$E:$E,MATCH($F2275,Config!$D:$D,0)),0))</f>
        <v/>
      </c>
      <c r="H2275" s="16"/>
      <c r="I2275" s="36" t="str">
        <f t="shared" si="1"/>
        <v/>
      </c>
      <c r="J2275" s="16"/>
      <c r="K2275" s="15"/>
      <c r="L2275" s="15"/>
      <c r="M2275" s="36" t="str">
        <f t="array" ref="M2275">IF($A2275="","",IF($L2275="Atendido",IFERROR($I2275*INDEX(Config!$B:$B,MATCH($C2275,Config!$A:$A,0)),0),0))</f>
        <v/>
      </c>
      <c r="N2275" s="36" t="str">
        <f t="shared" si="2"/>
        <v/>
      </c>
      <c r="O2275" s="36" t="str">
        <f t="shared" si="3"/>
        <v/>
      </c>
      <c r="P2275" s="15"/>
      <c r="Q2275" s="37" t="str">
        <f t="shared" si="4"/>
        <v/>
      </c>
      <c r="R2275" s="37" t="str">
        <f t="shared" si="5"/>
        <v/>
      </c>
      <c r="S2275" s="32" t="str">
        <f t="shared" si="6"/>
        <v/>
      </c>
      <c r="T2275" s="37" t="str">
        <f t="shared" si="7"/>
        <v/>
      </c>
      <c r="U2275" s="37" t="str">
        <f t="array" ref="U2275">IF($F2275="","",IFERROR(INDEX(Config!$F:$F,MATCH($F2275,Config!$D:$D,0)),0))</f>
        <v/>
      </c>
    </row>
    <row r="2276" ht="15.0" customHeight="1">
      <c r="A2276" s="34"/>
      <c r="B2276" s="35"/>
      <c r="C2276" s="15"/>
      <c r="D2276" s="15"/>
      <c r="E2276" s="15"/>
      <c r="F2276" s="15"/>
      <c r="G2276" s="36" t="str">
        <f t="array" ref="G2276">IF($F2276="","",IFERROR(INDEX(Config!$E:$E,MATCH($F2276,Config!$D:$D,0)),0))</f>
        <v/>
      </c>
      <c r="H2276" s="16"/>
      <c r="I2276" s="36" t="str">
        <f t="shared" si="1"/>
        <v/>
      </c>
      <c r="J2276" s="16"/>
      <c r="K2276" s="15"/>
      <c r="L2276" s="15"/>
      <c r="M2276" s="36" t="str">
        <f t="array" ref="M2276">IF($A2276="","",IF($L2276="Atendido",IFERROR($I2276*INDEX(Config!$B:$B,MATCH($C2276,Config!$A:$A,0)),0),0))</f>
        <v/>
      </c>
      <c r="N2276" s="36" t="str">
        <f t="shared" si="2"/>
        <v/>
      </c>
      <c r="O2276" s="36" t="str">
        <f t="shared" si="3"/>
        <v/>
      </c>
      <c r="P2276" s="15"/>
      <c r="Q2276" s="37" t="str">
        <f t="shared" si="4"/>
        <v/>
      </c>
      <c r="R2276" s="37" t="str">
        <f t="shared" si="5"/>
        <v/>
      </c>
      <c r="S2276" s="32" t="str">
        <f t="shared" si="6"/>
        <v/>
      </c>
      <c r="T2276" s="37" t="str">
        <f t="shared" si="7"/>
        <v/>
      </c>
      <c r="U2276" s="37" t="str">
        <f t="array" ref="U2276">IF($F2276="","",IFERROR(INDEX(Config!$F:$F,MATCH($F2276,Config!$D:$D,0)),0))</f>
        <v/>
      </c>
    </row>
    <row r="2277" ht="15.0" customHeight="1">
      <c r="A2277" s="34"/>
      <c r="B2277" s="35"/>
      <c r="C2277" s="15"/>
      <c r="D2277" s="15"/>
      <c r="E2277" s="15"/>
      <c r="F2277" s="15"/>
      <c r="G2277" s="36" t="str">
        <f t="array" ref="G2277">IF($F2277="","",IFERROR(INDEX(Config!$E:$E,MATCH($F2277,Config!$D:$D,0)),0))</f>
        <v/>
      </c>
      <c r="H2277" s="16"/>
      <c r="I2277" s="36" t="str">
        <f t="shared" si="1"/>
        <v/>
      </c>
      <c r="J2277" s="16"/>
      <c r="K2277" s="15"/>
      <c r="L2277" s="15"/>
      <c r="M2277" s="36" t="str">
        <f t="array" ref="M2277">IF($A2277="","",IF($L2277="Atendido",IFERROR($I2277*INDEX(Config!$B:$B,MATCH($C2277,Config!$A:$A,0)),0),0))</f>
        <v/>
      </c>
      <c r="N2277" s="36" t="str">
        <f t="shared" si="2"/>
        <v/>
      </c>
      <c r="O2277" s="36" t="str">
        <f t="shared" si="3"/>
        <v/>
      </c>
      <c r="P2277" s="15"/>
      <c r="Q2277" s="37" t="str">
        <f t="shared" si="4"/>
        <v/>
      </c>
      <c r="R2277" s="37" t="str">
        <f t="shared" si="5"/>
        <v/>
      </c>
      <c r="S2277" s="32" t="str">
        <f t="shared" si="6"/>
        <v/>
      </c>
      <c r="T2277" s="37" t="str">
        <f t="shared" si="7"/>
        <v/>
      </c>
      <c r="U2277" s="37" t="str">
        <f t="array" ref="U2277">IF($F2277="","",IFERROR(INDEX(Config!$F:$F,MATCH($F2277,Config!$D:$D,0)),0))</f>
        <v/>
      </c>
    </row>
    <row r="2278" ht="15.0" customHeight="1">
      <c r="A2278" s="34"/>
      <c r="B2278" s="35"/>
      <c r="C2278" s="15"/>
      <c r="D2278" s="15"/>
      <c r="E2278" s="15"/>
      <c r="F2278" s="15"/>
      <c r="G2278" s="36" t="str">
        <f t="array" ref="G2278">IF($F2278="","",IFERROR(INDEX(Config!$E:$E,MATCH($F2278,Config!$D:$D,0)),0))</f>
        <v/>
      </c>
      <c r="H2278" s="16"/>
      <c r="I2278" s="36" t="str">
        <f t="shared" si="1"/>
        <v/>
      </c>
      <c r="J2278" s="16"/>
      <c r="K2278" s="15"/>
      <c r="L2278" s="15"/>
      <c r="M2278" s="36" t="str">
        <f t="array" ref="M2278">IF($A2278="","",IF($L2278="Atendido",IFERROR($I2278*INDEX(Config!$B:$B,MATCH($C2278,Config!$A:$A,0)),0),0))</f>
        <v/>
      </c>
      <c r="N2278" s="36" t="str">
        <f t="shared" si="2"/>
        <v/>
      </c>
      <c r="O2278" s="36" t="str">
        <f t="shared" si="3"/>
        <v/>
      </c>
      <c r="P2278" s="15"/>
      <c r="Q2278" s="37" t="str">
        <f t="shared" si="4"/>
        <v/>
      </c>
      <c r="R2278" s="37" t="str">
        <f t="shared" si="5"/>
        <v/>
      </c>
      <c r="S2278" s="32" t="str">
        <f t="shared" si="6"/>
        <v/>
      </c>
      <c r="T2278" s="37" t="str">
        <f t="shared" si="7"/>
        <v/>
      </c>
      <c r="U2278" s="37" t="str">
        <f t="array" ref="U2278">IF($F2278="","",IFERROR(INDEX(Config!$F:$F,MATCH($F2278,Config!$D:$D,0)),0))</f>
        <v/>
      </c>
    </row>
    <row r="2279" ht="15.0" customHeight="1">
      <c r="A2279" s="34"/>
      <c r="B2279" s="35"/>
      <c r="C2279" s="15"/>
      <c r="D2279" s="15"/>
      <c r="E2279" s="15"/>
      <c r="F2279" s="15"/>
      <c r="G2279" s="36" t="str">
        <f t="array" ref="G2279">IF($F2279="","",IFERROR(INDEX(Config!$E:$E,MATCH($F2279,Config!$D:$D,0)),0))</f>
        <v/>
      </c>
      <c r="H2279" s="16"/>
      <c r="I2279" s="36" t="str">
        <f t="shared" si="1"/>
        <v/>
      </c>
      <c r="J2279" s="16"/>
      <c r="K2279" s="15"/>
      <c r="L2279" s="15"/>
      <c r="M2279" s="36" t="str">
        <f t="array" ref="M2279">IF($A2279="","",IF($L2279="Atendido",IFERROR($I2279*INDEX(Config!$B:$B,MATCH($C2279,Config!$A:$A,0)),0),0))</f>
        <v/>
      </c>
      <c r="N2279" s="36" t="str">
        <f t="shared" si="2"/>
        <v/>
      </c>
      <c r="O2279" s="36" t="str">
        <f t="shared" si="3"/>
        <v/>
      </c>
      <c r="P2279" s="15"/>
      <c r="Q2279" s="37" t="str">
        <f t="shared" si="4"/>
        <v/>
      </c>
      <c r="R2279" s="37" t="str">
        <f t="shared" si="5"/>
        <v/>
      </c>
      <c r="S2279" s="32" t="str">
        <f t="shared" si="6"/>
        <v/>
      </c>
      <c r="T2279" s="37" t="str">
        <f t="shared" si="7"/>
        <v/>
      </c>
      <c r="U2279" s="37" t="str">
        <f t="array" ref="U2279">IF($F2279="","",IFERROR(INDEX(Config!$F:$F,MATCH($F2279,Config!$D:$D,0)),0))</f>
        <v/>
      </c>
    </row>
    <row r="2280" ht="15.0" customHeight="1">
      <c r="A2280" s="34"/>
      <c r="B2280" s="35"/>
      <c r="C2280" s="15"/>
      <c r="D2280" s="15"/>
      <c r="E2280" s="15"/>
      <c r="F2280" s="15"/>
      <c r="G2280" s="36" t="str">
        <f t="array" ref="G2280">IF($F2280="","",IFERROR(INDEX(Config!$E:$E,MATCH($F2280,Config!$D:$D,0)),0))</f>
        <v/>
      </c>
      <c r="H2280" s="16"/>
      <c r="I2280" s="36" t="str">
        <f t="shared" si="1"/>
        <v/>
      </c>
      <c r="J2280" s="16"/>
      <c r="K2280" s="15"/>
      <c r="L2280" s="15"/>
      <c r="M2280" s="36" t="str">
        <f t="array" ref="M2280">IF($A2280="","",IF($L2280="Atendido",IFERROR($I2280*INDEX(Config!$B:$B,MATCH($C2280,Config!$A:$A,0)),0),0))</f>
        <v/>
      </c>
      <c r="N2280" s="36" t="str">
        <f t="shared" si="2"/>
        <v/>
      </c>
      <c r="O2280" s="36" t="str">
        <f t="shared" si="3"/>
        <v/>
      </c>
      <c r="P2280" s="15"/>
      <c r="Q2280" s="37" t="str">
        <f t="shared" si="4"/>
        <v/>
      </c>
      <c r="R2280" s="37" t="str">
        <f t="shared" si="5"/>
        <v/>
      </c>
      <c r="S2280" s="32" t="str">
        <f t="shared" si="6"/>
        <v/>
      </c>
      <c r="T2280" s="37" t="str">
        <f t="shared" si="7"/>
        <v/>
      </c>
      <c r="U2280" s="37" t="str">
        <f t="array" ref="U2280">IF($F2280="","",IFERROR(INDEX(Config!$F:$F,MATCH($F2280,Config!$D:$D,0)),0))</f>
        <v/>
      </c>
    </row>
    <row r="2281" ht="15.0" customHeight="1">
      <c r="A2281" s="34"/>
      <c r="B2281" s="35"/>
      <c r="C2281" s="15"/>
      <c r="D2281" s="15"/>
      <c r="E2281" s="15"/>
      <c r="F2281" s="15"/>
      <c r="G2281" s="36" t="str">
        <f t="array" ref="G2281">IF($F2281="","",IFERROR(INDEX(Config!$E:$E,MATCH($F2281,Config!$D:$D,0)),0))</f>
        <v/>
      </c>
      <c r="H2281" s="16"/>
      <c r="I2281" s="36" t="str">
        <f t="shared" si="1"/>
        <v/>
      </c>
      <c r="J2281" s="16"/>
      <c r="K2281" s="15"/>
      <c r="L2281" s="15"/>
      <c r="M2281" s="36" t="str">
        <f t="array" ref="M2281">IF($A2281="","",IF($L2281="Atendido",IFERROR($I2281*INDEX(Config!$B:$B,MATCH($C2281,Config!$A:$A,0)),0),0))</f>
        <v/>
      </c>
      <c r="N2281" s="36" t="str">
        <f t="shared" si="2"/>
        <v/>
      </c>
      <c r="O2281" s="36" t="str">
        <f t="shared" si="3"/>
        <v/>
      </c>
      <c r="P2281" s="15"/>
      <c r="Q2281" s="37" t="str">
        <f t="shared" si="4"/>
        <v/>
      </c>
      <c r="R2281" s="37" t="str">
        <f t="shared" si="5"/>
        <v/>
      </c>
      <c r="S2281" s="32" t="str">
        <f t="shared" si="6"/>
        <v/>
      </c>
      <c r="T2281" s="37" t="str">
        <f t="shared" si="7"/>
        <v/>
      </c>
      <c r="U2281" s="37" t="str">
        <f t="array" ref="U2281">IF($F2281="","",IFERROR(INDEX(Config!$F:$F,MATCH($F2281,Config!$D:$D,0)),0))</f>
        <v/>
      </c>
    </row>
    <row r="2282" ht="15.0" customHeight="1">
      <c r="A2282" s="34"/>
      <c r="B2282" s="35"/>
      <c r="C2282" s="15"/>
      <c r="D2282" s="15"/>
      <c r="E2282" s="15"/>
      <c r="F2282" s="15"/>
      <c r="G2282" s="36" t="str">
        <f t="array" ref="G2282">IF($F2282="","",IFERROR(INDEX(Config!$E:$E,MATCH($F2282,Config!$D:$D,0)),0))</f>
        <v/>
      </c>
      <c r="H2282" s="16"/>
      <c r="I2282" s="36" t="str">
        <f t="shared" si="1"/>
        <v/>
      </c>
      <c r="J2282" s="16"/>
      <c r="K2282" s="15"/>
      <c r="L2282" s="15"/>
      <c r="M2282" s="36" t="str">
        <f t="array" ref="M2282">IF($A2282="","",IF($L2282="Atendido",IFERROR($I2282*INDEX(Config!$B:$B,MATCH($C2282,Config!$A:$A,0)),0),0))</f>
        <v/>
      </c>
      <c r="N2282" s="36" t="str">
        <f t="shared" si="2"/>
        <v/>
      </c>
      <c r="O2282" s="36" t="str">
        <f t="shared" si="3"/>
        <v/>
      </c>
      <c r="P2282" s="15"/>
      <c r="Q2282" s="37" t="str">
        <f t="shared" si="4"/>
        <v/>
      </c>
      <c r="R2282" s="37" t="str">
        <f t="shared" si="5"/>
        <v/>
      </c>
      <c r="S2282" s="32" t="str">
        <f t="shared" si="6"/>
        <v/>
      </c>
      <c r="T2282" s="37" t="str">
        <f t="shared" si="7"/>
        <v/>
      </c>
      <c r="U2282" s="37" t="str">
        <f t="array" ref="U2282">IF($F2282="","",IFERROR(INDEX(Config!$F:$F,MATCH($F2282,Config!$D:$D,0)),0))</f>
        <v/>
      </c>
    </row>
    <row r="2283" ht="15.0" customHeight="1">
      <c r="A2283" s="34"/>
      <c r="B2283" s="35"/>
      <c r="C2283" s="15"/>
      <c r="D2283" s="15"/>
      <c r="E2283" s="15"/>
      <c r="F2283" s="15"/>
      <c r="G2283" s="36" t="str">
        <f t="array" ref="G2283">IF($F2283="","",IFERROR(INDEX(Config!$E:$E,MATCH($F2283,Config!$D:$D,0)),0))</f>
        <v/>
      </c>
      <c r="H2283" s="16"/>
      <c r="I2283" s="36" t="str">
        <f t="shared" si="1"/>
        <v/>
      </c>
      <c r="J2283" s="16"/>
      <c r="K2283" s="15"/>
      <c r="L2283" s="15"/>
      <c r="M2283" s="36" t="str">
        <f t="array" ref="M2283">IF($A2283="","",IF($L2283="Atendido",IFERROR($I2283*INDEX(Config!$B:$B,MATCH($C2283,Config!$A:$A,0)),0),0))</f>
        <v/>
      </c>
      <c r="N2283" s="36" t="str">
        <f t="shared" si="2"/>
        <v/>
      </c>
      <c r="O2283" s="36" t="str">
        <f t="shared" si="3"/>
        <v/>
      </c>
      <c r="P2283" s="15"/>
      <c r="Q2283" s="37" t="str">
        <f t="shared" si="4"/>
        <v/>
      </c>
      <c r="R2283" s="37" t="str">
        <f t="shared" si="5"/>
        <v/>
      </c>
      <c r="S2283" s="32" t="str">
        <f t="shared" si="6"/>
        <v/>
      </c>
      <c r="T2283" s="37" t="str">
        <f t="shared" si="7"/>
        <v/>
      </c>
      <c r="U2283" s="37" t="str">
        <f t="array" ref="U2283">IF($F2283="","",IFERROR(INDEX(Config!$F:$F,MATCH($F2283,Config!$D:$D,0)),0))</f>
        <v/>
      </c>
    </row>
    <row r="2284" ht="15.0" customHeight="1">
      <c r="A2284" s="34"/>
      <c r="B2284" s="35"/>
      <c r="C2284" s="15"/>
      <c r="D2284" s="15"/>
      <c r="E2284" s="15"/>
      <c r="F2284" s="15"/>
      <c r="G2284" s="36" t="str">
        <f t="array" ref="G2284">IF($F2284="","",IFERROR(INDEX(Config!$E:$E,MATCH($F2284,Config!$D:$D,0)),0))</f>
        <v/>
      </c>
      <c r="H2284" s="16"/>
      <c r="I2284" s="36" t="str">
        <f t="shared" si="1"/>
        <v/>
      </c>
      <c r="J2284" s="16"/>
      <c r="K2284" s="15"/>
      <c r="L2284" s="15"/>
      <c r="M2284" s="36" t="str">
        <f t="array" ref="M2284">IF($A2284="","",IF($L2284="Atendido",IFERROR($I2284*INDEX(Config!$B:$B,MATCH($C2284,Config!$A:$A,0)),0),0))</f>
        <v/>
      </c>
      <c r="N2284" s="36" t="str">
        <f t="shared" si="2"/>
        <v/>
      </c>
      <c r="O2284" s="36" t="str">
        <f t="shared" si="3"/>
        <v/>
      </c>
      <c r="P2284" s="15"/>
      <c r="Q2284" s="37" t="str">
        <f t="shared" si="4"/>
        <v/>
      </c>
      <c r="R2284" s="37" t="str">
        <f t="shared" si="5"/>
        <v/>
      </c>
      <c r="S2284" s="32" t="str">
        <f t="shared" si="6"/>
        <v/>
      </c>
      <c r="T2284" s="37" t="str">
        <f t="shared" si="7"/>
        <v/>
      </c>
      <c r="U2284" s="37" t="str">
        <f t="array" ref="U2284">IF($F2284="","",IFERROR(INDEX(Config!$F:$F,MATCH($F2284,Config!$D:$D,0)),0))</f>
        <v/>
      </c>
    </row>
    <row r="2285" ht="15.0" customHeight="1">
      <c r="A2285" s="34"/>
      <c r="B2285" s="35"/>
      <c r="C2285" s="15"/>
      <c r="D2285" s="15"/>
      <c r="E2285" s="15"/>
      <c r="F2285" s="15"/>
      <c r="G2285" s="36" t="str">
        <f t="array" ref="G2285">IF($F2285="","",IFERROR(INDEX(Config!$E:$E,MATCH($F2285,Config!$D:$D,0)),0))</f>
        <v/>
      </c>
      <c r="H2285" s="16"/>
      <c r="I2285" s="36" t="str">
        <f t="shared" si="1"/>
        <v/>
      </c>
      <c r="J2285" s="16"/>
      <c r="K2285" s="15"/>
      <c r="L2285" s="15"/>
      <c r="M2285" s="36" t="str">
        <f t="array" ref="M2285">IF($A2285="","",IF($L2285="Atendido",IFERROR($I2285*INDEX(Config!$B:$B,MATCH($C2285,Config!$A:$A,0)),0),0))</f>
        <v/>
      </c>
      <c r="N2285" s="36" t="str">
        <f t="shared" si="2"/>
        <v/>
      </c>
      <c r="O2285" s="36" t="str">
        <f t="shared" si="3"/>
        <v/>
      </c>
      <c r="P2285" s="15"/>
      <c r="Q2285" s="37" t="str">
        <f t="shared" si="4"/>
        <v/>
      </c>
      <c r="R2285" s="37" t="str">
        <f t="shared" si="5"/>
        <v/>
      </c>
      <c r="S2285" s="32" t="str">
        <f t="shared" si="6"/>
        <v/>
      </c>
      <c r="T2285" s="37" t="str">
        <f t="shared" si="7"/>
        <v/>
      </c>
      <c r="U2285" s="37" t="str">
        <f t="array" ref="U2285">IF($F2285="","",IFERROR(INDEX(Config!$F:$F,MATCH($F2285,Config!$D:$D,0)),0))</f>
        <v/>
      </c>
    </row>
    <row r="2286" ht="15.0" customHeight="1">
      <c r="A2286" s="34"/>
      <c r="B2286" s="35"/>
      <c r="C2286" s="15"/>
      <c r="D2286" s="15"/>
      <c r="E2286" s="15"/>
      <c r="F2286" s="15"/>
      <c r="G2286" s="36" t="str">
        <f t="array" ref="G2286">IF($F2286="","",IFERROR(INDEX(Config!$E:$E,MATCH($F2286,Config!$D:$D,0)),0))</f>
        <v/>
      </c>
      <c r="H2286" s="16"/>
      <c r="I2286" s="36" t="str">
        <f t="shared" si="1"/>
        <v/>
      </c>
      <c r="J2286" s="16"/>
      <c r="K2286" s="15"/>
      <c r="L2286" s="15"/>
      <c r="M2286" s="36" t="str">
        <f t="array" ref="M2286">IF($A2286="","",IF($L2286="Atendido",IFERROR($I2286*INDEX(Config!$B:$B,MATCH($C2286,Config!$A:$A,0)),0),0))</f>
        <v/>
      </c>
      <c r="N2286" s="36" t="str">
        <f t="shared" si="2"/>
        <v/>
      </c>
      <c r="O2286" s="36" t="str">
        <f t="shared" si="3"/>
        <v/>
      </c>
      <c r="P2286" s="15"/>
      <c r="Q2286" s="37" t="str">
        <f t="shared" si="4"/>
        <v/>
      </c>
      <c r="R2286" s="37" t="str">
        <f t="shared" si="5"/>
        <v/>
      </c>
      <c r="S2286" s="32" t="str">
        <f t="shared" si="6"/>
        <v/>
      </c>
      <c r="T2286" s="37" t="str">
        <f t="shared" si="7"/>
        <v/>
      </c>
      <c r="U2286" s="37" t="str">
        <f t="array" ref="U2286">IF($F2286="","",IFERROR(INDEX(Config!$F:$F,MATCH($F2286,Config!$D:$D,0)),0))</f>
        <v/>
      </c>
    </row>
    <row r="2287" ht="15.0" customHeight="1">
      <c r="A2287" s="34"/>
      <c r="B2287" s="35"/>
      <c r="C2287" s="15"/>
      <c r="D2287" s="15"/>
      <c r="E2287" s="15"/>
      <c r="F2287" s="15"/>
      <c r="G2287" s="36" t="str">
        <f t="array" ref="G2287">IF($F2287="","",IFERROR(INDEX(Config!$E:$E,MATCH($F2287,Config!$D:$D,0)),0))</f>
        <v/>
      </c>
      <c r="H2287" s="16"/>
      <c r="I2287" s="36" t="str">
        <f t="shared" si="1"/>
        <v/>
      </c>
      <c r="J2287" s="16"/>
      <c r="K2287" s="15"/>
      <c r="L2287" s="15"/>
      <c r="M2287" s="36" t="str">
        <f t="array" ref="M2287">IF($A2287="","",IF($L2287="Atendido",IFERROR($I2287*INDEX(Config!$B:$B,MATCH($C2287,Config!$A:$A,0)),0),0))</f>
        <v/>
      </c>
      <c r="N2287" s="36" t="str">
        <f t="shared" si="2"/>
        <v/>
      </c>
      <c r="O2287" s="36" t="str">
        <f t="shared" si="3"/>
        <v/>
      </c>
      <c r="P2287" s="15"/>
      <c r="Q2287" s="37" t="str">
        <f t="shared" si="4"/>
        <v/>
      </c>
      <c r="R2287" s="37" t="str">
        <f t="shared" si="5"/>
        <v/>
      </c>
      <c r="S2287" s="32" t="str">
        <f t="shared" si="6"/>
        <v/>
      </c>
      <c r="T2287" s="37" t="str">
        <f t="shared" si="7"/>
        <v/>
      </c>
      <c r="U2287" s="37" t="str">
        <f t="array" ref="U2287">IF($F2287="","",IFERROR(INDEX(Config!$F:$F,MATCH($F2287,Config!$D:$D,0)),0))</f>
        <v/>
      </c>
    </row>
    <row r="2288" ht="15.0" customHeight="1">
      <c r="A2288" s="34"/>
      <c r="B2288" s="35"/>
      <c r="C2288" s="15"/>
      <c r="D2288" s="15"/>
      <c r="E2288" s="15"/>
      <c r="F2288" s="15"/>
      <c r="G2288" s="36" t="str">
        <f t="array" ref="G2288">IF($F2288="","",IFERROR(INDEX(Config!$E:$E,MATCH($F2288,Config!$D:$D,0)),0))</f>
        <v/>
      </c>
      <c r="H2288" s="16"/>
      <c r="I2288" s="36" t="str">
        <f t="shared" si="1"/>
        <v/>
      </c>
      <c r="J2288" s="16"/>
      <c r="K2288" s="15"/>
      <c r="L2288" s="15"/>
      <c r="M2288" s="36" t="str">
        <f t="array" ref="M2288">IF($A2288="","",IF($L2288="Atendido",IFERROR($I2288*INDEX(Config!$B:$B,MATCH($C2288,Config!$A:$A,0)),0),0))</f>
        <v/>
      </c>
      <c r="N2288" s="36" t="str">
        <f t="shared" si="2"/>
        <v/>
      </c>
      <c r="O2288" s="36" t="str">
        <f t="shared" si="3"/>
        <v/>
      </c>
      <c r="P2288" s="15"/>
      <c r="Q2288" s="37" t="str">
        <f t="shared" si="4"/>
        <v/>
      </c>
      <c r="R2288" s="37" t="str">
        <f t="shared" si="5"/>
        <v/>
      </c>
      <c r="S2288" s="32" t="str">
        <f t="shared" si="6"/>
        <v/>
      </c>
      <c r="T2288" s="37" t="str">
        <f t="shared" si="7"/>
        <v/>
      </c>
      <c r="U2288" s="37" t="str">
        <f t="array" ref="U2288">IF($F2288="","",IFERROR(INDEX(Config!$F:$F,MATCH($F2288,Config!$D:$D,0)),0))</f>
        <v/>
      </c>
    </row>
    <row r="2289" ht="15.0" customHeight="1">
      <c r="A2289" s="34"/>
      <c r="B2289" s="35"/>
      <c r="C2289" s="15"/>
      <c r="D2289" s="15"/>
      <c r="E2289" s="15"/>
      <c r="F2289" s="15"/>
      <c r="G2289" s="36" t="str">
        <f t="array" ref="G2289">IF($F2289="","",IFERROR(INDEX(Config!$E:$E,MATCH($F2289,Config!$D:$D,0)),0))</f>
        <v/>
      </c>
      <c r="H2289" s="16"/>
      <c r="I2289" s="36" t="str">
        <f t="shared" si="1"/>
        <v/>
      </c>
      <c r="J2289" s="16"/>
      <c r="K2289" s="15"/>
      <c r="L2289" s="15"/>
      <c r="M2289" s="36" t="str">
        <f t="array" ref="M2289">IF($A2289="","",IF($L2289="Atendido",IFERROR($I2289*INDEX(Config!$B:$B,MATCH($C2289,Config!$A:$A,0)),0),0))</f>
        <v/>
      </c>
      <c r="N2289" s="36" t="str">
        <f t="shared" si="2"/>
        <v/>
      </c>
      <c r="O2289" s="36" t="str">
        <f t="shared" si="3"/>
        <v/>
      </c>
      <c r="P2289" s="15"/>
      <c r="Q2289" s="37" t="str">
        <f t="shared" si="4"/>
        <v/>
      </c>
      <c r="R2289" s="37" t="str">
        <f t="shared" si="5"/>
        <v/>
      </c>
      <c r="S2289" s="32" t="str">
        <f t="shared" si="6"/>
        <v/>
      </c>
      <c r="T2289" s="37" t="str">
        <f t="shared" si="7"/>
        <v/>
      </c>
      <c r="U2289" s="37" t="str">
        <f t="array" ref="U2289">IF($F2289="","",IFERROR(INDEX(Config!$F:$F,MATCH($F2289,Config!$D:$D,0)),0))</f>
        <v/>
      </c>
    </row>
    <row r="2290" ht="15.0" customHeight="1">
      <c r="A2290" s="34"/>
      <c r="B2290" s="35"/>
      <c r="C2290" s="15"/>
      <c r="D2290" s="15"/>
      <c r="E2290" s="15"/>
      <c r="F2290" s="15"/>
      <c r="G2290" s="36" t="str">
        <f t="array" ref="G2290">IF($F2290="","",IFERROR(INDEX(Config!$E:$E,MATCH($F2290,Config!$D:$D,0)),0))</f>
        <v/>
      </c>
      <c r="H2290" s="16"/>
      <c r="I2290" s="36" t="str">
        <f t="shared" si="1"/>
        <v/>
      </c>
      <c r="J2290" s="16"/>
      <c r="K2290" s="15"/>
      <c r="L2290" s="15"/>
      <c r="M2290" s="36" t="str">
        <f t="array" ref="M2290">IF($A2290="","",IF($L2290="Atendido",IFERROR($I2290*INDEX(Config!$B:$B,MATCH($C2290,Config!$A:$A,0)),0),0))</f>
        <v/>
      </c>
      <c r="N2290" s="36" t="str">
        <f t="shared" si="2"/>
        <v/>
      </c>
      <c r="O2290" s="36" t="str">
        <f t="shared" si="3"/>
        <v/>
      </c>
      <c r="P2290" s="15"/>
      <c r="Q2290" s="37" t="str">
        <f t="shared" si="4"/>
        <v/>
      </c>
      <c r="R2290" s="37" t="str">
        <f t="shared" si="5"/>
        <v/>
      </c>
      <c r="S2290" s="32" t="str">
        <f t="shared" si="6"/>
        <v/>
      </c>
      <c r="T2290" s="37" t="str">
        <f t="shared" si="7"/>
        <v/>
      </c>
      <c r="U2290" s="37" t="str">
        <f t="array" ref="U2290">IF($F2290="","",IFERROR(INDEX(Config!$F:$F,MATCH($F2290,Config!$D:$D,0)),0))</f>
        <v/>
      </c>
    </row>
    <row r="2291" ht="15.0" customHeight="1">
      <c r="A2291" s="34"/>
      <c r="B2291" s="35"/>
      <c r="C2291" s="15"/>
      <c r="D2291" s="15"/>
      <c r="E2291" s="15"/>
      <c r="F2291" s="15"/>
      <c r="G2291" s="36" t="str">
        <f t="array" ref="G2291">IF($F2291="","",IFERROR(INDEX(Config!$E:$E,MATCH($F2291,Config!$D:$D,0)),0))</f>
        <v/>
      </c>
      <c r="H2291" s="16"/>
      <c r="I2291" s="36" t="str">
        <f t="shared" si="1"/>
        <v/>
      </c>
      <c r="J2291" s="16"/>
      <c r="K2291" s="15"/>
      <c r="L2291" s="15"/>
      <c r="M2291" s="36" t="str">
        <f t="array" ref="M2291">IF($A2291="","",IF($L2291="Atendido",IFERROR($I2291*INDEX(Config!$B:$B,MATCH($C2291,Config!$A:$A,0)),0),0))</f>
        <v/>
      </c>
      <c r="N2291" s="36" t="str">
        <f t="shared" si="2"/>
        <v/>
      </c>
      <c r="O2291" s="36" t="str">
        <f t="shared" si="3"/>
        <v/>
      </c>
      <c r="P2291" s="15"/>
      <c r="Q2291" s="37" t="str">
        <f t="shared" si="4"/>
        <v/>
      </c>
      <c r="R2291" s="37" t="str">
        <f t="shared" si="5"/>
        <v/>
      </c>
      <c r="S2291" s="32" t="str">
        <f t="shared" si="6"/>
        <v/>
      </c>
      <c r="T2291" s="37" t="str">
        <f t="shared" si="7"/>
        <v/>
      </c>
      <c r="U2291" s="37" t="str">
        <f t="array" ref="U2291">IF($F2291="","",IFERROR(INDEX(Config!$F:$F,MATCH($F2291,Config!$D:$D,0)),0))</f>
        <v/>
      </c>
    </row>
    <row r="2292" ht="15.0" customHeight="1">
      <c r="A2292" s="34"/>
      <c r="B2292" s="35"/>
      <c r="C2292" s="15"/>
      <c r="D2292" s="15"/>
      <c r="E2292" s="15"/>
      <c r="F2292" s="15"/>
      <c r="G2292" s="36" t="str">
        <f t="array" ref="G2292">IF($F2292="","",IFERROR(INDEX(Config!$E:$E,MATCH($F2292,Config!$D:$D,0)),0))</f>
        <v/>
      </c>
      <c r="H2292" s="16"/>
      <c r="I2292" s="36" t="str">
        <f t="shared" si="1"/>
        <v/>
      </c>
      <c r="J2292" s="16"/>
      <c r="K2292" s="15"/>
      <c r="L2292" s="15"/>
      <c r="M2292" s="36" t="str">
        <f t="array" ref="M2292">IF($A2292="","",IF($L2292="Atendido",IFERROR($I2292*INDEX(Config!$B:$B,MATCH($C2292,Config!$A:$A,0)),0),0))</f>
        <v/>
      </c>
      <c r="N2292" s="36" t="str">
        <f t="shared" si="2"/>
        <v/>
      </c>
      <c r="O2292" s="36" t="str">
        <f t="shared" si="3"/>
        <v/>
      </c>
      <c r="P2292" s="15"/>
      <c r="Q2292" s="37" t="str">
        <f t="shared" si="4"/>
        <v/>
      </c>
      <c r="R2292" s="37" t="str">
        <f t="shared" si="5"/>
        <v/>
      </c>
      <c r="S2292" s="32" t="str">
        <f t="shared" si="6"/>
        <v/>
      </c>
      <c r="T2292" s="37" t="str">
        <f t="shared" si="7"/>
        <v/>
      </c>
      <c r="U2292" s="37" t="str">
        <f t="array" ref="U2292">IF($F2292="","",IFERROR(INDEX(Config!$F:$F,MATCH($F2292,Config!$D:$D,0)),0))</f>
        <v/>
      </c>
    </row>
    <row r="2293" ht="15.0" customHeight="1">
      <c r="A2293" s="34"/>
      <c r="B2293" s="35"/>
      <c r="C2293" s="15"/>
      <c r="D2293" s="15"/>
      <c r="E2293" s="15"/>
      <c r="F2293" s="15"/>
      <c r="G2293" s="36" t="str">
        <f t="array" ref="G2293">IF($F2293="","",IFERROR(INDEX(Config!$E:$E,MATCH($F2293,Config!$D:$D,0)),0))</f>
        <v/>
      </c>
      <c r="H2293" s="16"/>
      <c r="I2293" s="36" t="str">
        <f t="shared" si="1"/>
        <v/>
      </c>
      <c r="J2293" s="16"/>
      <c r="K2293" s="15"/>
      <c r="L2293" s="15"/>
      <c r="M2293" s="36" t="str">
        <f t="array" ref="M2293">IF($A2293="","",IF($L2293="Atendido",IFERROR($I2293*INDEX(Config!$B:$B,MATCH($C2293,Config!$A:$A,0)),0),0))</f>
        <v/>
      </c>
      <c r="N2293" s="36" t="str">
        <f t="shared" si="2"/>
        <v/>
      </c>
      <c r="O2293" s="36" t="str">
        <f t="shared" si="3"/>
        <v/>
      </c>
      <c r="P2293" s="15"/>
      <c r="Q2293" s="37" t="str">
        <f t="shared" si="4"/>
        <v/>
      </c>
      <c r="R2293" s="37" t="str">
        <f t="shared" si="5"/>
        <v/>
      </c>
      <c r="S2293" s="32" t="str">
        <f t="shared" si="6"/>
        <v/>
      </c>
      <c r="T2293" s="37" t="str">
        <f t="shared" si="7"/>
        <v/>
      </c>
      <c r="U2293" s="37" t="str">
        <f t="array" ref="U2293">IF($F2293="","",IFERROR(INDEX(Config!$F:$F,MATCH($F2293,Config!$D:$D,0)),0))</f>
        <v/>
      </c>
    </row>
    <row r="2294" ht="15.0" customHeight="1">
      <c r="A2294" s="34"/>
      <c r="B2294" s="35"/>
      <c r="C2294" s="15"/>
      <c r="D2294" s="15"/>
      <c r="E2294" s="15"/>
      <c r="F2294" s="15"/>
      <c r="G2294" s="36" t="str">
        <f t="array" ref="G2294">IF($F2294="","",IFERROR(INDEX(Config!$E:$E,MATCH($F2294,Config!$D:$D,0)),0))</f>
        <v/>
      </c>
      <c r="H2294" s="16"/>
      <c r="I2294" s="36" t="str">
        <f t="shared" si="1"/>
        <v/>
      </c>
      <c r="J2294" s="16"/>
      <c r="K2294" s="15"/>
      <c r="L2294" s="15"/>
      <c r="M2294" s="36" t="str">
        <f t="array" ref="M2294">IF($A2294="","",IF($L2294="Atendido",IFERROR($I2294*INDEX(Config!$B:$B,MATCH($C2294,Config!$A:$A,0)),0),0))</f>
        <v/>
      </c>
      <c r="N2294" s="36" t="str">
        <f t="shared" si="2"/>
        <v/>
      </c>
      <c r="O2294" s="36" t="str">
        <f t="shared" si="3"/>
        <v/>
      </c>
      <c r="P2294" s="15"/>
      <c r="Q2294" s="37" t="str">
        <f t="shared" si="4"/>
        <v/>
      </c>
      <c r="R2294" s="37" t="str">
        <f t="shared" si="5"/>
        <v/>
      </c>
      <c r="S2294" s="32" t="str">
        <f t="shared" si="6"/>
        <v/>
      </c>
      <c r="T2294" s="37" t="str">
        <f t="shared" si="7"/>
        <v/>
      </c>
      <c r="U2294" s="37" t="str">
        <f t="array" ref="U2294">IF($F2294="","",IFERROR(INDEX(Config!$F:$F,MATCH($F2294,Config!$D:$D,0)),0))</f>
        <v/>
      </c>
    </row>
    <row r="2295" ht="15.0" customHeight="1">
      <c r="A2295" s="34"/>
      <c r="B2295" s="35"/>
      <c r="C2295" s="15"/>
      <c r="D2295" s="15"/>
      <c r="E2295" s="15"/>
      <c r="F2295" s="15"/>
      <c r="G2295" s="36" t="str">
        <f t="array" ref="G2295">IF($F2295="","",IFERROR(INDEX(Config!$E:$E,MATCH($F2295,Config!$D:$D,0)),0))</f>
        <v/>
      </c>
      <c r="H2295" s="16"/>
      <c r="I2295" s="36" t="str">
        <f t="shared" si="1"/>
        <v/>
      </c>
      <c r="J2295" s="16"/>
      <c r="K2295" s="15"/>
      <c r="L2295" s="15"/>
      <c r="M2295" s="36" t="str">
        <f t="array" ref="M2295">IF($A2295="","",IF($L2295="Atendido",IFERROR($I2295*INDEX(Config!$B:$B,MATCH($C2295,Config!$A:$A,0)),0),0))</f>
        <v/>
      </c>
      <c r="N2295" s="36" t="str">
        <f t="shared" si="2"/>
        <v/>
      </c>
      <c r="O2295" s="36" t="str">
        <f t="shared" si="3"/>
        <v/>
      </c>
      <c r="P2295" s="15"/>
      <c r="Q2295" s="37" t="str">
        <f t="shared" si="4"/>
        <v/>
      </c>
      <c r="R2295" s="37" t="str">
        <f t="shared" si="5"/>
        <v/>
      </c>
      <c r="S2295" s="32" t="str">
        <f t="shared" si="6"/>
        <v/>
      </c>
      <c r="T2295" s="37" t="str">
        <f t="shared" si="7"/>
        <v/>
      </c>
      <c r="U2295" s="37" t="str">
        <f t="array" ref="U2295">IF($F2295="","",IFERROR(INDEX(Config!$F:$F,MATCH($F2295,Config!$D:$D,0)),0))</f>
        <v/>
      </c>
    </row>
    <row r="2296" ht="15.0" customHeight="1">
      <c r="A2296" s="34"/>
      <c r="B2296" s="35"/>
      <c r="C2296" s="15"/>
      <c r="D2296" s="15"/>
      <c r="E2296" s="15"/>
      <c r="F2296" s="15"/>
      <c r="G2296" s="36" t="str">
        <f t="array" ref="G2296">IF($F2296="","",IFERROR(INDEX(Config!$E:$E,MATCH($F2296,Config!$D:$D,0)),0))</f>
        <v/>
      </c>
      <c r="H2296" s="16"/>
      <c r="I2296" s="36" t="str">
        <f t="shared" si="1"/>
        <v/>
      </c>
      <c r="J2296" s="16"/>
      <c r="K2296" s="15"/>
      <c r="L2296" s="15"/>
      <c r="M2296" s="36" t="str">
        <f t="array" ref="M2296">IF($A2296="","",IF($L2296="Atendido",IFERROR($I2296*INDEX(Config!$B:$B,MATCH($C2296,Config!$A:$A,0)),0),0))</f>
        <v/>
      </c>
      <c r="N2296" s="36" t="str">
        <f t="shared" si="2"/>
        <v/>
      </c>
      <c r="O2296" s="36" t="str">
        <f t="shared" si="3"/>
        <v/>
      </c>
      <c r="P2296" s="15"/>
      <c r="Q2296" s="37" t="str">
        <f t="shared" si="4"/>
        <v/>
      </c>
      <c r="R2296" s="37" t="str">
        <f t="shared" si="5"/>
        <v/>
      </c>
      <c r="S2296" s="32" t="str">
        <f t="shared" si="6"/>
        <v/>
      </c>
      <c r="T2296" s="37" t="str">
        <f t="shared" si="7"/>
        <v/>
      </c>
      <c r="U2296" s="37" t="str">
        <f t="array" ref="U2296">IF($F2296="","",IFERROR(INDEX(Config!$F:$F,MATCH($F2296,Config!$D:$D,0)),0))</f>
        <v/>
      </c>
    </row>
    <row r="2297" ht="15.0" customHeight="1">
      <c r="A2297" s="34"/>
      <c r="B2297" s="35"/>
      <c r="C2297" s="15"/>
      <c r="D2297" s="15"/>
      <c r="E2297" s="15"/>
      <c r="F2297" s="15"/>
      <c r="G2297" s="36" t="str">
        <f t="array" ref="G2297">IF($F2297="","",IFERROR(INDEX(Config!$E:$E,MATCH($F2297,Config!$D:$D,0)),0))</f>
        <v/>
      </c>
      <c r="H2297" s="16"/>
      <c r="I2297" s="36" t="str">
        <f t="shared" si="1"/>
        <v/>
      </c>
      <c r="J2297" s="16"/>
      <c r="K2297" s="15"/>
      <c r="L2297" s="15"/>
      <c r="M2297" s="36" t="str">
        <f t="array" ref="M2297">IF($A2297="","",IF($L2297="Atendido",IFERROR($I2297*INDEX(Config!$B:$B,MATCH($C2297,Config!$A:$A,0)),0),0))</f>
        <v/>
      </c>
      <c r="N2297" s="36" t="str">
        <f t="shared" si="2"/>
        <v/>
      </c>
      <c r="O2297" s="36" t="str">
        <f t="shared" si="3"/>
        <v/>
      </c>
      <c r="P2297" s="15"/>
      <c r="Q2297" s="37" t="str">
        <f t="shared" si="4"/>
        <v/>
      </c>
      <c r="R2297" s="37" t="str">
        <f t="shared" si="5"/>
        <v/>
      </c>
      <c r="S2297" s="32" t="str">
        <f t="shared" si="6"/>
        <v/>
      </c>
      <c r="T2297" s="37" t="str">
        <f t="shared" si="7"/>
        <v/>
      </c>
      <c r="U2297" s="37" t="str">
        <f t="array" ref="U2297">IF($F2297="","",IFERROR(INDEX(Config!$F:$F,MATCH($F2297,Config!$D:$D,0)),0))</f>
        <v/>
      </c>
    </row>
    <row r="2298" ht="15.0" customHeight="1">
      <c r="A2298" s="34"/>
      <c r="B2298" s="35"/>
      <c r="C2298" s="15"/>
      <c r="D2298" s="15"/>
      <c r="E2298" s="15"/>
      <c r="F2298" s="15"/>
      <c r="G2298" s="36" t="str">
        <f t="array" ref="G2298">IF($F2298="","",IFERROR(INDEX(Config!$E:$E,MATCH($F2298,Config!$D:$D,0)),0))</f>
        <v/>
      </c>
      <c r="H2298" s="16"/>
      <c r="I2298" s="36" t="str">
        <f t="shared" si="1"/>
        <v/>
      </c>
      <c r="J2298" s="16"/>
      <c r="K2298" s="15"/>
      <c r="L2298" s="15"/>
      <c r="M2298" s="36" t="str">
        <f t="array" ref="M2298">IF($A2298="","",IF($L2298="Atendido",IFERROR($I2298*INDEX(Config!$B:$B,MATCH($C2298,Config!$A:$A,0)),0),0))</f>
        <v/>
      </c>
      <c r="N2298" s="36" t="str">
        <f t="shared" si="2"/>
        <v/>
      </c>
      <c r="O2298" s="36" t="str">
        <f t="shared" si="3"/>
        <v/>
      </c>
      <c r="P2298" s="15"/>
      <c r="Q2298" s="37" t="str">
        <f t="shared" si="4"/>
        <v/>
      </c>
      <c r="R2298" s="37" t="str">
        <f t="shared" si="5"/>
        <v/>
      </c>
      <c r="S2298" s="32" t="str">
        <f t="shared" si="6"/>
        <v/>
      </c>
      <c r="T2298" s="37" t="str">
        <f t="shared" si="7"/>
        <v/>
      </c>
      <c r="U2298" s="37" t="str">
        <f t="array" ref="U2298">IF($F2298="","",IFERROR(INDEX(Config!$F:$F,MATCH($F2298,Config!$D:$D,0)),0))</f>
        <v/>
      </c>
    </row>
    <row r="2299" ht="15.0" customHeight="1">
      <c r="A2299" s="34"/>
      <c r="B2299" s="35"/>
      <c r="C2299" s="15"/>
      <c r="D2299" s="15"/>
      <c r="E2299" s="15"/>
      <c r="F2299" s="15"/>
      <c r="G2299" s="36" t="str">
        <f t="array" ref="G2299">IF($F2299="","",IFERROR(INDEX(Config!$E:$E,MATCH($F2299,Config!$D:$D,0)),0))</f>
        <v/>
      </c>
      <c r="H2299" s="16"/>
      <c r="I2299" s="36" t="str">
        <f t="shared" si="1"/>
        <v/>
      </c>
      <c r="J2299" s="16"/>
      <c r="K2299" s="15"/>
      <c r="L2299" s="15"/>
      <c r="M2299" s="36" t="str">
        <f t="array" ref="M2299">IF($A2299="","",IF($L2299="Atendido",IFERROR($I2299*INDEX(Config!$B:$B,MATCH($C2299,Config!$A:$A,0)),0),0))</f>
        <v/>
      </c>
      <c r="N2299" s="36" t="str">
        <f t="shared" si="2"/>
        <v/>
      </c>
      <c r="O2299" s="36" t="str">
        <f t="shared" si="3"/>
        <v/>
      </c>
      <c r="P2299" s="15"/>
      <c r="Q2299" s="37" t="str">
        <f t="shared" si="4"/>
        <v/>
      </c>
      <c r="R2299" s="37" t="str">
        <f t="shared" si="5"/>
        <v/>
      </c>
      <c r="S2299" s="32" t="str">
        <f t="shared" si="6"/>
        <v/>
      </c>
      <c r="T2299" s="37" t="str">
        <f t="shared" si="7"/>
        <v/>
      </c>
      <c r="U2299" s="37" t="str">
        <f t="array" ref="U2299">IF($F2299="","",IFERROR(INDEX(Config!$F:$F,MATCH($F2299,Config!$D:$D,0)),0))</f>
        <v/>
      </c>
    </row>
    <row r="2300" ht="15.0" customHeight="1">
      <c r="A2300" s="34"/>
      <c r="B2300" s="35"/>
      <c r="C2300" s="15"/>
      <c r="D2300" s="15"/>
      <c r="E2300" s="15"/>
      <c r="F2300" s="15"/>
      <c r="G2300" s="36" t="str">
        <f t="array" ref="G2300">IF($F2300="","",IFERROR(INDEX(Config!$E:$E,MATCH($F2300,Config!$D:$D,0)),0))</f>
        <v/>
      </c>
      <c r="H2300" s="16"/>
      <c r="I2300" s="36" t="str">
        <f t="shared" si="1"/>
        <v/>
      </c>
      <c r="J2300" s="16"/>
      <c r="K2300" s="15"/>
      <c r="L2300" s="15"/>
      <c r="M2300" s="36" t="str">
        <f t="array" ref="M2300">IF($A2300="","",IF($L2300="Atendido",IFERROR($I2300*INDEX(Config!$B:$B,MATCH($C2300,Config!$A:$A,0)),0),0))</f>
        <v/>
      </c>
      <c r="N2300" s="36" t="str">
        <f t="shared" si="2"/>
        <v/>
      </c>
      <c r="O2300" s="36" t="str">
        <f t="shared" si="3"/>
        <v/>
      </c>
      <c r="P2300" s="15"/>
      <c r="Q2300" s="37" t="str">
        <f t="shared" si="4"/>
        <v/>
      </c>
      <c r="R2300" s="37" t="str">
        <f t="shared" si="5"/>
        <v/>
      </c>
      <c r="S2300" s="32" t="str">
        <f t="shared" si="6"/>
        <v/>
      </c>
      <c r="T2300" s="37" t="str">
        <f t="shared" si="7"/>
        <v/>
      </c>
      <c r="U2300" s="37" t="str">
        <f t="array" ref="U2300">IF($F2300="","",IFERROR(INDEX(Config!$F:$F,MATCH($F2300,Config!$D:$D,0)),0))</f>
        <v/>
      </c>
    </row>
    <row r="2301" ht="15.0" customHeight="1">
      <c r="A2301" s="34"/>
      <c r="B2301" s="35"/>
      <c r="C2301" s="15"/>
      <c r="D2301" s="15"/>
      <c r="E2301" s="15"/>
      <c r="F2301" s="15"/>
      <c r="G2301" s="36" t="str">
        <f t="array" ref="G2301">IF($F2301="","",IFERROR(INDEX(Config!$E:$E,MATCH($F2301,Config!$D:$D,0)),0))</f>
        <v/>
      </c>
      <c r="H2301" s="16"/>
      <c r="I2301" s="36" t="str">
        <f t="shared" si="1"/>
        <v/>
      </c>
      <c r="J2301" s="16"/>
      <c r="K2301" s="15"/>
      <c r="L2301" s="15"/>
      <c r="M2301" s="36" t="str">
        <f t="array" ref="M2301">IF($A2301="","",IF($L2301="Atendido",IFERROR($I2301*INDEX(Config!$B:$B,MATCH($C2301,Config!$A:$A,0)),0),0))</f>
        <v/>
      </c>
      <c r="N2301" s="36" t="str">
        <f t="shared" si="2"/>
        <v/>
      </c>
      <c r="O2301" s="36" t="str">
        <f t="shared" si="3"/>
        <v/>
      </c>
      <c r="P2301" s="15"/>
      <c r="Q2301" s="37" t="str">
        <f t="shared" si="4"/>
        <v/>
      </c>
      <c r="R2301" s="37" t="str">
        <f t="shared" si="5"/>
        <v/>
      </c>
      <c r="S2301" s="32" t="str">
        <f t="shared" si="6"/>
        <v/>
      </c>
      <c r="T2301" s="37" t="str">
        <f t="shared" si="7"/>
        <v/>
      </c>
      <c r="U2301" s="37" t="str">
        <f t="array" ref="U2301">IF($F2301="","",IFERROR(INDEX(Config!$F:$F,MATCH($F2301,Config!$D:$D,0)),0))</f>
        <v/>
      </c>
    </row>
    <row r="2302" ht="15.0" customHeight="1">
      <c r="A2302" s="34"/>
      <c r="B2302" s="35"/>
      <c r="C2302" s="15"/>
      <c r="D2302" s="15"/>
      <c r="E2302" s="15"/>
      <c r="F2302" s="15"/>
      <c r="G2302" s="36" t="str">
        <f t="array" ref="G2302">IF($F2302="","",IFERROR(INDEX(Config!$E:$E,MATCH($F2302,Config!$D:$D,0)),0))</f>
        <v/>
      </c>
      <c r="H2302" s="16"/>
      <c r="I2302" s="36" t="str">
        <f t="shared" si="1"/>
        <v/>
      </c>
      <c r="J2302" s="16"/>
      <c r="K2302" s="15"/>
      <c r="L2302" s="15"/>
      <c r="M2302" s="36" t="str">
        <f t="array" ref="M2302">IF($A2302="","",IF($L2302="Atendido",IFERROR($I2302*INDEX(Config!$B:$B,MATCH($C2302,Config!$A:$A,0)),0),0))</f>
        <v/>
      </c>
      <c r="N2302" s="36" t="str">
        <f t="shared" si="2"/>
        <v/>
      </c>
      <c r="O2302" s="36" t="str">
        <f t="shared" si="3"/>
        <v/>
      </c>
      <c r="P2302" s="15"/>
      <c r="Q2302" s="37" t="str">
        <f t="shared" si="4"/>
        <v/>
      </c>
      <c r="R2302" s="37" t="str">
        <f t="shared" si="5"/>
        <v/>
      </c>
      <c r="S2302" s="32" t="str">
        <f t="shared" si="6"/>
        <v/>
      </c>
      <c r="T2302" s="37" t="str">
        <f t="shared" si="7"/>
        <v/>
      </c>
      <c r="U2302" s="37" t="str">
        <f t="array" ref="U2302">IF($F2302="","",IFERROR(INDEX(Config!$F:$F,MATCH($F2302,Config!$D:$D,0)),0))</f>
        <v/>
      </c>
    </row>
    <row r="2303" ht="15.0" customHeight="1">
      <c r="A2303" s="34"/>
      <c r="B2303" s="35"/>
      <c r="C2303" s="15"/>
      <c r="D2303" s="15"/>
      <c r="E2303" s="15"/>
      <c r="F2303" s="15"/>
      <c r="G2303" s="36" t="str">
        <f t="array" ref="G2303">IF($F2303="","",IFERROR(INDEX(Config!$E:$E,MATCH($F2303,Config!$D:$D,0)),0))</f>
        <v/>
      </c>
      <c r="H2303" s="16"/>
      <c r="I2303" s="36" t="str">
        <f t="shared" si="1"/>
        <v/>
      </c>
      <c r="J2303" s="16"/>
      <c r="K2303" s="15"/>
      <c r="L2303" s="15"/>
      <c r="M2303" s="36" t="str">
        <f t="array" ref="M2303">IF($A2303="","",IF($L2303="Atendido",IFERROR($I2303*INDEX(Config!$B:$B,MATCH($C2303,Config!$A:$A,0)),0),0))</f>
        <v/>
      </c>
      <c r="N2303" s="36" t="str">
        <f t="shared" si="2"/>
        <v/>
      </c>
      <c r="O2303" s="36" t="str">
        <f t="shared" si="3"/>
        <v/>
      </c>
      <c r="P2303" s="15"/>
      <c r="Q2303" s="37" t="str">
        <f t="shared" si="4"/>
        <v/>
      </c>
      <c r="R2303" s="37" t="str">
        <f t="shared" si="5"/>
        <v/>
      </c>
      <c r="S2303" s="32" t="str">
        <f t="shared" si="6"/>
        <v/>
      </c>
      <c r="T2303" s="37" t="str">
        <f t="shared" si="7"/>
        <v/>
      </c>
      <c r="U2303" s="37" t="str">
        <f t="array" ref="U2303">IF($F2303="","",IFERROR(INDEX(Config!$F:$F,MATCH($F2303,Config!$D:$D,0)),0))</f>
        <v/>
      </c>
    </row>
    <row r="2304" ht="15.0" customHeight="1">
      <c r="A2304" s="34"/>
      <c r="B2304" s="35"/>
      <c r="C2304" s="15"/>
      <c r="D2304" s="15"/>
      <c r="E2304" s="15"/>
      <c r="F2304" s="15"/>
      <c r="G2304" s="36" t="str">
        <f t="array" ref="G2304">IF($F2304="","",IFERROR(INDEX(Config!$E:$E,MATCH($F2304,Config!$D:$D,0)),0))</f>
        <v/>
      </c>
      <c r="H2304" s="16"/>
      <c r="I2304" s="36" t="str">
        <f t="shared" si="1"/>
        <v/>
      </c>
      <c r="J2304" s="16"/>
      <c r="K2304" s="15"/>
      <c r="L2304" s="15"/>
      <c r="M2304" s="36" t="str">
        <f t="array" ref="M2304">IF($A2304="","",IF($L2304="Atendido",IFERROR($I2304*INDEX(Config!$B:$B,MATCH($C2304,Config!$A:$A,0)),0),0))</f>
        <v/>
      </c>
      <c r="N2304" s="36" t="str">
        <f t="shared" si="2"/>
        <v/>
      </c>
      <c r="O2304" s="36" t="str">
        <f t="shared" si="3"/>
        <v/>
      </c>
      <c r="P2304" s="15"/>
      <c r="Q2304" s="37" t="str">
        <f t="shared" si="4"/>
        <v/>
      </c>
      <c r="R2304" s="37" t="str">
        <f t="shared" si="5"/>
        <v/>
      </c>
      <c r="S2304" s="32" t="str">
        <f t="shared" si="6"/>
        <v/>
      </c>
      <c r="T2304" s="37" t="str">
        <f t="shared" si="7"/>
        <v/>
      </c>
      <c r="U2304" s="37" t="str">
        <f t="array" ref="U2304">IF($F2304="","",IFERROR(INDEX(Config!$F:$F,MATCH($F2304,Config!$D:$D,0)),0))</f>
        <v/>
      </c>
    </row>
    <row r="2305" ht="15.0" customHeight="1">
      <c r="A2305" s="34"/>
      <c r="B2305" s="35"/>
      <c r="C2305" s="15"/>
      <c r="D2305" s="15"/>
      <c r="E2305" s="15"/>
      <c r="F2305" s="15"/>
      <c r="G2305" s="36" t="str">
        <f t="array" ref="G2305">IF($F2305="","",IFERROR(INDEX(Config!$E:$E,MATCH($F2305,Config!$D:$D,0)),0))</f>
        <v/>
      </c>
      <c r="H2305" s="16"/>
      <c r="I2305" s="36" t="str">
        <f t="shared" si="1"/>
        <v/>
      </c>
      <c r="J2305" s="16"/>
      <c r="K2305" s="15"/>
      <c r="L2305" s="15"/>
      <c r="M2305" s="36" t="str">
        <f t="array" ref="M2305">IF($A2305="","",IF($L2305="Atendido",IFERROR($I2305*INDEX(Config!$B:$B,MATCH($C2305,Config!$A:$A,0)),0),0))</f>
        <v/>
      </c>
      <c r="N2305" s="36" t="str">
        <f t="shared" si="2"/>
        <v/>
      </c>
      <c r="O2305" s="36" t="str">
        <f t="shared" si="3"/>
        <v/>
      </c>
      <c r="P2305" s="15"/>
      <c r="Q2305" s="37" t="str">
        <f t="shared" si="4"/>
        <v/>
      </c>
      <c r="R2305" s="37" t="str">
        <f t="shared" si="5"/>
        <v/>
      </c>
      <c r="S2305" s="32" t="str">
        <f t="shared" si="6"/>
        <v/>
      </c>
      <c r="T2305" s="37" t="str">
        <f t="shared" si="7"/>
        <v/>
      </c>
      <c r="U2305" s="37" t="str">
        <f t="array" ref="U2305">IF($F2305="","",IFERROR(INDEX(Config!$F:$F,MATCH($F2305,Config!$D:$D,0)),0))</f>
        <v/>
      </c>
    </row>
    <row r="2306" ht="15.0" customHeight="1">
      <c r="A2306" s="34"/>
      <c r="B2306" s="35"/>
      <c r="C2306" s="15"/>
      <c r="D2306" s="15"/>
      <c r="E2306" s="15"/>
      <c r="F2306" s="15"/>
      <c r="G2306" s="36" t="str">
        <f t="array" ref="G2306">IF($F2306="","",IFERROR(INDEX(Config!$E:$E,MATCH($F2306,Config!$D:$D,0)),0))</f>
        <v/>
      </c>
      <c r="H2306" s="16"/>
      <c r="I2306" s="36" t="str">
        <f t="shared" si="1"/>
        <v/>
      </c>
      <c r="J2306" s="16"/>
      <c r="K2306" s="15"/>
      <c r="L2306" s="15"/>
      <c r="M2306" s="36" t="str">
        <f t="array" ref="M2306">IF($A2306="","",IF($L2306="Atendido",IFERROR($I2306*INDEX(Config!$B:$B,MATCH($C2306,Config!$A:$A,0)),0),0))</f>
        <v/>
      </c>
      <c r="N2306" s="36" t="str">
        <f t="shared" si="2"/>
        <v/>
      </c>
      <c r="O2306" s="36" t="str">
        <f t="shared" si="3"/>
        <v/>
      </c>
      <c r="P2306" s="15"/>
      <c r="Q2306" s="37" t="str">
        <f t="shared" si="4"/>
        <v/>
      </c>
      <c r="R2306" s="37" t="str">
        <f t="shared" si="5"/>
        <v/>
      </c>
      <c r="S2306" s="32" t="str">
        <f t="shared" si="6"/>
        <v/>
      </c>
      <c r="T2306" s="37" t="str">
        <f t="shared" si="7"/>
        <v/>
      </c>
      <c r="U2306" s="37" t="str">
        <f t="array" ref="U2306">IF($F2306="","",IFERROR(INDEX(Config!$F:$F,MATCH($F2306,Config!$D:$D,0)),0))</f>
        <v/>
      </c>
    </row>
    <row r="2307" ht="15.0" customHeight="1">
      <c r="A2307" s="34"/>
      <c r="B2307" s="35"/>
      <c r="C2307" s="15"/>
      <c r="D2307" s="15"/>
      <c r="E2307" s="15"/>
      <c r="F2307" s="15"/>
      <c r="G2307" s="36" t="str">
        <f t="array" ref="G2307">IF($F2307="","",IFERROR(INDEX(Config!$E:$E,MATCH($F2307,Config!$D:$D,0)),0))</f>
        <v/>
      </c>
      <c r="H2307" s="16"/>
      <c r="I2307" s="36" t="str">
        <f t="shared" si="1"/>
        <v/>
      </c>
      <c r="J2307" s="16"/>
      <c r="K2307" s="15"/>
      <c r="L2307" s="15"/>
      <c r="M2307" s="36" t="str">
        <f t="array" ref="M2307">IF($A2307="","",IF($L2307="Atendido",IFERROR($I2307*INDEX(Config!$B:$B,MATCH($C2307,Config!$A:$A,0)),0),0))</f>
        <v/>
      </c>
      <c r="N2307" s="36" t="str">
        <f t="shared" si="2"/>
        <v/>
      </c>
      <c r="O2307" s="36" t="str">
        <f t="shared" si="3"/>
        <v/>
      </c>
      <c r="P2307" s="15"/>
      <c r="Q2307" s="37" t="str">
        <f t="shared" si="4"/>
        <v/>
      </c>
      <c r="R2307" s="37" t="str">
        <f t="shared" si="5"/>
        <v/>
      </c>
      <c r="S2307" s="32" t="str">
        <f t="shared" si="6"/>
        <v/>
      </c>
      <c r="T2307" s="37" t="str">
        <f t="shared" si="7"/>
        <v/>
      </c>
      <c r="U2307" s="37" t="str">
        <f t="array" ref="U2307">IF($F2307="","",IFERROR(INDEX(Config!$F:$F,MATCH($F2307,Config!$D:$D,0)),0))</f>
        <v/>
      </c>
    </row>
    <row r="2308" ht="15.0" customHeight="1">
      <c r="A2308" s="34"/>
      <c r="B2308" s="35"/>
      <c r="C2308" s="15"/>
      <c r="D2308" s="15"/>
      <c r="E2308" s="15"/>
      <c r="F2308" s="15"/>
      <c r="G2308" s="36" t="str">
        <f t="array" ref="G2308">IF($F2308="","",IFERROR(INDEX(Config!$E:$E,MATCH($F2308,Config!$D:$D,0)),0))</f>
        <v/>
      </c>
      <c r="H2308" s="16"/>
      <c r="I2308" s="36" t="str">
        <f t="shared" si="1"/>
        <v/>
      </c>
      <c r="J2308" s="16"/>
      <c r="K2308" s="15"/>
      <c r="L2308" s="15"/>
      <c r="M2308" s="36" t="str">
        <f t="array" ref="M2308">IF($A2308="","",IF($L2308="Atendido",IFERROR($I2308*INDEX(Config!$B:$B,MATCH($C2308,Config!$A:$A,0)),0),0))</f>
        <v/>
      </c>
      <c r="N2308" s="36" t="str">
        <f t="shared" si="2"/>
        <v/>
      </c>
      <c r="O2308" s="36" t="str">
        <f t="shared" si="3"/>
        <v/>
      </c>
      <c r="P2308" s="15"/>
      <c r="Q2308" s="37" t="str">
        <f t="shared" si="4"/>
        <v/>
      </c>
      <c r="R2308" s="37" t="str">
        <f t="shared" si="5"/>
        <v/>
      </c>
      <c r="S2308" s="32" t="str">
        <f t="shared" si="6"/>
        <v/>
      </c>
      <c r="T2308" s="37" t="str">
        <f t="shared" si="7"/>
        <v/>
      </c>
      <c r="U2308" s="37" t="str">
        <f t="array" ref="U2308">IF($F2308="","",IFERROR(INDEX(Config!$F:$F,MATCH($F2308,Config!$D:$D,0)),0))</f>
        <v/>
      </c>
    </row>
    <row r="2309" ht="15.0" customHeight="1">
      <c r="A2309" s="34"/>
      <c r="B2309" s="35"/>
      <c r="C2309" s="15"/>
      <c r="D2309" s="15"/>
      <c r="E2309" s="15"/>
      <c r="F2309" s="15"/>
      <c r="G2309" s="36" t="str">
        <f t="array" ref="G2309">IF($F2309="","",IFERROR(INDEX(Config!$E:$E,MATCH($F2309,Config!$D:$D,0)),0))</f>
        <v/>
      </c>
      <c r="H2309" s="16"/>
      <c r="I2309" s="36" t="str">
        <f t="shared" si="1"/>
        <v/>
      </c>
      <c r="J2309" s="16"/>
      <c r="K2309" s="15"/>
      <c r="L2309" s="15"/>
      <c r="M2309" s="36" t="str">
        <f t="array" ref="M2309">IF($A2309="","",IF($L2309="Atendido",IFERROR($I2309*INDEX(Config!$B:$B,MATCH($C2309,Config!$A:$A,0)),0),0))</f>
        <v/>
      </c>
      <c r="N2309" s="36" t="str">
        <f t="shared" si="2"/>
        <v/>
      </c>
      <c r="O2309" s="36" t="str">
        <f t="shared" si="3"/>
        <v/>
      </c>
      <c r="P2309" s="15"/>
      <c r="Q2309" s="37" t="str">
        <f t="shared" si="4"/>
        <v/>
      </c>
      <c r="R2309" s="37" t="str">
        <f t="shared" si="5"/>
        <v/>
      </c>
      <c r="S2309" s="32" t="str">
        <f t="shared" si="6"/>
        <v/>
      </c>
      <c r="T2309" s="37" t="str">
        <f t="shared" si="7"/>
        <v/>
      </c>
      <c r="U2309" s="37" t="str">
        <f t="array" ref="U2309">IF($F2309="","",IFERROR(INDEX(Config!$F:$F,MATCH($F2309,Config!$D:$D,0)),0))</f>
        <v/>
      </c>
    </row>
    <row r="2310" ht="15.0" customHeight="1">
      <c r="A2310" s="34"/>
      <c r="B2310" s="35"/>
      <c r="C2310" s="15"/>
      <c r="D2310" s="15"/>
      <c r="E2310" s="15"/>
      <c r="F2310" s="15"/>
      <c r="G2310" s="36" t="str">
        <f t="array" ref="G2310">IF($F2310="","",IFERROR(INDEX(Config!$E:$E,MATCH($F2310,Config!$D:$D,0)),0))</f>
        <v/>
      </c>
      <c r="H2310" s="16"/>
      <c r="I2310" s="36" t="str">
        <f t="shared" si="1"/>
        <v/>
      </c>
      <c r="J2310" s="16"/>
      <c r="K2310" s="15"/>
      <c r="L2310" s="15"/>
      <c r="M2310" s="36" t="str">
        <f t="array" ref="M2310">IF($A2310="","",IF($L2310="Atendido",IFERROR($I2310*INDEX(Config!$B:$B,MATCH($C2310,Config!$A:$A,0)),0),0))</f>
        <v/>
      </c>
      <c r="N2310" s="36" t="str">
        <f t="shared" si="2"/>
        <v/>
      </c>
      <c r="O2310" s="36" t="str">
        <f t="shared" si="3"/>
        <v/>
      </c>
      <c r="P2310" s="15"/>
      <c r="Q2310" s="37" t="str">
        <f t="shared" si="4"/>
        <v/>
      </c>
      <c r="R2310" s="37" t="str">
        <f t="shared" si="5"/>
        <v/>
      </c>
      <c r="S2310" s="32" t="str">
        <f t="shared" si="6"/>
        <v/>
      </c>
      <c r="T2310" s="37" t="str">
        <f t="shared" si="7"/>
        <v/>
      </c>
      <c r="U2310" s="37" t="str">
        <f t="array" ref="U2310">IF($F2310="","",IFERROR(INDEX(Config!$F:$F,MATCH($F2310,Config!$D:$D,0)),0))</f>
        <v/>
      </c>
    </row>
    <row r="2311" ht="15.0" customHeight="1">
      <c r="A2311" s="34"/>
      <c r="B2311" s="35"/>
      <c r="C2311" s="15"/>
      <c r="D2311" s="15"/>
      <c r="E2311" s="15"/>
      <c r="F2311" s="15"/>
      <c r="G2311" s="36" t="str">
        <f t="array" ref="G2311">IF($F2311="","",IFERROR(INDEX(Config!$E:$E,MATCH($F2311,Config!$D:$D,0)),0))</f>
        <v/>
      </c>
      <c r="H2311" s="16"/>
      <c r="I2311" s="36" t="str">
        <f t="shared" si="1"/>
        <v/>
      </c>
      <c r="J2311" s="16"/>
      <c r="K2311" s="15"/>
      <c r="L2311" s="15"/>
      <c r="M2311" s="36" t="str">
        <f t="array" ref="M2311">IF($A2311="","",IF($L2311="Atendido",IFERROR($I2311*INDEX(Config!$B:$B,MATCH($C2311,Config!$A:$A,0)),0),0))</f>
        <v/>
      </c>
      <c r="N2311" s="36" t="str">
        <f t="shared" si="2"/>
        <v/>
      </c>
      <c r="O2311" s="36" t="str">
        <f t="shared" si="3"/>
        <v/>
      </c>
      <c r="P2311" s="15"/>
      <c r="Q2311" s="37" t="str">
        <f t="shared" si="4"/>
        <v/>
      </c>
      <c r="R2311" s="37" t="str">
        <f t="shared" si="5"/>
        <v/>
      </c>
      <c r="S2311" s="32" t="str">
        <f t="shared" si="6"/>
        <v/>
      </c>
      <c r="T2311" s="37" t="str">
        <f t="shared" si="7"/>
        <v/>
      </c>
      <c r="U2311" s="37" t="str">
        <f t="array" ref="U2311">IF($F2311="","",IFERROR(INDEX(Config!$F:$F,MATCH($F2311,Config!$D:$D,0)),0))</f>
        <v/>
      </c>
    </row>
    <row r="2312" ht="15.0" customHeight="1">
      <c r="A2312" s="34"/>
      <c r="B2312" s="35"/>
      <c r="C2312" s="15"/>
      <c r="D2312" s="15"/>
      <c r="E2312" s="15"/>
      <c r="F2312" s="15"/>
      <c r="G2312" s="36" t="str">
        <f t="array" ref="G2312">IF($F2312="","",IFERROR(INDEX(Config!$E:$E,MATCH($F2312,Config!$D:$D,0)),0))</f>
        <v/>
      </c>
      <c r="H2312" s="16"/>
      <c r="I2312" s="36" t="str">
        <f t="shared" si="1"/>
        <v/>
      </c>
      <c r="J2312" s="16"/>
      <c r="K2312" s="15"/>
      <c r="L2312" s="15"/>
      <c r="M2312" s="36" t="str">
        <f t="array" ref="M2312">IF($A2312="","",IF($L2312="Atendido",IFERROR($I2312*INDEX(Config!$B:$B,MATCH($C2312,Config!$A:$A,0)),0),0))</f>
        <v/>
      </c>
      <c r="N2312" s="36" t="str">
        <f t="shared" si="2"/>
        <v/>
      </c>
      <c r="O2312" s="36" t="str">
        <f t="shared" si="3"/>
        <v/>
      </c>
      <c r="P2312" s="15"/>
      <c r="Q2312" s="37" t="str">
        <f t="shared" si="4"/>
        <v/>
      </c>
      <c r="R2312" s="37" t="str">
        <f t="shared" si="5"/>
        <v/>
      </c>
      <c r="S2312" s="32" t="str">
        <f t="shared" si="6"/>
        <v/>
      </c>
      <c r="T2312" s="37" t="str">
        <f t="shared" si="7"/>
        <v/>
      </c>
      <c r="U2312" s="37" t="str">
        <f t="array" ref="U2312">IF($F2312="","",IFERROR(INDEX(Config!$F:$F,MATCH($F2312,Config!$D:$D,0)),0))</f>
        <v/>
      </c>
    </row>
    <row r="2313" ht="15.0" customHeight="1">
      <c r="A2313" s="34"/>
      <c r="B2313" s="35"/>
      <c r="C2313" s="15"/>
      <c r="D2313" s="15"/>
      <c r="E2313" s="15"/>
      <c r="F2313" s="15"/>
      <c r="G2313" s="36" t="str">
        <f t="array" ref="G2313">IF($F2313="","",IFERROR(INDEX(Config!$E:$E,MATCH($F2313,Config!$D:$D,0)),0))</f>
        <v/>
      </c>
      <c r="H2313" s="16"/>
      <c r="I2313" s="36" t="str">
        <f t="shared" si="1"/>
        <v/>
      </c>
      <c r="J2313" s="16"/>
      <c r="K2313" s="15"/>
      <c r="L2313" s="15"/>
      <c r="M2313" s="36" t="str">
        <f t="array" ref="M2313">IF($A2313="","",IF($L2313="Atendido",IFERROR($I2313*INDEX(Config!$B:$B,MATCH($C2313,Config!$A:$A,0)),0),0))</f>
        <v/>
      </c>
      <c r="N2313" s="36" t="str">
        <f t="shared" si="2"/>
        <v/>
      </c>
      <c r="O2313" s="36" t="str">
        <f t="shared" si="3"/>
        <v/>
      </c>
      <c r="P2313" s="15"/>
      <c r="Q2313" s="37" t="str">
        <f t="shared" si="4"/>
        <v/>
      </c>
      <c r="R2313" s="37" t="str">
        <f t="shared" si="5"/>
        <v/>
      </c>
      <c r="S2313" s="32" t="str">
        <f t="shared" si="6"/>
        <v/>
      </c>
      <c r="T2313" s="37" t="str">
        <f t="shared" si="7"/>
        <v/>
      </c>
      <c r="U2313" s="37" t="str">
        <f t="array" ref="U2313">IF($F2313="","",IFERROR(INDEX(Config!$F:$F,MATCH($F2313,Config!$D:$D,0)),0))</f>
        <v/>
      </c>
    </row>
    <row r="2314" ht="15.0" customHeight="1">
      <c r="A2314" s="34"/>
      <c r="B2314" s="35"/>
      <c r="C2314" s="15"/>
      <c r="D2314" s="15"/>
      <c r="E2314" s="15"/>
      <c r="F2314" s="15"/>
      <c r="G2314" s="36" t="str">
        <f t="array" ref="G2314">IF($F2314="","",IFERROR(INDEX(Config!$E:$E,MATCH($F2314,Config!$D:$D,0)),0))</f>
        <v/>
      </c>
      <c r="H2314" s="16"/>
      <c r="I2314" s="36" t="str">
        <f t="shared" si="1"/>
        <v/>
      </c>
      <c r="J2314" s="16"/>
      <c r="K2314" s="15"/>
      <c r="L2314" s="15"/>
      <c r="M2314" s="36" t="str">
        <f t="array" ref="M2314">IF($A2314="","",IF($L2314="Atendido",IFERROR($I2314*INDEX(Config!$B:$B,MATCH($C2314,Config!$A:$A,0)),0),0))</f>
        <v/>
      </c>
      <c r="N2314" s="36" t="str">
        <f t="shared" si="2"/>
        <v/>
      </c>
      <c r="O2314" s="36" t="str">
        <f t="shared" si="3"/>
        <v/>
      </c>
      <c r="P2314" s="15"/>
      <c r="Q2314" s="37" t="str">
        <f t="shared" si="4"/>
        <v/>
      </c>
      <c r="R2314" s="37" t="str">
        <f t="shared" si="5"/>
        <v/>
      </c>
      <c r="S2314" s="32" t="str">
        <f t="shared" si="6"/>
        <v/>
      </c>
      <c r="T2314" s="37" t="str">
        <f t="shared" si="7"/>
        <v/>
      </c>
      <c r="U2314" s="37" t="str">
        <f t="array" ref="U2314">IF($F2314="","",IFERROR(INDEX(Config!$F:$F,MATCH($F2314,Config!$D:$D,0)),0))</f>
        <v/>
      </c>
    </row>
    <row r="2315" ht="15.0" customHeight="1">
      <c r="A2315" s="34"/>
      <c r="B2315" s="35"/>
      <c r="C2315" s="15"/>
      <c r="D2315" s="15"/>
      <c r="E2315" s="15"/>
      <c r="F2315" s="15"/>
      <c r="G2315" s="36" t="str">
        <f t="array" ref="G2315">IF($F2315="","",IFERROR(INDEX(Config!$E:$E,MATCH($F2315,Config!$D:$D,0)),0))</f>
        <v/>
      </c>
      <c r="H2315" s="16"/>
      <c r="I2315" s="36" t="str">
        <f t="shared" si="1"/>
        <v/>
      </c>
      <c r="J2315" s="16"/>
      <c r="K2315" s="15"/>
      <c r="L2315" s="15"/>
      <c r="M2315" s="36" t="str">
        <f t="array" ref="M2315">IF($A2315="","",IF($L2315="Atendido",IFERROR($I2315*INDEX(Config!$B:$B,MATCH($C2315,Config!$A:$A,0)),0),0))</f>
        <v/>
      </c>
      <c r="N2315" s="36" t="str">
        <f t="shared" si="2"/>
        <v/>
      </c>
      <c r="O2315" s="36" t="str">
        <f t="shared" si="3"/>
        <v/>
      </c>
      <c r="P2315" s="15"/>
      <c r="Q2315" s="37" t="str">
        <f t="shared" si="4"/>
        <v/>
      </c>
      <c r="R2315" s="37" t="str">
        <f t="shared" si="5"/>
        <v/>
      </c>
      <c r="S2315" s="32" t="str">
        <f t="shared" si="6"/>
        <v/>
      </c>
      <c r="T2315" s="37" t="str">
        <f t="shared" si="7"/>
        <v/>
      </c>
      <c r="U2315" s="37" t="str">
        <f t="array" ref="U2315">IF($F2315="","",IFERROR(INDEX(Config!$F:$F,MATCH($F2315,Config!$D:$D,0)),0))</f>
        <v/>
      </c>
    </row>
    <row r="2316" ht="15.0" customHeight="1">
      <c r="A2316" s="34"/>
      <c r="B2316" s="35"/>
      <c r="C2316" s="15"/>
      <c r="D2316" s="15"/>
      <c r="E2316" s="15"/>
      <c r="F2316" s="15"/>
      <c r="G2316" s="36" t="str">
        <f t="array" ref="G2316">IF($F2316="","",IFERROR(INDEX(Config!$E:$E,MATCH($F2316,Config!$D:$D,0)),0))</f>
        <v/>
      </c>
      <c r="H2316" s="16"/>
      <c r="I2316" s="36" t="str">
        <f t="shared" si="1"/>
        <v/>
      </c>
      <c r="J2316" s="16"/>
      <c r="K2316" s="15"/>
      <c r="L2316" s="15"/>
      <c r="M2316" s="36" t="str">
        <f t="array" ref="M2316">IF($A2316="","",IF($L2316="Atendido",IFERROR($I2316*INDEX(Config!$B:$B,MATCH($C2316,Config!$A:$A,0)),0),0))</f>
        <v/>
      </c>
      <c r="N2316" s="36" t="str">
        <f t="shared" si="2"/>
        <v/>
      </c>
      <c r="O2316" s="36" t="str">
        <f t="shared" si="3"/>
        <v/>
      </c>
      <c r="P2316" s="15"/>
      <c r="Q2316" s="37" t="str">
        <f t="shared" si="4"/>
        <v/>
      </c>
      <c r="R2316" s="37" t="str">
        <f t="shared" si="5"/>
        <v/>
      </c>
      <c r="S2316" s="32" t="str">
        <f t="shared" si="6"/>
        <v/>
      </c>
      <c r="T2316" s="37" t="str">
        <f t="shared" si="7"/>
        <v/>
      </c>
      <c r="U2316" s="37" t="str">
        <f t="array" ref="U2316">IF($F2316="","",IFERROR(INDEX(Config!$F:$F,MATCH($F2316,Config!$D:$D,0)),0))</f>
        <v/>
      </c>
    </row>
    <row r="2317" ht="15.0" customHeight="1">
      <c r="A2317" s="34"/>
      <c r="B2317" s="35"/>
      <c r="C2317" s="15"/>
      <c r="D2317" s="15"/>
      <c r="E2317" s="15"/>
      <c r="F2317" s="15"/>
      <c r="G2317" s="36" t="str">
        <f t="array" ref="G2317">IF($F2317="","",IFERROR(INDEX(Config!$E:$E,MATCH($F2317,Config!$D:$D,0)),0))</f>
        <v/>
      </c>
      <c r="H2317" s="16"/>
      <c r="I2317" s="36" t="str">
        <f t="shared" si="1"/>
        <v/>
      </c>
      <c r="J2317" s="16"/>
      <c r="K2317" s="15"/>
      <c r="L2317" s="15"/>
      <c r="M2317" s="36" t="str">
        <f t="array" ref="M2317">IF($A2317="","",IF($L2317="Atendido",IFERROR($I2317*INDEX(Config!$B:$B,MATCH($C2317,Config!$A:$A,0)),0),0))</f>
        <v/>
      </c>
      <c r="N2317" s="36" t="str">
        <f t="shared" si="2"/>
        <v/>
      </c>
      <c r="O2317" s="36" t="str">
        <f t="shared" si="3"/>
        <v/>
      </c>
      <c r="P2317" s="15"/>
      <c r="Q2317" s="37" t="str">
        <f t="shared" si="4"/>
        <v/>
      </c>
      <c r="R2317" s="37" t="str">
        <f t="shared" si="5"/>
        <v/>
      </c>
      <c r="S2317" s="32" t="str">
        <f t="shared" si="6"/>
        <v/>
      </c>
      <c r="T2317" s="37" t="str">
        <f t="shared" si="7"/>
        <v/>
      </c>
      <c r="U2317" s="37" t="str">
        <f t="array" ref="U2317">IF($F2317="","",IFERROR(INDEX(Config!$F:$F,MATCH($F2317,Config!$D:$D,0)),0))</f>
        <v/>
      </c>
    </row>
    <row r="2318" ht="15.0" customHeight="1">
      <c r="A2318" s="34"/>
      <c r="B2318" s="35"/>
      <c r="C2318" s="15"/>
      <c r="D2318" s="15"/>
      <c r="E2318" s="15"/>
      <c r="F2318" s="15"/>
      <c r="G2318" s="36" t="str">
        <f t="array" ref="G2318">IF($F2318="","",IFERROR(INDEX(Config!$E:$E,MATCH($F2318,Config!$D:$D,0)),0))</f>
        <v/>
      </c>
      <c r="H2318" s="16"/>
      <c r="I2318" s="36" t="str">
        <f t="shared" si="1"/>
        <v/>
      </c>
      <c r="J2318" s="16"/>
      <c r="K2318" s="15"/>
      <c r="L2318" s="15"/>
      <c r="M2318" s="36" t="str">
        <f t="array" ref="M2318">IF($A2318="","",IF($L2318="Atendido",IFERROR($I2318*INDEX(Config!$B:$B,MATCH($C2318,Config!$A:$A,0)),0),0))</f>
        <v/>
      </c>
      <c r="N2318" s="36" t="str">
        <f t="shared" si="2"/>
        <v/>
      </c>
      <c r="O2318" s="36" t="str">
        <f t="shared" si="3"/>
        <v/>
      </c>
      <c r="P2318" s="15"/>
      <c r="Q2318" s="37" t="str">
        <f t="shared" si="4"/>
        <v/>
      </c>
      <c r="R2318" s="37" t="str">
        <f t="shared" si="5"/>
        <v/>
      </c>
      <c r="S2318" s="32" t="str">
        <f t="shared" si="6"/>
        <v/>
      </c>
      <c r="T2318" s="37" t="str">
        <f t="shared" si="7"/>
        <v/>
      </c>
      <c r="U2318" s="37" t="str">
        <f t="array" ref="U2318">IF($F2318="","",IFERROR(INDEX(Config!$F:$F,MATCH($F2318,Config!$D:$D,0)),0))</f>
        <v/>
      </c>
    </row>
    <row r="2319" ht="15.0" customHeight="1">
      <c r="A2319" s="34"/>
      <c r="B2319" s="35"/>
      <c r="C2319" s="15"/>
      <c r="D2319" s="15"/>
      <c r="E2319" s="15"/>
      <c r="F2319" s="15"/>
      <c r="G2319" s="36" t="str">
        <f t="array" ref="G2319">IF($F2319="","",IFERROR(INDEX(Config!$E:$E,MATCH($F2319,Config!$D:$D,0)),0))</f>
        <v/>
      </c>
      <c r="H2319" s="16"/>
      <c r="I2319" s="36" t="str">
        <f t="shared" si="1"/>
        <v/>
      </c>
      <c r="J2319" s="16"/>
      <c r="K2319" s="15"/>
      <c r="L2319" s="15"/>
      <c r="M2319" s="36" t="str">
        <f t="array" ref="M2319">IF($A2319="","",IF($L2319="Atendido",IFERROR($I2319*INDEX(Config!$B:$B,MATCH($C2319,Config!$A:$A,0)),0),0))</f>
        <v/>
      </c>
      <c r="N2319" s="36" t="str">
        <f t="shared" si="2"/>
        <v/>
      </c>
      <c r="O2319" s="36" t="str">
        <f t="shared" si="3"/>
        <v/>
      </c>
      <c r="P2319" s="15"/>
      <c r="Q2319" s="37" t="str">
        <f t="shared" si="4"/>
        <v/>
      </c>
      <c r="R2319" s="37" t="str">
        <f t="shared" si="5"/>
        <v/>
      </c>
      <c r="S2319" s="32" t="str">
        <f t="shared" si="6"/>
        <v/>
      </c>
      <c r="T2319" s="37" t="str">
        <f t="shared" si="7"/>
        <v/>
      </c>
      <c r="U2319" s="37" t="str">
        <f t="array" ref="U2319">IF($F2319="","",IFERROR(INDEX(Config!$F:$F,MATCH($F2319,Config!$D:$D,0)),0))</f>
        <v/>
      </c>
    </row>
    <row r="2320" ht="15.0" customHeight="1">
      <c r="A2320" s="34"/>
      <c r="B2320" s="35"/>
      <c r="C2320" s="15"/>
      <c r="D2320" s="15"/>
      <c r="E2320" s="15"/>
      <c r="F2320" s="15"/>
      <c r="G2320" s="36" t="str">
        <f t="array" ref="G2320">IF($F2320="","",IFERROR(INDEX(Config!$E:$E,MATCH($F2320,Config!$D:$D,0)),0))</f>
        <v/>
      </c>
      <c r="H2320" s="16"/>
      <c r="I2320" s="36" t="str">
        <f t="shared" si="1"/>
        <v/>
      </c>
      <c r="J2320" s="16"/>
      <c r="K2320" s="15"/>
      <c r="L2320" s="15"/>
      <c r="M2320" s="36" t="str">
        <f t="array" ref="M2320">IF($A2320="","",IF($L2320="Atendido",IFERROR($I2320*INDEX(Config!$B:$B,MATCH($C2320,Config!$A:$A,0)),0),0))</f>
        <v/>
      </c>
      <c r="N2320" s="36" t="str">
        <f t="shared" si="2"/>
        <v/>
      </c>
      <c r="O2320" s="36" t="str">
        <f t="shared" si="3"/>
        <v/>
      </c>
      <c r="P2320" s="15"/>
      <c r="Q2320" s="37" t="str">
        <f t="shared" si="4"/>
        <v/>
      </c>
      <c r="R2320" s="37" t="str">
        <f t="shared" si="5"/>
        <v/>
      </c>
      <c r="S2320" s="32" t="str">
        <f t="shared" si="6"/>
        <v/>
      </c>
      <c r="T2320" s="37" t="str">
        <f t="shared" si="7"/>
        <v/>
      </c>
      <c r="U2320" s="37" t="str">
        <f t="array" ref="U2320">IF($F2320="","",IFERROR(INDEX(Config!$F:$F,MATCH($F2320,Config!$D:$D,0)),0))</f>
        <v/>
      </c>
    </row>
    <row r="2321" ht="15.0" customHeight="1">
      <c r="A2321" s="34"/>
      <c r="B2321" s="35"/>
      <c r="C2321" s="15"/>
      <c r="D2321" s="15"/>
      <c r="E2321" s="15"/>
      <c r="F2321" s="15"/>
      <c r="G2321" s="36" t="str">
        <f t="array" ref="G2321">IF($F2321="","",IFERROR(INDEX(Config!$E:$E,MATCH($F2321,Config!$D:$D,0)),0))</f>
        <v/>
      </c>
      <c r="H2321" s="16"/>
      <c r="I2321" s="36" t="str">
        <f t="shared" si="1"/>
        <v/>
      </c>
      <c r="J2321" s="16"/>
      <c r="K2321" s="15"/>
      <c r="L2321" s="15"/>
      <c r="M2321" s="36" t="str">
        <f t="array" ref="M2321">IF($A2321="","",IF($L2321="Atendido",IFERROR($I2321*INDEX(Config!$B:$B,MATCH($C2321,Config!$A:$A,0)),0),0))</f>
        <v/>
      </c>
      <c r="N2321" s="36" t="str">
        <f t="shared" si="2"/>
        <v/>
      </c>
      <c r="O2321" s="36" t="str">
        <f t="shared" si="3"/>
        <v/>
      </c>
      <c r="P2321" s="15"/>
      <c r="Q2321" s="37" t="str">
        <f t="shared" si="4"/>
        <v/>
      </c>
      <c r="R2321" s="37" t="str">
        <f t="shared" si="5"/>
        <v/>
      </c>
      <c r="S2321" s="32" t="str">
        <f t="shared" si="6"/>
        <v/>
      </c>
      <c r="T2321" s="37" t="str">
        <f t="shared" si="7"/>
        <v/>
      </c>
      <c r="U2321" s="37" t="str">
        <f t="array" ref="U2321">IF($F2321="","",IFERROR(INDEX(Config!$F:$F,MATCH($F2321,Config!$D:$D,0)),0))</f>
        <v/>
      </c>
    </row>
    <row r="2322" ht="15.0" customHeight="1">
      <c r="A2322" s="34"/>
      <c r="B2322" s="35"/>
      <c r="C2322" s="15"/>
      <c r="D2322" s="15"/>
      <c r="E2322" s="15"/>
      <c r="F2322" s="15"/>
      <c r="G2322" s="36" t="str">
        <f t="array" ref="G2322">IF($F2322="","",IFERROR(INDEX(Config!$E:$E,MATCH($F2322,Config!$D:$D,0)),0))</f>
        <v/>
      </c>
      <c r="H2322" s="16"/>
      <c r="I2322" s="36" t="str">
        <f t="shared" si="1"/>
        <v/>
      </c>
      <c r="J2322" s="16"/>
      <c r="K2322" s="15"/>
      <c r="L2322" s="15"/>
      <c r="M2322" s="36" t="str">
        <f t="array" ref="M2322">IF($A2322="","",IF($L2322="Atendido",IFERROR($I2322*INDEX(Config!$B:$B,MATCH($C2322,Config!$A:$A,0)),0),0))</f>
        <v/>
      </c>
      <c r="N2322" s="36" t="str">
        <f t="shared" si="2"/>
        <v/>
      </c>
      <c r="O2322" s="36" t="str">
        <f t="shared" si="3"/>
        <v/>
      </c>
      <c r="P2322" s="15"/>
      <c r="Q2322" s="37" t="str">
        <f t="shared" si="4"/>
        <v/>
      </c>
      <c r="R2322" s="37" t="str">
        <f t="shared" si="5"/>
        <v/>
      </c>
      <c r="S2322" s="32" t="str">
        <f t="shared" si="6"/>
        <v/>
      </c>
      <c r="T2322" s="37" t="str">
        <f t="shared" si="7"/>
        <v/>
      </c>
      <c r="U2322" s="37" t="str">
        <f t="array" ref="U2322">IF($F2322="","",IFERROR(INDEX(Config!$F:$F,MATCH($F2322,Config!$D:$D,0)),0))</f>
        <v/>
      </c>
    </row>
    <row r="2323" ht="15.0" customHeight="1">
      <c r="A2323" s="34"/>
      <c r="B2323" s="35"/>
      <c r="C2323" s="15"/>
      <c r="D2323" s="15"/>
      <c r="E2323" s="15"/>
      <c r="F2323" s="15"/>
      <c r="G2323" s="36" t="str">
        <f t="array" ref="G2323">IF($F2323="","",IFERROR(INDEX(Config!$E:$E,MATCH($F2323,Config!$D:$D,0)),0))</f>
        <v/>
      </c>
      <c r="H2323" s="16"/>
      <c r="I2323" s="36" t="str">
        <f t="shared" si="1"/>
        <v/>
      </c>
      <c r="J2323" s="16"/>
      <c r="K2323" s="15"/>
      <c r="L2323" s="15"/>
      <c r="M2323" s="36" t="str">
        <f t="array" ref="M2323">IF($A2323="","",IF($L2323="Atendido",IFERROR($I2323*INDEX(Config!$B:$B,MATCH($C2323,Config!$A:$A,0)),0),0))</f>
        <v/>
      </c>
      <c r="N2323" s="36" t="str">
        <f t="shared" si="2"/>
        <v/>
      </c>
      <c r="O2323" s="36" t="str">
        <f t="shared" si="3"/>
        <v/>
      </c>
      <c r="P2323" s="15"/>
      <c r="Q2323" s="37" t="str">
        <f t="shared" si="4"/>
        <v/>
      </c>
      <c r="R2323" s="37" t="str">
        <f t="shared" si="5"/>
        <v/>
      </c>
      <c r="S2323" s="32" t="str">
        <f t="shared" si="6"/>
        <v/>
      </c>
      <c r="T2323" s="37" t="str">
        <f t="shared" si="7"/>
        <v/>
      </c>
      <c r="U2323" s="37" t="str">
        <f t="array" ref="U2323">IF($F2323="","",IFERROR(INDEX(Config!$F:$F,MATCH($F2323,Config!$D:$D,0)),0))</f>
        <v/>
      </c>
    </row>
    <row r="2324" ht="15.0" customHeight="1">
      <c r="A2324" s="34"/>
      <c r="B2324" s="35"/>
      <c r="C2324" s="15"/>
      <c r="D2324" s="15"/>
      <c r="E2324" s="15"/>
      <c r="F2324" s="15"/>
      <c r="G2324" s="36" t="str">
        <f t="array" ref="G2324">IF($F2324="","",IFERROR(INDEX(Config!$E:$E,MATCH($F2324,Config!$D:$D,0)),0))</f>
        <v/>
      </c>
      <c r="H2324" s="16"/>
      <c r="I2324" s="36" t="str">
        <f t="shared" si="1"/>
        <v/>
      </c>
      <c r="J2324" s="16"/>
      <c r="K2324" s="15"/>
      <c r="L2324" s="15"/>
      <c r="M2324" s="36" t="str">
        <f t="array" ref="M2324">IF($A2324="","",IF($L2324="Atendido",IFERROR($I2324*INDEX(Config!$B:$B,MATCH($C2324,Config!$A:$A,0)),0),0))</f>
        <v/>
      </c>
      <c r="N2324" s="36" t="str">
        <f t="shared" si="2"/>
        <v/>
      </c>
      <c r="O2324" s="36" t="str">
        <f t="shared" si="3"/>
        <v/>
      </c>
      <c r="P2324" s="15"/>
      <c r="Q2324" s="37" t="str">
        <f t="shared" si="4"/>
        <v/>
      </c>
      <c r="R2324" s="37" t="str">
        <f t="shared" si="5"/>
        <v/>
      </c>
      <c r="S2324" s="32" t="str">
        <f t="shared" si="6"/>
        <v/>
      </c>
      <c r="T2324" s="37" t="str">
        <f t="shared" si="7"/>
        <v/>
      </c>
      <c r="U2324" s="37" t="str">
        <f t="array" ref="U2324">IF($F2324="","",IFERROR(INDEX(Config!$F:$F,MATCH($F2324,Config!$D:$D,0)),0))</f>
        <v/>
      </c>
    </row>
    <row r="2325" ht="15.0" customHeight="1">
      <c r="A2325" s="34"/>
      <c r="B2325" s="35"/>
      <c r="C2325" s="15"/>
      <c r="D2325" s="15"/>
      <c r="E2325" s="15"/>
      <c r="F2325" s="15"/>
      <c r="G2325" s="36" t="str">
        <f t="array" ref="G2325">IF($F2325="","",IFERROR(INDEX(Config!$E:$E,MATCH($F2325,Config!$D:$D,0)),0))</f>
        <v/>
      </c>
      <c r="H2325" s="16"/>
      <c r="I2325" s="36" t="str">
        <f t="shared" si="1"/>
        <v/>
      </c>
      <c r="J2325" s="16"/>
      <c r="K2325" s="15"/>
      <c r="L2325" s="15"/>
      <c r="M2325" s="36" t="str">
        <f t="array" ref="M2325">IF($A2325="","",IF($L2325="Atendido",IFERROR($I2325*INDEX(Config!$B:$B,MATCH($C2325,Config!$A:$A,0)),0),0))</f>
        <v/>
      </c>
      <c r="N2325" s="36" t="str">
        <f t="shared" si="2"/>
        <v/>
      </c>
      <c r="O2325" s="36" t="str">
        <f t="shared" si="3"/>
        <v/>
      </c>
      <c r="P2325" s="15"/>
      <c r="Q2325" s="37" t="str">
        <f t="shared" si="4"/>
        <v/>
      </c>
      <c r="R2325" s="37" t="str">
        <f t="shared" si="5"/>
        <v/>
      </c>
      <c r="S2325" s="32" t="str">
        <f t="shared" si="6"/>
        <v/>
      </c>
      <c r="T2325" s="37" t="str">
        <f t="shared" si="7"/>
        <v/>
      </c>
      <c r="U2325" s="37" t="str">
        <f t="array" ref="U2325">IF($F2325="","",IFERROR(INDEX(Config!$F:$F,MATCH($F2325,Config!$D:$D,0)),0))</f>
        <v/>
      </c>
    </row>
    <row r="2326" ht="15.0" customHeight="1">
      <c r="A2326" s="34"/>
      <c r="B2326" s="35"/>
      <c r="C2326" s="15"/>
      <c r="D2326" s="15"/>
      <c r="E2326" s="15"/>
      <c r="F2326" s="15"/>
      <c r="G2326" s="36" t="str">
        <f t="array" ref="G2326">IF($F2326="","",IFERROR(INDEX(Config!$E:$E,MATCH($F2326,Config!$D:$D,0)),0))</f>
        <v/>
      </c>
      <c r="H2326" s="16"/>
      <c r="I2326" s="36" t="str">
        <f t="shared" si="1"/>
        <v/>
      </c>
      <c r="J2326" s="16"/>
      <c r="K2326" s="15"/>
      <c r="L2326" s="15"/>
      <c r="M2326" s="36" t="str">
        <f t="array" ref="M2326">IF($A2326="","",IF($L2326="Atendido",IFERROR($I2326*INDEX(Config!$B:$B,MATCH($C2326,Config!$A:$A,0)),0),0))</f>
        <v/>
      </c>
      <c r="N2326" s="36" t="str">
        <f t="shared" si="2"/>
        <v/>
      </c>
      <c r="O2326" s="36" t="str">
        <f t="shared" si="3"/>
        <v/>
      </c>
      <c r="P2326" s="15"/>
      <c r="Q2326" s="37" t="str">
        <f t="shared" si="4"/>
        <v/>
      </c>
      <c r="R2326" s="37" t="str">
        <f t="shared" si="5"/>
        <v/>
      </c>
      <c r="S2326" s="32" t="str">
        <f t="shared" si="6"/>
        <v/>
      </c>
      <c r="T2326" s="37" t="str">
        <f t="shared" si="7"/>
        <v/>
      </c>
      <c r="U2326" s="37" t="str">
        <f t="array" ref="U2326">IF($F2326="","",IFERROR(INDEX(Config!$F:$F,MATCH($F2326,Config!$D:$D,0)),0))</f>
        <v/>
      </c>
    </row>
    <row r="2327" ht="15.0" customHeight="1">
      <c r="A2327" s="34"/>
      <c r="B2327" s="35"/>
      <c r="C2327" s="15"/>
      <c r="D2327" s="15"/>
      <c r="E2327" s="15"/>
      <c r="F2327" s="15"/>
      <c r="G2327" s="36" t="str">
        <f t="array" ref="G2327">IF($F2327="","",IFERROR(INDEX(Config!$E:$E,MATCH($F2327,Config!$D:$D,0)),0))</f>
        <v/>
      </c>
      <c r="H2327" s="16"/>
      <c r="I2327" s="36" t="str">
        <f t="shared" si="1"/>
        <v/>
      </c>
      <c r="J2327" s="16"/>
      <c r="K2327" s="15"/>
      <c r="L2327" s="15"/>
      <c r="M2327" s="36" t="str">
        <f t="array" ref="M2327">IF($A2327="","",IF($L2327="Atendido",IFERROR($I2327*INDEX(Config!$B:$B,MATCH($C2327,Config!$A:$A,0)),0),0))</f>
        <v/>
      </c>
      <c r="N2327" s="36" t="str">
        <f t="shared" si="2"/>
        <v/>
      </c>
      <c r="O2327" s="36" t="str">
        <f t="shared" si="3"/>
        <v/>
      </c>
      <c r="P2327" s="15"/>
      <c r="Q2327" s="37" t="str">
        <f t="shared" si="4"/>
        <v/>
      </c>
      <c r="R2327" s="37" t="str">
        <f t="shared" si="5"/>
        <v/>
      </c>
      <c r="S2327" s="32" t="str">
        <f t="shared" si="6"/>
        <v/>
      </c>
      <c r="T2327" s="37" t="str">
        <f t="shared" si="7"/>
        <v/>
      </c>
      <c r="U2327" s="37" t="str">
        <f t="array" ref="U2327">IF($F2327="","",IFERROR(INDEX(Config!$F:$F,MATCH($F2327,Config!$D:$D,0)),0))</f>
        <v/>
      </c>
    </row>
    <row r="2328" ht="15.0" customHeight="1">
      <c r="A2328" s="34"/>
      <c r="B2328" s="35"/>
      <c r="C2328" s="15"/>
      <c r="D2328" s="15"/>
      <c r="E2328" s="15"/>
      <c r="F2328" s="15"/>
      <c r="G2328" s="36" t="str">
        <f t="array" ref="G2328">IF($F2328="","",IFERROR(INDEX(Config!$E:$E,MATCH($F2328,Config!$D:$D,0)),0))</f>
        <v/>
      </c>
      <c r="H2328" s="16"/>
      <c r="I2328" s="36" t="str">
        <f t="shared" si="1"/>
        <v/>
      </c>
      <c r="J2328" s="16"/>
      <c r="K2328" s="15"/>
      <c r="L2328" s="15"/>
      <c r="M2328" s="36" t="str">
        <f t="array" ref="M2328">IF($A2328="","",IF($L2328="Atendido",IFERROR($I2328*INDEX(Config!$B:$B,MATCH($C2328,Config!$A:$A,0)),0),0))</f>
        <v/>
      </c>
      <c r="N2328" s="36" t="str">
        <f t="shared" si="2"/>
        <v/>
      </c>
      <c r="O2328" s="36" t="str">
        <f t="shared" si="3"/>
        <v/>
      </c>
      <c r="P2328" s="15"/>
      <c r="Q2328" s="37" t="str">
        <f t="shared" si="4"/>
        <v/>
      </c>
      <c r="R2328" s="37" t="str">
        <f t="shared" si="5"/>
        <v/>
      </c>
      <c r="S2328" s="32" t="str">
        <f t="shared" si="6"/>
        <v/>
      </c>
      <c r="T2328" s="37" t="str">
        <f t="shared" si="7"/>
        <v/>
      </c>
      <c r="U2328" s="37" t="str">
        <f t="array" ref="U2328">IF($F2328="","",IFERROR(INDEX(Config!$F:$F,MATCH($F2328,Config!$D:$D,0)),0))</f>
        <v/>
      </c>
    </row>
    <row r="2329" ht="15.0" customHeight="1">
      <c r="A2329" s="34"/>
      <c r="B2329" s="35"/>
      <c r="C2329" s="15"/>
      <c r="D2329" s="15"/>
      <c r="E2329" s="15"/>
      <c r="F2329" s="15"/>
      <c r="G2329" s="36" t="str">
        <f t="array" ref="G2329">IF($F2329="","",IFERROR(INDEX(Config!$E:$E,MATCH($F2329,Config!$D:$D,0)),0))</f>
        <v/>
      </c>
      <c r="H2329" s="16"/>
      <c r="I2329" s="36" t="str">
        <f t="shared" si="1"/>
        <v/>
      </c>
      <c r="J2329" s="16"/>
      <c r="K2329" s="15"/>
      <c r="L2329" s="15"/>
      <c r="M2329" s="36" t="str">
        <f t="array" ref="M2329">IF($A2329="","",IF($L2329="Atendido",IFERROR($I2329*INDEX(Config!$B:$B,MATCH($C2329,Config!$A:$A,0)),0),0))</f>
        <v/>
      </c>
      <c r="N2329" s="36" t="str">
        <f t="shared" si="2"/>
        <v/>
      </c>
      <c r="O2329" s="36" t="str">
        <f t="shared" si="3"/>
        <v/>
      </c>
      <c r="P2329" s="15"/>
      <c r="Q2329" s="37" t="str">
        <f t="shared" si="4"/>
        <v/>
      </c>
      <c r="R2329" s="37" t="str">
        <f t="shared" si="5"/>
        <v/>
      </c>
      <c r="S2329" s="32" t="str">
        <f t="shared" si="6"/>
        <v/>
      </c>
      <c r="T2329" s="37" t="str">
        <f t="shared" si="7"/>
        <v/>
      </c>
      <c r="U2329" s="37" t="str">
        <f t="array" ref="U2329">IF($F2329="","",IFERROR(INDEX(Config!$F:$F,MATCH($F2329,Config!$D:$D,0)),0))</f>
        <v/>
      </c>
    </row>
    <row r="2330" ht="15.0" customHeight="1">
      <c r="A2330" s="34"/>
      <c r="B2330" s="35"/>
      <c r="C2330" s="15"/>
      <c r="D2330" s="15"/>
      <c r="E2330" s="15"/>
      <c r="F2330" s="15"/>
      <c r="G2330" s="36" t="str">
        <f t="array" ref="G2330">IF($F2330="","",IFERROR(INDEX(Config!$E:$E,MATCH($F2330,Config!$D:$D,0)),0))</f>
        <v/>
      </c>
      <c r="H2330" s="16"/>
      <c r="I2330" s="36" t="str">
        <f t="shared" si="1"/>
        <v/>
      </c>
      <c r="J2330" s="16"/>
      <c r="K2330" s="15"/>
      <c r="L2330" s="15"/>
      <c r="M2330" s="36" t="str">
        <f t="array" ref="M2330">IF($A2330="","",IF($L2330="Atendido",IFERROR($I2330*INDEX(Config!$B:$B,MATCH($C2330,Config!$A:$A,0)),0),0))</f>
        <v/>
      </c>
      <c r="N2330" s="36" t="str">
        <f t="shared" si="2"/>
        <v/>
      </c>
      <c r="O2330" s="36" t="str">
        <f t="shared" si="3"/>
        <v/>
      </c>
      <c r="P2330" s="15"/>
      <c r="Q2330" s="37" t="str">
        <f t="shared" si="4"/>
        <v/>
      </c>
      <c r="R2330" s="37" t="str">
        <f t="shared" si="5"/>
        <v/>
      </c>
      <c r="S2330" s="32" t="str">
        <f t="shared" si="6"/>
        <v/>
      </c>
      <c r="T2330" s="37" t="str">
        <f t="shared" si="7"/>
        <v/>
      </c>
      <c r="U2330" s="37" t="str">
        <f t="array" ref="U2330">IF($F2330="","",IFERROR(INDEX(Config!$F:$F,MATCH($F2330,Config!$D:$D,0)),0))</f>
        <v/>
      </c>
    </row>
    <row r="2331" ht="15.0" customHeight="1">
      <c r="A2331" s="34"/>
      <c r="B2331" s="35"/>
      <c r="C2331" s="15"/>
      <c r="D2331" s="15"/>
      <c r="E2331" s="15"/>
      <c r="F2331" s="15"/>
      <c r="G2331" s="36" t="str">
        <f t="array" ref="G2331">IF($F2331="","",IFERROR(INDEX(Config!$E:$E,MATCH($F2331,Config!$D:$D,0)),0))</f>
        <v/>
      </c>
      <c r="H2331" s="16"/>
      <c r="I2331" s="36" t="str">
        <f t="shared" si="1"/>
        <v/>
      </c>
      <c r="J2331" s="16"/>
      <c r="K2331" s="15"/>
      <c r="L2331" s="15"/>
      <c r="M2331" s="36" t="str">
        <f t="array" ref="M2331">IF($A2331="","",IF($L2331="Atendido",IFERROR($I2331*INDEX(Config!$B:$B,MATCH($C2331,Config!$A:$A,0)),0),0))</f>
        <v/>
      </c>
      <c r="N2331" s="36" t="str">
        <f t="shared" si="2"/>
        <v/>
      </c>
      <c r="O2331" s="36" t="str">
        <f t="shared" si="3"/>
        <v/>
      </c>
      <c r="P2331" s="15"/>
      <c r="Q2331" s="37" t="str">
        <f t="shared" si="4"/>
        <v/>
      </c>
      <c r="R2331" s="37" t="str">
        <f t="shared" si="5"/>
        <v/>
      </c>
      <c r="S2331" s="32" t="str">
        <f t="shared" si="6"/>
        <v/>
      </c>
      <c r="T2331" s="37" t="str">
        <f t="shared" si="7"/>
        <v/>
      </c>
      <c r="U2331" s="37" t="str">
        <f t="array" ref="U2331">IF($F2331="","",IFERROR(INDEX(Config!$F:$F,MATCH($F2331,Config!$D:$D,0)),0))</f>
        <v/>
      </c>
    </row>
    <row r="2332" ht="15.0" customHeight="1">
      <c r="A2332" s="34"/>
      <c r="B2332" s="35"/>
      <c r="C2332" s="15"/>
      <c r="D2332" s="15"/>
      <c r="E2332" s="15"/>
      <c r="F2332" s="15"/>
      <c r="G2332" s="36" t="str">
        <f t="array" ref="G2332">IF($F2332="","",IFERROR(INDEX(Config!$E:$E,MATCH($F2332,Config!$D:$D,0)),0))</f>
        <v/>
      </c>
      <c r="H2332" s="16"/>
      <c r="I2332" s="36" t="str">
        <f t="shared" si="1"/>
        <v/>
      </c>
      <c r="J2332" s="16"/>
      <c r="K2332" s="15"/>
      <c r="L2332" s="15"/>
      <c r="M2332" s="36" t="str">
        <f t="array" ref="M2332">IF($A2332="","",IF($L2332="Atendido",IFERROR($I2332*INDEX(Config!$B:$B,MATCH($C2332,Config!$A:$A,0)),0),0))</f>
        <v/>
      </c>
      <c r="N2332" s="36" t="str">
        <f t="shared" si="2"/>
        <v/>
      </c>
      <c r="O2332" s="36" t="str">
        <f t="shared" si="3"/>
        <v/>
      </c>
      <c r="P2332" s="15"/>
      <c r="Q2332" s="37" t="str">
        <f t="shared" si="4"/>
        <v/>
      </c>
      <c r="R2332" s="37" t="str">
        <f t="shared" si="5"/>
        <v/>
      </c>
      <c r="S2332" s="32" t="str">
        <f t="shared" si="6"/>
        <v/>
      </c>
      <c r="T2332" s="37" t="str">
        <f t="shared" si="7"/>
        <v/>
      </c>
      <c r="U2332" s="37" t="str">
        <f t="array" ref="U2332">IF($F2332="","",IFERROR(INDEX(Config!$F:$F,MATCH($F2332,Config!$D:$D,0)),0))</f>
        <v/>
      </c>
    </row>
    <row r="2333" ht="15.0" customHeight="1">
      <c r="A2333" s="34"/>
      <c r="B2333" s="35"/>
      <c r="C2333" s="15"/>
      <c r="D2333" s="15"/>
      <c r="E2333" s="15"/>
      <c r="F2333" s="15"/>
      <c r="G2333" s="36" t="str">
        <f t="array" ref="G2333">IF($F2333="","",IFERROR(INDEX(Config!$E:$E,MATCH($F2333,Config!$D:$D,0)),0))</f>
        <v/>
      </c>
      <c r="H2333" s="16"/>
      <c r="I2333" s="36" t="str">
        <f t="shared" si="1"/>
        <v/>
      </c>
      <c r="J2333" s="16"/>
      <c r="K2333" s="15"/>
      <c r="L2333" s="15"/>
      <c r="M2333" s="36" t="str">
        <f t="array" ref="M2333">IF($A2333="","",IF($L2333="Atendido",IFERROR($I2333*INDEX(Config!$B:$B,MATCH($C2333,Config!$A:$A,0)),0),0))</f>
        <v/>
      </c>
      <c r="N2333" s="36" t="str">
        <f t="shared" si="2"/>
        <v/>
      </c>
      <c r="O2333" s="36" t="str">
        <f t="shared" si="3"/>
        <v/>
      </c>
      <c r="P2333" s="15"/>
      <c r="Q2333" s="37" t="str">
        <f t="shared" si="4"/>
        <v/>
      </c>
      <c r="R2333" s="37" t="str">
        <f t="shared" si="5"/>
        <v/>
      </c>
      <c r="S2333" s="32" t="str">
        <f t="shared" si="6"/>
        <v/>
      </c>
      <c r="T2333" s="37" t="str">
        <f t="shared" si="7"/>
        <v/>
      </c>
      <c r="U2333" s="37" t="str">
        <f t="array" ref="U2333">IF($F2333="","",IFERROR(INDEX(Config!$F:$F,MATCH($F2333,Config!$D:$D,0)),0))</f>
        <v/>
      </c>
    </row>
    <row r="2334" ht="15.0" customHeight="1">
      <c r="A2334" s="34"/>
      <c r="B2334" s="35"/>
      <c r="C2334" s="15"/>
      <c r="D2334" s="15"/>
      <c r="E2334" s="15"/>
      <c r="F2334" s="15"/>
      <c r="G2334" s="36" t="str">
        <f t="array" ref="G2334">IF($F2334="","",IFERROR(INDEX(Config!$E:$E,MATCH($F2334,Config!$D:$D,0)),0))</f>
        <v/>
      </c>
      <c r="H2334" s="16"/>
      <c r="I2334" s="36" t="str">
        <f t="shared" si="1"/>
        <v/>
      </c>
      <c r="J2334" s="16"/>
      <c r="K2334" s="15"/>
      <c r="L2334" s="15"/>
      <c r="M2334" s="36" t="str">
        <f t="array" ref="M2334">IF($A2334="","",IF($L2334="Atendido",IFERROR($I2334*INDEX(Config!$B:$B,MATCH($C2334,Config!$A:$A,0)),0),0))</f>
        <v/>
      </c>
      <c r="N2334" s="36" t="str">
        <f t="shared" si="2"/>
        <v/>
      </c>
      <c r="O2334" s="36" t="str">
        <f t="shared" si="3"/>
        <v/>
      </c>
      <c r="P2334" s="15"/>
      <c r="Q2334" s="37" t="str">
        <f t="shared" si="4"/>
        <v/>
      </c>
      <c r="R2334" s="37" t="str">
        <f t="shared" si="5"/>
        <v/>
      </c>
      <c r="S2334" s="32" t="str">
        <f t="shared" si="6"/>
        <v/>
      </c>
      <c r="T2334" s="37" t="str">
        <f t="shared" si="7"/>
        <v/>
      </c>
      <c r="U2334" s="37" t="str">
        <f t="array" ref="U2334">IF($F2334="","",IFERROR(INDEX(Config!$F:$F,MATCH($F2334,Config!$D:$D,0)),0))</f>
        <v/>
      </c>
    </row>
    <row r="2335" ht="15.0" customHeight="1">
      <c r="A2335" s="34"/>
      <c r="B2335" s="35"/>
      <c r="C2335" s="15"/>
      <c r="D2335" s="15"/>
      <c r="E2335" s="15"/>
      <c r="F2335" s="15"/>
      <c r="G2335" s="36" t="str">
        <f t="array" ref="G2335">IF($F2335="","",IFERROR(INDEX(Config!$E:$E,MATCH($F2335,Config!$D:$D,0)),0))</f>
        <v/>
      </c>
      <c r="H2335" s="16"/>
      <c r="I2335" s="36" t="str">
        <f t="shared" si="1"/>
        <v/>
      </c>
      <c r="J2335" s="16"/>
      <c r="K2335" s="15"/>
      <c r="L2335" s="15"/>
      <c r="M2335" s="36" t="str">
        <f t="array" ref="M2335">IF($A2335="","",IF($L2335="Atendido",IFERROR($I2335*INDEX(Config!$B:$B,MATCH($C2335,Config!$A:$A,0)),0),0))</f>
        <v/>
      </c>
      <c r="N2335" s="36" t="str">
        <f t="shared" si="2"/>
        <v/>
      </c>
      <c r="O2335" s="36" t="str">
        <f t="shared" si="3"/>
        <v/>
      </c>
      <c r="P2335" s="15"/>
      <c r="Q2335" s="37" t="str">
        <f t="shared" si="4"/>
        <v/>
      </c>
      <c r="R2335" s="37" t="str">
        <f t="shared" si="5"/>
        <v/>
      </c>
      <c r="S2335" s="32" t="str">
        <f t="shared" si="6"/>
        <v/>
      </c>
      <c r="T2335" s="37" t="str">
        <f t="shared" si="7"/>
        <v/>
      </c>
      <c r="U2335" s="37" t="str">
        <f t="array" ref="U2335">IF($F2335="","",IFERROR(INDEX(Config!$F:$F,MATCH($F2335,Config!$D:$D,0)),0))</f>
        <v/>
      </c>
    </row>
    <row r="2336" ht="15.0" customHeight="1">
      <c r="A2336" s="34"/>
      <c r="B2336" s="35"/>
      <c r="C2336" s="15"/>
      <c r="D2336" s="15"/>
      <c r="E2336" s="15"/>
      <c r="F2336" s="15"/>
      <c r="G2336" s="36" t="str">
        <f t="array" ref="G2336">IF($F2336="","",IFERROR(INDEX(Config!$E:$E,MATCH($F2336,Config!$D:$D,0)),0))</f>
        <v/>
      </c>
      <c r="H2336" s="16"/>
      <c r="I2336" s="36" t="str">
        <f t="shared" si="1"/>
        <v/>
      </c>
      <c r="J2336" s="16"/>
      <c r="K2336" s="15"/>
      <c r="L2336" s="15"/>
      <c r="M2336" s="36" t="str">
        <f t="array" ref="M2336">IF($A2336="","",IF($L2336="Atendido",IFERROR($I2336*INDEX(Config!$B:$B,MATCH($C2336,Config!$A:$A,0)),0),0))</f>
        <v/>
      </c>
      <c r="N2336" s="36" t="str">
        <f t="shared" si="2"/>
        <v/>
      </c>
      <c r="O2336" s="36" t="str">
        <f t="shared" si="3"/>
        <v/>
      </c>
      <c r="P2336" s="15"/>
      <c r="Q2336" s="37" t="str">
        <f t="shared" si="4"/>
        <v/>
      </c>
      <c r="R2336" s="37" t="str">
        <f t="shared" si="5"/>
        <v/>
      </c>
      <c r="S2336" s="32" t="str">
        <f t="shared" si="6"/>
        <v/>
      </c>
      <c r="T2336" s="37" t="str">
        <f t="shared" si="7"/>
        <v/>
      </c>
      <c r="U2336" s="37" t="str">
        <f t="array" ref="U2336">IF($F2336="","",IFERROR(INDEX(Config!$F:$F,MATCH($F2336,Config!$D:$D,0)),0))</f>
        <v/>
      </c>
    </row>
    <row r="2337" ht="15.0" customHeight="1">
      <c r="A2337" s="34"/>
      <c r="B2337" s="35"/>
      <c r="C2337" s="15"/>
      <c r="D2337" s="15"/>
      <c r="E2337" s="15"/>
      <c r="F2337" s="15"/>
      <c r="G2337" s="36" t="str">
        <f t="array" ref="G2337">IF($F2337="","",IFERROR(INDEX(Config!$E:$E,MATCH($F2337,Config!$D:$D,0)),0))</f>
        <v/>
      </c>
      <c r="H2337" s="16"/>
      <c r="I2337" s="36" t="str">
        <f t="shared" si="1"/>
        <v/>
      </c>
      <c r="J2337" s="16"/>
      <c r="K2337" s="15"/>
      <c r="L2337" s="15"/>
      <c r="M2337" s="36" t="str">
        <f t="array" ref="M2337">IF($A2337="","",IF($L2337="Atendido",IFERROR($I2337*INDEX(Config!$B:$B,MATCH($C2337,Config!$A:$A,0)),0),0))</f>
        <v/>
      </c>
      <c r="N2337" s="36" t="str">
        <f t="shared" si="2"/>
        <v/>
      </c>
      <c r="O2337" s="36" t="str">
        <f t="shared" si="3"/>
        <v/>
      </c>
      <c r="P2337" s="15"/>
      <c r="Q2337" s="37" t="str">
        <f t="shared" si="4"/>
        <v/>
      </c>
      <c r="R2337" s="37" t="str">
        <f t="shared" si="5"/>
        <v/>
      </c>
      <c r="S2337" s="32" t="str">
        <f t="shared" si="6"/>
        <v/>
      </c>
      <c r="T2337" s="37" t="str">
        <f t="shared" si="7"/>
        <v/>
      </c>
      <c r="U2337" s="37" t="str">
        <f t="array" ref="U2337">IF($F2337="","",IFERROR(INDEX(Config!$F:$F,MATCH($F2337,Config!$D:$D,0)),0))</f>
        <v/>
      </c>
    </row>
    <row r="2338" ht="15.0" customHeight="1">
      <c r="A2338" s="34"/>
      <c r="B2338" s="35"/>
      <c r="C2338" s="15"/>
      <c r="D2338" s="15"/>
      <c r="E2338" s="15"/>
      <c r="F2338" s="15"/>
      <c r="G2338" s="36" t="str">
        <f t="array" ref="G2338">IF($F2338="","",IFERROR(INDEX(Config!$E:$E,MATCH($F2338,Config!$D:$D,0)),0))</f>
        <v/>
      </c>
      <c r="H2338" s="16"/>
      <c r="I2338" s="36" t="str">
        <f t="shared" si="1"/>
        <v/>
      </c>
      <c r="J2338" s="16"/>
      <c r="K2338" s="15"/>
      <c r="L2338" s="15"/>
      <c r="M2338" s="36" t="str">
        <f t="array" ref="M2338">IF($A2338="","",IF($L2338="Atendido",IFERROR($I2338*INDEX(Config!$B:$B,MATCH($C2338,Config!$A:$A,0)),0),0))</f>
        <v/>
      </c>
      <c r="N2338" s="36" t="str">
        <f t="shared" si="2"/>
        <v/>
      </c>
      <c r="O2338" s="36" t="str">
        <f t="shared" si="3"/>
        <v/>
      </c>
      <c r="P2338" s="15"/>
      <c r="Q2338" s="37" t="str">
        <f t="shared" si="4"/>
        <v/>
      </c>
      <c r="R2338" s="37" t="str">
        <f t="shared" si="5"/>
        <v/>
      </c>
      <c r="S2338" s="32" t="str">
        <f t="shared" si="6"/>
        <v/>
      </c>
      <c r="T2338" s="37" t="str">
        <f t="shared" si="7"/>
        <v/>
      </c>
      <c r="U2338" s="37" t="str">
        <f t="array" ref="U2338">IF($F2338="","",IFERROR(INDEX(Config!$F:$F,MATCH($F2338,Config!$D:$D,0)),0))</f>
        <v/>
      </c>
    </row>
    <row r="2339" ht="15.0" customHeight="1">
      <c r="A2339" s="34"/>
      <c r="B2339" s="35"/>
      <c r="C2339" s="15"/>
      <c r="D2339" s="15"/>
      <c r="E2339" s="15"/>
      <c r="F2339" s="15"/>
      <c r="G2339" s="36" t="str">
        <f t="array" ref="G2339">IF($F2339="","",IFERROR(INDEX(Config!$E:$E,MATCH($F2339,Config!$D:$D,0)),0))</f>
        <v/>
      </c>
      <c r="H2339" s="16"/>
      <c r="I2339" s="36" t="str">
        <f t="shared" si="1"/>
        <v/>
      </c>
      <c r="J2339" s="16"/>
      <c r="K2339" s="15"/>
      <c r="L2339" s="15"/>
      <c r="M2339" s="36" t="str">
        <f t="array" ref="M2339">IF($A2339="","",IF($L2339="Atendido",IFERROR($I2339*INDEX(Config!$B:$B,MATCH($C2339,Config!$A:$A,0)),0),0))</f>
        <v/>
      </c>
      <c r="N2339" s="36" t="str">
        <f t="shared" si="2"/>
        <v/>
      </c>
      <c r="O2339" s="36" t="str">
        <f t="shared" si="3"/>
        <v/>
      </c>
      <c r="P2339" s="15"/>
      <c r="Q2339" s="37" t="str">
        <f t="shared" si="4"/>
        <v/>
      </c>
      <c r="R2339" s="37" t="str">
        <f t="shared" si="5"/>
        <v/>
      </c>
      <c r="S2339" s="32" t="str">
        <f t="shared" si="6"/>
        <v/>
      </c>
      <c r="T2339" s="37" t="str">
        <f t="shared" si="7"/>
        <v/>
      </c>
      <c r="U2339" s="37" t="str">
        <f t="array" ref="U2339">IF($F2339="","",IFERROR(INDEX(Config!$F:$F,MATCH($F2339,Config!$D:$D,0)),0))</f>
        <v/>
      </c>
    </row>
    <row r="2340" ht="15.0" customHeight="1">
      <c r="A2340" s="34"/>
      <c r="B2340" s="35"/>
      <c r="C2340" s="15"/>
      <c r="D2340" s="15"/>
      <c r="E2340" s="15"/>
      <c r="F2340" s="15"/>
      <c r="G2340" s="36" t="str">
        <f t="array" ref="G2340">IF($F2340="","",IFERROR(INDEX(Config!$E:$E,MATCH($F2340,Config!$D:$D,0)),0))</f>
        <v/>
      </c>
      <c r="H2340" s="16"/>
      <c r="I2340" s="36" t="str">
        <f t="shared" si="1"/>
        <v/>
      </c>
      <c r="J2340" s="16"/>
      <c r="K2340" s="15"/>
      <c r="L2340" s="15"/>
      <c r="M2340" s="36" t="str">
        <f t="array" ref="M2340">IF($A2340="","",IF($L2340="Atendido",IFERROR($I2340*INDEX(Config!$B:$B,MATCH($C2340,Config!$A:$A,0)),0),0))</f>
        <v/>
      </c>
      <c r="N2340" s="36" t="str">
        <f t="shared" si="2"/>
        <v/>
      </c>
      <c r="O2340" s="36" t="str">
        <f t="shared" si="3"/>
        <v/>
      </c>
      <c r="P2340" s="15"/>
      <c r="Q2340" s="37" t="str">
        <f t="shared" si="4"/>
        <v/>
      </c>
      <c r="R2340" s="37" t="str">
        <f t="shared" si="5"/>
        <v/>
      </c>
      <c r="S2340" s="32" t="str">
        <f t="shared" si="6"/>
        <v/>
      </c>
      <c r="T2340" s="37" t="str">
        <f t="shared" si="7"/>
        <v/>
      </c>
      <c r="U2340" s="37" t="str">
        <f t="array" ref="U2340">IF($F2340="","",IFERROR(INDEX(Config!$F:$F,MATCH($F2340,Config!$D:$D,0)),0))</f>
        <v/>
      </c>
    </row>
    <row r="2341" ht="15.0" customHeight="1">
      <c r="A2341" s="34"/>
      <c r="B2341" s="35"/>
      <c r="C2341" s="15"/>
      <c r="D2341" s="15"/>
      <c r="E2341" s="15"/>
      <c r="F2341" s="15"/>
      <c r="G2341" s="36" t="str">
        <f t="array" ref="G2341">IF($F2341="","",IFERROR(INDEX(Config!$E:$E,MATCH($F2341,Config!$D:$D,0)),0))</f>
        <v/>
      </c>
      <c r="H2341" s="16"/>
      <c r="I2341" s="36" t="str">
        <f t="shared" si="1"/>
        <v/>
      </c>
      <c r="J2341" s="16"/>
      <c r="K2341" s="15"/>
      <c r="L2341" s="15"/>
      <c r="M2341" s="36" t="str">
        <f t="array" ref="M2341">IF($A2341="","",IF($L2341="Atendido",IFERROR($I2341*INDEX(Config!$B:$B,MATCH($C2341,Config!$A:$A,0)),0),0))</f>
        <v/>
      </c>
      <c r="N2341" s="36" t="str">
        <f t="shared" si="2"/>
        <v/>
      </c>
      <c r="O2341" s="36" t="str">
        <f t="shared" si="3"/>
        <v/>
      </c>
      <c r="P2341" s="15"/>
      <c r="Q2341" s="37" t="str">
        <f t="shared" si="4"/>
        <v/>
      </c>
      <c r="R2341" s="37" t="str">
        <f t="shared" si="5"/>
        <v/>
      </c>
      <c r="S2341" s="32" t="str">
        <f t="shared" si="6"/>
        <v/>
      </c>
      <c r="T2341" s="37" t="str">
        <f t="shared" si="7"/>
        <v/>
      </c>
      <c r="U2341" s="37" t="str">
        <f t="array" ref="U2341">IF($F2341="","",IFERROR(INDEX(Config!$F:$F,MATCH($F2341,Config!$D:$D,0)),0))</f>
        <v/>
      </c>
    </row>
    <row r="2342" ht="15.0" customHeight="1">
      <c r="A2342" s="34"/>
      <c r="B2342" s="35"/>
      <c r="C2342" s="15"/>
      <c r="D2342" s="15"/>
      <c r="E2342" s="15"/>
      <c r="F2342" s="15"/>
      <c r="G2342" s="36" t="str">
        <f t="array" ref="G2342">IF($F2342="","",IFERROR(INDEX(Config!$E:$E,MATCH($F2342,Config!$D:$D,0)),0))</f>
        <v/>
      </c>
      <c r="H2342" s="16"/>
      <c r="I2342" s="36" t="str">
        <f t="shared" si="1"/>
        <v/>
      </c>
      <c r="J2342" s="16"/>
      <c r="K2342" s="15"/>
      <c r="L2342" s="15"/>
      <c r="M2342" s="36" t="str">
        <f t="array" ref="M2342">IF($A2342="","",IF($L2342="Atendido",IFERROR($I2342*INDEX(Config!$B:$B,MATCH($C2342,Config!$A:$A,0)),0),0))</f>
        <v/>
      </c>
      <c r="N2342" s="36" t="str">
        <f t="shared" si="2"/>
        <v/>
      </c>
      <c r="O2342" s="36" t="str">
        <f t="shared" si="3"/>
        <v/>
      </c>
      <c r="P2342" s="15"/>
      <c r="Q2342" s="37" t="str">
        <f t="shared" si="4"/>
        <v/>
      </c>
      <c r="R2342" s="37" t="str">
        <f t="shared" si="5"/>
        <v/>
      </c>
      <c r="S2342" s="32" t="str">
        <f t="shared" si="6"/>
        <v/>
      </c>
      <c r="T2342" s="37" t="str">
        <f t="shared" si="7"/>
        <v/>
      </c>
      <c r="U2342" s="37" t="str">
        <f t="array" ref="U2342">IF($F2342="","",IFERROR(INDEX(Config!$F:$F,MATCH($F2342,Config!$D:$D,0)),0))</f>
        <v/>
      </c>
    </row>
    <row r="2343" ht="15.0" customHeight="1">
      <c r="A2343" s="34"/>
      <c r="B2343" s="35"/>
      <c r="C2343" s="15"/>
      <c r="D2343" s="15"/>
      <c r="E2343" s="15"/>
      <c r="F2343" s="15"/>
      <c r="G2343" s="36" t="str">
        <f t="array" ref="G2343">IF($F2343="","",IFERROR(INDEX(Config!$E:$E,MATCH($F2343,Config!$D:$D,0)),0))</f>
        <v/>
      </c>
      <c r="H2343" s="16"/>
      <c r="I2343" s="36" t="str">
        <f t="shared" si="1"/>
        <v/>
      </c>
      <c r="J2343" s="16"/>
      <c r="K2343" s="15"/>
      <c r="L2343" s="15"/>
      <c r="M2343" s="36" t="str">
        <f t="array" ref="M2343">IF($A2343="","",IF($L2343="Atendido",IFERROR($I2343*INDEX(Config!$B:$B,MATCH($C2343,Config!$A:$A,0)),0),0))</f>
        <v/>
      </c>
      <c r="N2343" s="36" t="str">
        <f t="shared" si="2"/>
        <v/>
      </c>
      <c r="O2343" s="36" t="str">
        <f t="shared" si="3"/>
        <v/>
      </c>
      <c r="P2343" s="15"/>
      <c r="Q2343" s="37" t="str">
        <f t="shared" si="4"/>
        <v/>
      </c>
      <c r="R2343" s="37" t="str">
        <f t="shared" si="5"/>
        <v/>
      </c>
      <c r="S2343" s="32" t="str">
        <f t="shared" si="6"/>
        <v/>
      </c>
      <c r="T2343" s="37" t="str">
        <f t="shared" si="7"/>
        <v/>
      </c>
      <c r="U2343" s="37" t="str">
        <f t="array" ref="U2343">IF($F2343="","",IFERROR(INDEX(Config!$F:$F,MATCH($F2343,Config!$D:$D,0)),0))</f>
        <v/>
      </c>
    </row>
    <row r="2344" ht="15.0" customHeight="1">
      <c r="A2344" s="34"/>
      <c r="B2344" s="35"/>
      <c r="C2344" s="15"/>
      <c r="D2344" s="15"/>
      <c r="E2344" s="15"/>
      <c r="F2344" s="15"/>
      <c r="G2344" s="36" t="str">
        <f t="array" ref="G2344">IF($F2344="","",IFERROR(INDEX(Config!$E:$E,MATCH($F2344,Config!$D:$D,0)),0))</f>
        <v/>
      </c>
      <c r="H2344" s="16"/>
      <c r="I2344" s="36" t="str">
        <f t="shared" si="1"/>
        <v/>
      </c>
      <c r="J2344" s="16"/>
      <c r="K2344" s="15"/>
      <c r="L2344" s="15"/>
      <c r="M2344" s="36" t="str">
        <f t="array" ref="M2344">IF($A2344="","",IF($L2344="Atendido",IFERROR($I2344*INDEX(Config!$B:$B,MATCH($C2344,Config!$A:$A,0)),0),0))</f>
        <v/>
      </c>
      <c r="N2344" s="36" t="str">
        <f t="shared" si="2"/>
        <v/>
      </c>
      <c r="O2344" s="36" t="str">
        <f t="shared" si="3"/>
        <v/>
      </c>
      <c r="P2344" s="15"/>
      <c r="Q2344" s="37" t="str">
        <f t="shared" si="4"/>
        <v/>
      </c>
      <c r="R2344" s="37" t="str">
        <f t="shared" si="5"/>
        <v/>
      </c>
      <c r="S2344" s="32" t="str">
        <f t="shared" si="6"/>
        <v/>
      </c>
      <c r="T2344" s="37" t="str">
        <f t="shared" si="7"/>
        <v/>
      </c>
      <c r="U2344" s="37" t="str">
        <f t="array" ref="U2344">IF($F2344="","",IFERROR(INDEX(Config!$F:$F,MATCH($F2344,Config!$D:$D,0)),0))</f>
        <v/>
      </c>
    </row>
    <row r="2345" ht="15.0" customHeight="1">
      <c r="A2345" s="34"/>
      <c r="B2345" s="35"/>
      <c r="C2345" s="15"/>
      <c r="D2345" s="15"/>
      <c r="E2345" s="15"/>
      <c r="F2345" s="15"/>
      <c r="G2345" s="36" t="str">
        <f t="array" ref="G2345">IF($F2345="","",IFERROR(INDEX(Config!$E:$E,MATCH($F2345,Config!$D:$D,0)),0))</f>
        <v/>
      </c>
      <c r="H2345" s="16"/>
      <c r="I2345" s="36" t="str">
        <f t="shared" si="1"/>
        <v/>
      </c>
      <c r="J2345" s="16"/>
      <c r="K2345" s="15"/>
      <c r="L2345" s="15"/>
      <c r="M2345" s="36" t="str">
        <f t="array" ref="M2345">IF($A2345="","",IF($L2345="Atendido",IFERROR($I2345*INDEX(Config!$B:$B,MATCH($C2345,Config!$A:$A,0)),0),0))</f>
        <v/>
      </c>
      <c r="N2345" s="36" t="str">
        <f t="shared" si="2"/>
        <v/>
      </c>
      <c r="O2345" s="36" t="str">
        <f t="shared" si="3"/>
        <v/>
      </c>
      <c r="P2345" s="15"/>
      <c r="Q2345" s="37" t="str">
        <f t="shared" si="4"/>
        <v/>
      </c>
      <c r="R2345" s="37" t="str">
        <f t="shared" si="5"/>
        <v/>
      </c>
      <c r="S2345" s="32" t="str">
        <f t="shared" si="6"/>
        <v/>
      </c>
      <c r="T2345" s="37" t="str">
        <f t="shared" si="7"/>
        <v/>
      </c>
      <c r="U2345" s="37" t="str">
        <f t="array" ref="U2345">IF($F2345="","",IFERROR(INDEX(Config!$F:$F,MATCH($F2345,Config!$D:$D,0)),0))</f>
        <v/>
      </c>
    </row>
    <row r="2346" ht="15.0" customHeight="1">
      <c r="A2346" s="34"/>
      <c r="B2346" s="35"/>
      <c r="C2346" s="15"/>
      <c r="D2346" s="15"/>
      <c r="E2346" s="15"/>
      <c r="F2346" s="15"/>
      <c r="G2346" s="36" t="str">
        <f t="array" ref="G2346">IF($F2346="","",IFERROR(INDEX(Config!$E:$E,MATCH($F2346,Config!$D:$D,0)),0))</f>
        <v/>
      </c>
      <c r="H2346" s="16"/>
      <c r="I2346" s="36" t="str">
        <f t="shared" si="1"/>
        <v/>
      </c>
      <c r="J2346" s="16"/>
      <c r="K2346" s="15"/>
      <c r="L2346" s="15"/>
      <c r="M2346" s="36" t="str">
        <f t="array" ref="M2346">IF($A2346="","",IF($L2346="Atendido",IFERROR($I2346*INDEX(Config!$B:$B,MATCH($C2346,Config!$A:$A,0)),0),0))</f>
        <v/>
      </c>
      <c r="N2346" s="36" t="str">
        <f t="shared" si="2"/>
        <v/>
      </c>
      <c r="O2346" s="36" t="str">
        <f t="shared" si="3"/>
        <v/>
      </c>
      <c r="P2346" s="15"/>
      <c r="Q2346" s="37" t="str">
        <f t="shared" si="4"/>
        <v/>
      </c>
      <c r="R2346" s="37" t="str">
        <f t="shared" si="5"/>
        <v/>
      </c>
      <c r="S2346" s="32" t="str">
        <f t="shared" si="6"/>
        <v/>
      </c>
      <c r="T2346" s="37" t="str">
        <f t="shared" si="7"/>
        <v/>
      </c>
      <c r="U2346" s="37" t="str">
        <f t="array" ref="U2346">IF($F2346="","",IFERROR(INDEX(Config!$F:$F,MATCH($F2346,Config!$D:$D,0)),0))</f>
        <v/>
      </c>
    </row>
    <row r="2347" ht="15.0" customHeight="1">
      <c r="A2347" s="34"/>
      <c r="B2347" s="35"/>
      <c r="C2347" s="15"/>
      <c r="D2347" s="15"/>
      <c r="E2347" s="15"/>
      <c r="F2347" s="15"/>
      <c r="G2347" s="36" t="str">
        <f t="array" ref="G2347">IF($F2347="","",IFERROR(INDEX(Config!$E:$E,MATCH($F2347,Config!$D:$D,0)),0))</f>
        <v/>
      </c>
      <c r="H2347" s="16"/>
      <c r="I2347" s="36" t="str">
        <f t="shared" si="1"/>
        <v/>
      </c>
      <c r="J2347" s="16"/>
      <c r="K2347" s="15"/>
      <c r="L2347" s="15"/>
      <c r="M2347" s="36" t="str">
        <f t="array" ref="M2347">IF($A2347="","",IF($L2347="Atendido",IFERROR($I2347*INDEX(Config!$B:$B,MATCH($C2347,Config!$A:$A,0)),0),0))</f>
        <v/>
      </c>
      <c r="N2347" s="36" t="str">
        <f t="shared" si="2"/>
        <v/>
      </c>
      <c r="O2347" s="36" t="str">
        <f t="shared" si="3"/>
        <v/>
      </c>
      <c r="P2347" s="15"/>
      <c r="Q2347" s="37" t="str">
        <f t="shared" si="4"/>
        <v/>
      </c>
      <c r="R2347" s="37" t="str">
        <f t="shared" si="5"/>
        <v/>
      </c>
      <c r="S2347" s="32" t="str">
        <f t="shared" si="6"/>
        <v/>
      </c>
      <c r="T2347" s="37" t="str">
        <f t="shared" si="7"/>
        <v/>
      </c>
      <c r="U2347" s="37" t="str">
        <f t="array" ref="U2347">IF($F2347="","",IFERROR(INDEX(Config!$F:$F,MATCH($F2347,Config!$D:$D,0)),0))</f>
        <v/>
      </c>
    </row>
    <row r="2348" ht="15.0" customHeight="1">
      <c r="A2348" s="34"/>
      <c r="B2348" s="35"/>
      <c r="C2348" s="15"/>
      <c r="D2348" s="15"/>
      <c r="E2348" s="15"/>
      <c r="F2348" s="15"/>
      <c r="G2348" s="36" t="str">
        <f t="array" ref="G2348">IF($F2348="","",IFERROR(INDEX(Config!$E:$E,MATCH($F2348,Config!$D:$D,0)),0))</f>
        <v/>
      </c>
      <c r="H2348" s="16"/>
      <c r="I2348" s="36" t="str">
        <f t="shared" si="1"/>
        <v/>
      </c>
      <c r="J2348" s="16"/>
      <c r="K2348" s="15"/>
      <c r="L2348" s="15"/>
      <c r="M2348" s="36" t="str">
        <f t="array" ref="M2348">IF($A2348="","",IF($L2348="Atendido",IFERROR($I2348*INDEX(Config!$B:$B,MATCH($C2348,Config!$A:$A,0)),0),0))</f>
        <v/>
      </c>
      <c r="N2348" s="36" t="str">
        <f t="shared" si="2"/>
        <v/>
      </c>
      <c r="O2348" s="36" t="str">
        <f t="shared" si="3"/>
        <v/>
      </c>
      <c r="P2348" s="15"/>
      <c r="Q2348" s="37" t="str">
        <f t="shared" si="4"/>
        <v/>
      </c>
      <c r="R2348" s="37" t="str">
        <f t="shared" si="5"/>
        <v/>
      </c>
      <c r="S2348" s="32" t="str">
        <f t="shared" si="6"/>
        <v/>
      </c>
      <c r="T2348" s="37" t="str">
        <f t="shared" si="7"/>
        <v/>
      </c>
      <c r="U2348" s="37" t="str">
        <f t="array" ref="U2348">IF($F2348="","",IFERROR(INDEX(Config!$F:$F,MATCH($F2348,Config!$D:$D,0)),0))</f>
        <v/>
      </c>
    </row>
    <row r="2349" ht="15.0" customHeight="1">
      <c r="A2349" s="34"/>
      <c r="B2349" s="35"/>
      <c r="C2349" s="15"/>
      <c r="D2349" s="15"/>
      <c r="E2349" s="15"/>
      <c r="F2349" s="15"/>
      <c r="G2349" s="36" t="str">
        <f t="array" ref="G2349">IF($F2349="","",IFERROR(INDEX(Config!$E:$E,MATCH($F2349,Config!$D:$D,0)),0))</f>
        <v/>
      </c>
      <c r="H2349" s="16"/>
      <c r="I2349" s="36" t="str">
        <f t="shared" si="1"/>
        <v/>
      </c>
      <c r="J2349" s="16"/>
      <c r="K2349" s="15"/>
      <c r="L2349" s="15"/>
      <c r="M2349" s="36" t="str">
        <f t="array" ref="M2349">IF($A2349="","",IF($L2349="Atendido",IFERROR($I2349*INDEX(Config!$B:$B,MATCH($C2349,Config!$A:$A,0)),0),0))</f>
        <v/>
      </c>
      <c r="N2349" s="36" t="str">
        <f t="shared" si="2"/>
        <v/>
      </c>
      <c r="O2349" s="36" t="str">
        <f t="shared" si="3"/>
        <v/>
      </c>
      <c r="P2349" s="15"/>
      <c r="Q2349" s="37" t="str">
        <f t="shared" si="4"/>
        <v/>
      </c>
      <c r="R2349" s="37" t="str">
        <f t="shared" si="5"/>
        <v/>
      </c>
      <c r="S2349" s="32" t="str">
        <f t="shared" si="6"/>
        <v/>
      </c>
      <c r="T2349" s="37" t="str">
        <f t="shared" si="7"/>
        <v/>
      </c>
      <c r="U2349" s="37" t="str">
        <f t="array" ref="U2349">IF($F2349="","",IFERROR(INDEX(Config!$F:$F,MATCH($F2349,Config!$D:$D,0)),0))</f>
        <v/>
      </c>
    </row>
    <row r="2350" ht="15.0" customHeight="1">
      <c r="A2350" s="34"/>
      <c r="B2350" s="35"/>
      <c r="C2350" s="15"/>
      <c r="D2350" s="15"/>
      <c r="E2350" s="15"/>
      <c r="F2350" s="15"/>
      <c r="G2350" s="36" t="str">
        <f t="array" ref="G2350">IF($F2350="","",IFERROR(INDEX(Config!$E:$E,MATCH($F2350,Config!$D:$D,0)),0))</f>
        <v/>
      </c>
      <c r="H2350" s="16"/>
      <c r="I2350" s="36" t="str">
        <f t="shared" si="1"/>
        <v/>
      </c>
      <c r="J2350" s="16"/>
      <c r="K2350" s="15"/>
      <c r="L2350" s="15"/>
      <c r="M2350" s="36" t="str">
        <f t="array" ref="M2350">IF($A2350="","",IF($L2350="Atendido",IFERROR($I2350*INDEX(Config!$B:$B,MATCH($C2350,Config!$A:$A,0)),0),0))</f>
        <v/>
      </c>
      <c r="N2350" s="36" t="str">
        <f t="shared" si="2"/>
        <v/>
      </c>
      <c r="O2350" s="36" t="str">
        <f t="shared" si="3"/>
        <v/>
      </c>
      <c r="P2350" s="15"/>
      <c r="Q2350" s="37" t="str">
        <f t="shared" si="4"/>
        <v/>
      </c>
      <c r="R2350" s="37" t="str">
        <f t="shared" si="5"/>
        <v/>
      </c>
      <c r="S2350" s="32" t="str">
        <f t="shared" si="6"/>
        <v/>
      </c>
      <c r="T2350" s="37" t="str">
        <f t="shared" si="7"/>
        <v/>
      </c>
      <c r="U2350" s="37" t="str">
        <f t="array" ref="U2350">IF($F2350="","",IFERROR(INDEX(Config!$F:$F,MATCH($F2350,Config!$D:$D,0)),0))</f>
        <v/>
      </c>
    </row>
    <row r="2351" ht="15.0" customHeight="1">
      <c r="A2351" s="34"/>
      <c r="B2351" s="35"/>
      <c r="C2351" s="15"/>
      <c r="D2351" s="15"/>
      <c r="E2351" s="15"/>
      <c r="F2351" s="15"/>
      <c r="G2351" s="36" t="str">
        <f t="array" ref="G2351">IF($F2351="","",IFERROR(INDEX(Config!$E:$E,MATCH($F2351,Config!$D:$D,0)),0))</f>
        <v/>
      </c>
      <c r="H2351" s="16"/>
      <c r="I2351" s="36" t="str">
        <f t="shared" si="1"/>
        <v/>
      </c>
      <c r="J2351" s="16"/>
      <c r="K2351" s="15"/>
      <c r="L2351" s="15"/>
      <c r="M2351" s="36" t="str">
        <f t="array" ref="M2351">IF($A2351="","",IF($L2351="Atendido",IFERROR($I2351*INDEX(Config!$B:$B,MATCH($C2351,Config!$A:$A,0)),0),0))</f>
        <v/>
      </c>
      <c r="N2351" s="36" t="str">
        <f t="shared" si="2"/>
        <v/>
      </c>
      <c r="O2351" s="36" t="str">
        <f t="shared" si="3"/>
        <v/>
      </c>
      <c r="P2351" s="15"/>
      <c r="Q2351" s="37" t="str">
        <f t="shared" si="4"/>
        <v/>
      </c>
      <c r="R2351" s="37" t="str">
        <f t="shared" si="5"/>
        <v/>
      </c>
      <c r="S2351" s="32" t="str">
        <f t="shared" si="6"/>
        <v/>
      </c>
      <c r="T2351" s="37" t="str">
        <f t="shared" si="7"/>
        <v/>
      </c>
      <c r="U2351" s="37" t="str">
        <f t="array" ref="U2351">IF($F2351="","",IFERROR(INDEX(Config!$F:$F,MATCH($F2351,Config!$D:$D,0)),0))</f>
        <v/>
      </c>
    </row>
    <row r="2352" ht="15.0" customHeight="1">
      <c r="A2352" s="34"/>
      <c r="B2352" s="35"/>
      <c r="C2352" s="15"/>
      <c r="D2352" s="15"/>
      <c r="E2352" s="15"/>
      <c r="F2352" s="15"/>
      <c r="G2352" s="36" t="str">
        <f t="array" ref="G2352">IF($F2352="","",IFERROR(INDEX(Config!$E:$E,MATCH($F2352,Config!$D:$D,0)),0))</f>
        <v/>
      </c>
      <c r="H2352" s="16"/>
      <c r="I2352" s="36" t="str">
        <f t="shared" si="1"/>
        <v/>
      </c>
      <c r="J2352" s="16"/>
      <c r="K2352" s="15"/>
      <c r="L2352" s="15"/>
      <c r="M2352" s="36" t="str">
        <f t="array" ref="M2352">IF($A2352="","",IF($L2352="Atendido",IFERROR($I2352*INDEX(Config!$B:$B,MATCH($C2352,Config!$A:$A,0)),0),0))</f>
        <v/>
      </c>
      <c r="N2352" s="36" t="str">
        <f t="shared" si="2"/>
        <v/>
      </c>
      <c r="O2352" s="36" t="str">
        <f t="shared" si="3"/>
        <v/>
      </c>
      <c r="P2352" s="15"/>
      <c r="Q2352" s="37" t="str">
        <f t="shared" si="4"/>
        <v/>
      </c>
      <c r="R2352" s="37" t="str">
        <f t="shared" si="5"/>
        <v/>
      </c>
      <c r="S2352" s="32" t="str">
        <f t="shared" si="6"/>
        <v/>
      </c>
      <c r="T2352" s="37" t="str">
        <f t="shared" si="7"/>
        <v/>
      </c>
      <c r="U2352" s="37" t="str">
        <f t="array" ref="U2352">IF($F2352="","",IFERROR(INDEX(Config!$F:$F,MATCH($F2352,Config!$D:$D,0)),0))</f>
        <v/>
      </c>
    </row>
    <row r="2353" ht="15.0" customHeight="1">
      <c r="A2353" s="34"/>
      <c r="B2353" s="35"/>
      <c r="C2353" s="15"/>
      <c r="D2353" s="15"/>
      <c r="E2353" s="15"/>
      <c r="F2353" s="15"/>
      <c r="G2353" s="36" t="str">
        <f t="array" ref="G2353">IF($F2353="","",IFERROR(INDEX(Config!$E:$E,MATCH($F2353,Config!$D:$D,0)),0))</f>
        <v/>
      </c>
      <c r="H2353" s="16"/>
      <c r="I2353" s="36" t="str">
        <f t="shared" si="1"/>
        <v/>
      </c>
      <c r="J2353" s="16"/>
      <c r="K2353" s="15"/>
      <c r="L2353" s="15"/>
      <c r="M2353" s="36" t="str">
        <f t="array" ref="M2353">IF($A2353="","",IF($L2353="Atendido",IFERROR($I2353*INDEX(Config!$B:$B,MATCH($C2353,Config!$A:$A,0)),0),0))</f>
        <v/>
      </c>
      <c r="N2353" s="36" t="str">
        <f t="shared" si="2"/>
        <v/>
      </c>
      <c r="O2353" s="36" t="str">
        <f t="shared" si="3"/>
        <v/>
      </c>
      <c r="P2353" s="15"/>
      <c r="Q2353" s="37" t="str">
        <f t="shared" si="4"/>
        <v/>
      </c>
      <c r="R2353" s="37" t="str">
        <f t="shared" si="5"/>
        <v/>
      </c>
      <c r="S2353" s="32" t="str">
        <f t="shared" si="6"/>
        <v/>
      </c>
      <c r="T2353" s="37" t="str">
        <f t="shared" si="7"/>
        <v/>
      </c>
      <c r="U2353" s="37" t="str">
        <f t="array" ref="U2353">IF($F2353="","",IFERROR(INDEX(Config!$F:$F,MATCH($F2353,Config!$D:$D,0)),0))</f>
        <v/>
      </c>
    </row>
    <row r="2354" ht="15.0" customHeight="1">
      <c r="A2354" s="34"/>
      <c r="B2354" s="35"/>
      <c r="C2354" s="15"/>
      <c r="D2354" s="15"/>
      <c r="E2354" s="15"/>
      <c r="F2354" s="15"/>
      <c r="G2354" s="36" t="str">
        <f t="array" ref="G2354">IF($F2354="","",IFERROR(INDEX(Config!$E:$E,MATCH($F2354,Config!$D:$D,0)),0))</f>
        <v/>
      </c>
      <c r="H2354" s="16"/>
      <c r="I2354" s="36" t="str">
        <f t="shared" si="1"/>
        <v/>
      </c>
      <c r="J2354" s="16"/>
      <c r="K2354" s="15"/>
      <c r="L2354" s="15"/>
      <c r="M2354" s="36" t="str">
        <f t="array" ref="M2354">IF($A2354="","",IF($L2354="Atendido",IFERROR($I2354*INDEX(Config!$B:$B,MATCH($C2354,Config!$A:$A,0)),0),0))</f>
        <v/>
      </c>
      <c r="N2354" s="36" t="str">
        <f t="shared" si="2"/>
        <v/>
      </c>
      <c r="O2354" s="36" t="str">
        <f t="shared" si="3"/>
        <v/>
      </c>
      <c r="P2354" s="15"/>
      <c r="Q2354" s="37" t="str">
        <f t="shared" si="4"/>
        <v/>
      </c>
      <c r="R2354" s="37" t="str">
        <f t="shared" si="5"/>
        <v/>
      </c>
      <c r="S2354" s="32" t="str">
        <f t="shared" si="6"/>
        <v/>
      </c>
      <c r="T2354" s="37" t="str">
        <f t="shared" si="7"/>
        <v/>
      </c>
      <c r="U2354" s="37" t="str">
        <f t="array" ref="U2354">IF($F2354="","",IFERROR(INDEX(Config!$F:$F,MATCH($F2354,Config!$D:$D,0)),0))</f>
        <v/>
      </c>
    </row>
    <row r="2355" ht="15.0" customHeight="1">
      <c r="A2355" s="34"/>
      <c r="B2355" s="35"/>
      <c r="C2355" s="15"/>
      <c r="D2355" s="15"/>
      <c r="E2355" s="15"/>
      <c r="F2355" s="15"/>
      <c r="G2355" s="36" t="str">
        <f t="array" ref="G2355">IF($F2355="","",IFERROR(INDEX(Config!$E:$E,MATCH($F2355,Config!$D:$D,0)),0))</f>
        <v/>
      </c>
      <c r="H2355" s="16"/>
      <c r="I2355" s="36" t="str">
        <f t="shared" si="1"/>
        <v/>
      </c>
      <c r="J2355" s="16"/>
      <c r="K2355" s="15"/>
      <c r="L2355" s="15"/>
      <c r="M2355" s="36" t="str">
        <f t="array" ref="M2355">IF($A2355="","",IF($L2355="Atendido",IFERROR($I2355*INDEX(Config!$B:$B,MATCH($C2355,Config!$A:$A,0)),0),0))</f>
        <v/>
      </c>
      <c r="N2355" s="36" t="str">
        <f t="shared" si="2"/>
        <v/>
      </c>
      <c r="O2355" s="36" t="str">
        <f t="shared" si="3"/>
        <v/>
      </c>
      <c r="P2355" s="15"/>
      <c r="Q2355" s="37" t="str">
        <f t="shared" si="4"/>
        <v/>
      </c>
      <c r="R2355" s="37" t="str">
        <f t="shared" si="5"/>
        <v/>
      </c>
      <c r="S2355" s="32" t="str">
        <f t="shared" si="6"/>
        <v/>
      </c>
      <c r="T2355" s="37" t="str">
        <f t="shared" si="7"/>
        <v/>
      </c>
      <c r="U2355" s="37" t="str">
        <f t="array" ref="U2355">IF($F2355="","",IFERROR(INDEX(Config!$F:$F,MATCH($F2355,Config!$D:$D,0)),0))</f>
        <v/>
      </c>
    </row>
    <row r="2356" ht="15.0" customHeight="1">
      <c r="A2356" s="34"/>
      <c r="B2356" s="35"/>
      <c r="C2356" s="15"/>
      <c r="D2356" s="15"/>
      <c r="E2356" s="15"/>
      <c r="F2356" s="15"/>
      <c r="G2356" s="36" t="str">
        <f t="array" ref="G2356">IF($F2356="","",IFERROR(INDEX(Config!$E:$E,MATCH($F2356,Config!$D:$D,0)),0))</f>
        <v/>
      </c>
      <c r="H2356" s="16"/>
      <c r="I2356" s="36" t="str">
        <f t="shared" si="1"/>
        <v/>
      </c>
      <c r="J2356" s="16"/>
      <c r="K2356" s="15"/>
      <c r="L2356" s="15"/>
      <c r="M2356" s="36" t="str">
        <f t="array" ref="M2356">IF($A2356="","",IF($L2356="Atendido",IFERROR($I2356*INDEX(Config!$B:$B,MATCH($C2356,Config!$A:$A,0)),0),0))</f>
        <v/>
      </c>
      <c r="N2356" s="36" t="str">
        <f t="shared" si="2"/>
        <v/>
      </c>
      <c r="O2356" s="36" t="str">
        <f t="shared" si="3"/>
        <v/>
      </c>
      <c r="P2356" s="15"/>
      <c r="Q2356" s="37" t="str">
        <f t="shared" si="4"/>
        <v/>
      </c>
      <c r="R2356" s="37" t="str">
        <f t="shared" si="5"/>
        <v/>
      </c>
      <c r="S2356" s="32" t="str">
        <f t="shared" si="6"/>
        <v/>
      </c>
      <c r="T2356" s="37" t="str">
        <f t="shared" si="7"/>
        <v/>
      </c>
      <c r="U2356" s="37" t="str">
        <f t="array" ref="U2356">IF($F2356="","",IFERROR(INDEX(Config!$F:$F,MATCH($F2356,Config!$D:$D,0)),0))</f>
        <v/>
      </c>
    </row>
    <row r="2357" ht="15.0" customHeight="1">
      <c r="A2357" s="34"/>
      <c r="B2357" s="35"/>
      <c r="C2357" s="15"/>
      <c r="D2357" s="15"/>
      <c r="E2357" s="15"/>
      <c r="F2357" s="15"/>
      <c r="G2357" s="36" t="str">
        <f t="array" ref="G2357">IF($F2357="","",IFERROR(INDEX(Config!$E:$E,MATCH($F2357,Config!$D:$D,0)),0))</f>
        <v/>
      </c>
      <c r="H2357" s="16"/>
      <c r="I2357" s="36" t="str">
        <f t="shared" si="1"/>
        <v/>
      </c>
      <c r="J2357" s="16"/>
      <c r="K2357" s="15"/>
      <c r="L2357" s="15"/>
      <c r="M2357" s="36" t="str">
        <f t="array" ref="M2357">IF($A2357="","",IF($L2357="Atendido",IFERROR($I2357*INDEX(Config!$B:$B,MATCH($C2357,Config!$A:$A,0)),0),0))</f>
        <v/>
      </c>
      <c r="N2357" s="36" t="str">
        <f t="shared" si="2"/>
        <v/>
      </c>
      <c r="O2357" s="36" t="str">
        <f t="shared" si="3"/>
        <v/>
      </c>
      <c r="P2357" s="15"/>
      <c r="Q2357" s="37" t="str">
        <f t="shared" si="4"/>
        <v/>
      </c>
      <c r="R2357" s="37" t="str">
        <f t="shared" si="5"/>
        <v/>
      </c>
      <c r="S2357" s="32" t="str">
        <f t="shared" si="6"/>
        <v/>
      </c>
      <c r="T2357" s="37" t="str">
        <f t="shared" si="7"/>
        <v/>
      </c>
      <c r="U2357" s="37" t="str">
        <f t="array" ref="U2357">IF($F2357="","",IFERROR(INDEX(Config!$F:$F,MATCH($F2357,Config!$D:$D,0)),0))</f>
        <v/>
      </c>
    </row>
    <row r="2358" ht="15.0" customHeight="1">
      <c r="A2358" s="34"/>
      <c r="B2358" s="35"/>
      <c r="C2358" s="15"/>
      <c r="D2358" s="15"/>
      <c r="E2358" s="15"/>
      <c r="F2358" s="15"/>
      <c r="G2358" s="36" t="str">
        <f t="array" ref="G2358">IF($F2358="","",IFERROR(INDEX(Config!$E:$E,MATCH($F2358,Config!$D:$D,0)),0))</f>
        <v/>
      </c>
      <c r="H2358" s="16"/>
      <c r="I2358" s="36" t="str">
        <f t="shared" si="1"/>
        <v/>
      </c>
      <c r="J2358" s="16"/>
      <c r="K2358" s="15"/>
      <c r="L2358" s="15"/>
      <c r="M2358" s="36" t="str">
        <f t="array" ref="M2358">IF($A2358="","",IF($L2358="Atendido",IFERROR($I2358*INDEX(Config!$B:$B,MATCH($C2358,Config!$A:$A,0)),0),0))</f>
        <v/>
      </c>
      <c r="N2358" s="36" t="str">
        <f t="shared" si="2"/>
        <v/>
      </c>
      <c r="O2358" s="36" t="str">
        <f t="shared" si="3"/>
        <v/>
      </c>
      <c r="P2358" s="15"/>
      <c r="Q2358" s="37" t="str">
        <f t="shared" si="4"/>
        <v/>
      </c>
      <c r="R2358" s="37" t="str">
        <f t="shared" si="5"/>
        <v/>
      </c>
      <c r="S2358" s="32" t="str">
        <f t="shared" si="6"/>
        <v/>
      </c>
      <c r="T2358" s="37" t="str">
        <f t="shared" si="7"/>
        <v/>
      </c>
      <c r="U2358" s="37" t="str">
        <f t="array" ref="U2358">IF($F2358="","",IFERROR(INDEX(Config!$F:$F,MATCH($F2358,Config!$D:$D,0)),0))</f>
        <v/>
      </c>
    </row>
    <row r="2359" ht="15.0" customHeight="1">
      <c r="A2359" s="34"/>
      <c r="B2359" s="35"/>
      <c r="C2359" s="15"/>
      <c r="D2359" s="15"/>
      <c r="E2359" s="15"/>
      <c r="F2359" s="15"/>
      <c r="G2359" s="36" t="str">
        <f t="array" ref="G2359">IF($F2359="","",IFERROR(INDEX(Config!$E:$E,MATCH($F2359,Config!$D:$D,0)),0))</f>
        <v/>
      </c>
      <c r="H2359" s="16"/>
      <c r="I2359" s="36" t="str">
        <f t="shared" si="1"/>
        <v/>
      </c>
      <c r="J2359" s="16"/>
      <c r="K2359" s="15"/>
      <c r="L2359" s="15"/>
      <c r="M2359" s="36" t="str">
        <f t="array" ref="M2359">IF($A2359="","",IF($L2359="Atendido",IFERROR($I2359*INDEX(Config!$B:$B,MATCH($C2359,Config!$A:$A,0)),0),0))</f>
        <v/>
      </c>
      <c r="N2359" s="36" t="str">
        <f t="shared" si="2"/>
        <v/>
      </c>
      <c r="O2359" s="36" t="str">
        <f t="shared" si="3"/>
        <v/>
      </c>
      <c r="P2359" s="15"/>
      <c r="Q2359" s="37" t="str">
        <f t="shared" si="4"/>
        <v/>
      </c>
      <c r="R2359" s="37" t="str">
        <f t="shared" si="5"/>
        <v/>
      </c>
      <c r="S2359" s="32" t="str">
        <f t="shared" si="6"/>
        <v/>
      </c>
      <c r="T2359" s="37" t="str">
        <f t="shared" si="7"/>
        <v/>
      </c>
      <c r="U2359" s="37" t="str">
        <f t="array" ref="U2359">IF($F2359="","",IFERROR(INDEX(Config!$F:$F,MATCH($F2359,Config!$D:$D,0)),0))</f>
        <v/>
      </c>
    </row>
    <row r="2360" ht="15.0" customHeight="1">
      <c r="A2360" s="34"/>
      <c r="B2360" s="35"/>
      <c r="C2360" s="15"/>
      <c r="D2360" s="15"/>
      <c r="E2360" s="15"/>
      <c r="F2360" s="15"/>
      <c r="G2360" s="36" t="str">
        <f t="array" ref="G2360">IF($F2360="","",IFERROR(INDEX(Config!$E:$E,MATCH($F2360,Config!$D:$D,0)),0))</f>
        <v/>
      </c>
      <c r="H2360" s="16"/>
      <c r="I2360" s="36" t="str">
        <f t="shared" si="1"/>
        <v/>
      </c>
      <c r="J2360" s="16"/>
      <c r="K2360" s="15"/>
      <c r="L2360" s="15"/>
      <c r="M2360" s="36" t="str">
        <f t="array" ref="M2360">IF($A2360="","",IF($L2360="Atendido",IFERROR($I2360*INDEX(Config!$B:$B,MATCH($C2360,Config!$A:$A,0)),0),0))</f>
        <v/>
      </c>
      <c r="N2360" s="36" t="str">
        <f t="shared" si="2"/>
        <v/>
      </c>
      <c r="O2360" s="36" t="str">
        <f t="shared" si="3"/>
        <v/>
      </c>
      <c r="P2360" s="15"/>
      <c r="Q2360" s="37" t="str">
        <f t="shared" si="4"/>
        <v/>
      </c>
      <c r="R2360" s="37" t="str">
        <f t="shared" si="5"/>
        <v/>
      </c>
      <c r="S2360" s="32" t="str">
        <f t="shared" si="6"/>
        <v/>
      </c>
      <c r="T2360" s="37" t="str">
        <f t="shared" si="7"/>
        <v/>
      </c>
      <c r="U2360" s="37" t="str">
        <f t="array" ref="U2360">IF($F2360="","",IFERROR(INDEX(Config!$F:$F,MATCH($F2360,Config!$D:$D,0)),0))</f>
        <v/>
      </c>
    </row>
    <row r="2361" ht="15.0" customHeight="1">
      <c r="A2361" s="34"/>
      <c r="B2361" s="35"/>
      <c r="C2361" s="15"/>
      <c r="D2361" s="15"/>
      <c r="E2361" s="15"/>
      <c r="F2361" s="15"/>
      <c r="G2361" s="36" t="str">
        <f t="array" ref="G2361">IF($F2361="","",IFERROR(INDEX(Config!$E:$E,MATCH($F2361,Config!$D:$D,0)),0))</f>
        <v/>
      </c>
      <c r="H2361" s="16"/>
      <c r="I2361" s="36" t="str">
        <f t="shared" si="1"/>
        <v/>
      </c>
      <c r="J2361" s="16"/>
      <c r="K2361" s="15"/>
      <c r="L2361" s="15"/>
      <c r="M2361" s="36" t="str">
        <f t="array" ref="M2361">IF($A2361="","",IF($L2361="Atendido",IFERROR($I2361*INDEX(Config!$B:$B,MATCH($C2361,Config!$A:$A,0)),0),0))</f>
        <v/>
      </c>
      <c r="N2361" s="36" t="str">
        <f t="shared" si="2"/>
        <v/>
      </c>
      <c r="O2361" s="36" t="str">
        <f t="shared" si="3"/>
        <v/>
      </c>
      <c r="P2361" s="15"/>
      <c r="Q2361" s="37" t="str">
        <f t="shared" si="4"/>
        <v/>
      </c>
      <c r="R2361" s="37" t="str">
        <f t="shared" si="5"/>
        <v/>
      </c>
      <c r="S2361" s="32" t="str">
        <f t="shared" si="6"/>
        <v/>
      </c>
      <c r="T2361" s="37" t="str">
        <f t="shared" si="7"/>
        <v/>
      </c>
      <c r="U2361" s="37" t="str">
        <f t="array" ref="U2361">IF($F2361="","",IFERROR(INDEX(Config!$F:$F,MATCH($F2361,Config!$D:$D,0)),0))</f>
        <v/>
      </c>
    </row>
    <row r="2362" ht="15.0" customHeight="1">
      <c r="A2362" s="34"/>
      <c r="B2362" s="35"/>
      <c r="C2362" s="15"/>
      <c r="D2362" s="15"/>
      <c r="E2362" s="15"/>
      <c r="F2362" s="15"/>
      <c r="G2362" s="36" t="str">
        <f t="array" ref="G2362">IF($F2362="","",IFERROR(INDEX(Config!$E:$E,MATCH($F2362,Config!$D:$D,0)),0))</f>
        <v/>
      </c>
      <c r="H2362" s="16"/>
      <c r="I2362" s="36" t="str">
        <f t="shared" si="1"/>
        <v/>
      </c>
      <c r="J2362" s="16"/>
      <c r="K2362" s="15"/>
      <c r="L2362" s="15"/>
      <c r="M2362" s="36" t="str">
        <f t="array" ref="M2362">IF($A2362="","",IF($L2362="Atendido",IFERROR($I2362*INDEX(Config!$B:$B,MATCH($C2362,Config!$A:$A,0)),0),0))</f>
        <v/>
      </c>
      <c r="N2362" s="36" t="str">
        <f t="shared" si="2"/>
        <v/>
      </c>
      <c r="O2362" s="36" t="str">
        <f t="shared" si="3"/>
        <v/>
      </c>
      <c r="P2362" s="15"/>
      <c r="Q2362" s="37" t="str">
        <f t="shared" si="4"/>
        <v/>
      </c>
      <c r="R2362" s="37" t="str">
        <f t="shared" si="5"/>
        <v/>
      </c>
      <c r="S2362" s="32" t="str">
        <f t="shared" si="6"/>
        <v/>
      </c>
      <c r="T2362" s="37" t="str">
        <f t="shared" si="7"/>
        <v/>
      </c>
      <c r="U2362" s="37" t="str">
        <f t="array" ref="U2362">IF($F2362="","",IFERROR(INDEX(Config!$F:$F,MATCH($F2362,Config!$D:$D,0)),0))</f>
        <v/>
      </c>
    </row>
    <row r="2363" ht="15.0" customHeight="1">
      <c r="A2363" s="34"/>
      <c r="B2363" s="35"/>
      <c r="C2363" s="15"/>
      <c r="D2363" s="15"/>
      <c r="E2363" s="15"/>
      <c r="F2363" s="15"/>
      <c r="G2363" s="36" t="str">
        <f t="array" ref="G2363">IF($F2363="","",IFERROR(INDEX(Config!$E:$E,MATCH($F2363,Config!$D:$D,0)),0))</f>
        <v/>
      </c>
      <c r="H2363" s="16"/>
      <c r="I2363" s="36" t="str">
        <f t="shared" si="1"/>
        <v/>
      </c>
      <c r="J2363" s="16"/>
      <c r="K2363" s="15"/>
      <c r="L2363" s="15"/>
      <c r="M2363" s="36" t="str">
        <f t="array" ref="M2363">IF($A2363="","",IF($L2363="Atendido",IFERROR($I2363*INDEX(Config!$B:$B,MATCH($C2363,Config!$A:$A,0)),0),0))</f>
        <v/>
      </c>
      <c r="N2363" s="36" t="str">
        <f t="shared" si="2"/>
        <v/>
      </c>
      <c r="O2363" s="36" t="str">
        <f t="shared" si="3"/>
        <v/>
      </c>
      <c r="P2363" s="15"/>
      <c r="Q2363" s="37" t="str">
        <f t="shared" si="4"/>
        <v/>
      </c>
      <c r="R2363" s="37" t="str">
        <f t="shared" si="5"/>
        <v/>
      </c>
      <c r="S2363" s="32" t="str">
        <f t="shared" si="6"/>
        <v/>
      </c>
      <c r="T2363" s="37" t="str">
        <f t="shared" si="7"/>
        <v/>
      </c>
      <c r="U2363" s="37" t="str">
        <f t="array" ref="U2363">IF($F2363="","",IFERROR(INDEX(Config!$F:$F,MATCH($F2363,Config!$D:$D,0)),0))</f>
        <v/>
      </c>
    </row>
    <row r="2364" ht="15.0" customHeight="1">
      <c r="A2364" s="34"/>
      <c r="B2364" s="35"/>
      <c r="C2364" s="15"/>
      <c r="D2364" s="15"/>
      <c r="E2364" s="15"/>
      <c r="F2364" s="15"/>
      <c r="G2364" s="36" t="str">
        <f t="array" ref="G2364">IF($F2364="","",IFERROR(INDEX(Config!$E:$E,MATCH($F2364,Config!$D:$D,0)),0))</f>
        <v/>
      </c>
      <c r="H2364" s="16"/>
      <c r="I2364" s="36" t="str">
        <f t="shared" si="1"/>
        <v/>
      </c>
      <c r="J2364" s="16"/>
      <c r="K2364" s="15"/>
      <c r="L2364" s="15"/>
      <c r="M2364" s="36" t="str">
        <f t="array" ref="M2364">IF($A2364="","",IF($L2364="Atendido",IFERROR($I2364*INDEX(Config!$B:$B,MATCH($C2364,Config!$A:$A,0)),0),0))</f>
        <v/>
      </c>
      <c r="N2364" s="36" t="str">
        <f t="shared" si="2"/>
        <v/>
      </c>
      <c r="O2364" s="36" t="str">
        <f t="shared" si="3"/>
        <v/>
      </c>
      <c r="P2364" s="15"/>
      <c r="Q2364" s="37" t="str">
        <f t="shared" si="4"/>
        <v/>
      </c>
      <c r="R2364" s="37" t="str">
        <f t="shared" si="5"/>
        <v/>
      </c>
      <c r="S2364" s="32" t="str">
        <f t="shared" si="6"/>
        <v/>
      </c>
      <c r="T2364" s="37" t="str">
        <f t="shared" si="7"/>
        <v/>
      </c>
      <c r="U2364" s="37" t="str">
        <f t="array" ref="U2364">IF($F2364="","",IFERROR(INDEX(Config!$F:$F,MATCH($F2364,Config!$D:$D,0)),0))</f>
        <v/>
      </c>
    </row>
    <row r="2365" ht="15.0" customHeight="1">
      <c r="A2365" s="34"/>
      <c r="B2365" s="35"/>
      <c r="C2365" s="15"/>
      <c r="D2365" s="15"/>
      <c r="E2365" s="15"/>
      <c r="F2365" s="15"/>
      <c r="G2365" s="36" t="str">
        <f t="array" ref="G2365">IF($F2365="","",IFERROR(INDEX(Config!$E:$E,MATCH($F2365,Config!$D:$D,0)),0))</f>
        <v/>
      </c>
      <c r="H2365" s="16"/>
      <c r="I2365" s="36" t="str">
        <f t="shared" si="1"/>
        <v/>
      </c>
      <c r="J2365" s="16"/>
      <c r="K2365" s="15"/>
      <c r="L2365" s="15"/>
      <c r="M2365" s="36" t="str">
        <f t="array" ref="M2365">IF($A2365="","",IF($L2365="Atendido",IFERROR($I2365*INDEX(Config!$B:$B,MATCH($C2365,Config!$A:$A,0)),0),0))</f>
        <v/>
      </c>
      <c r="N2365" s="36" t="str">
        <f t="shared" si="2"/>
        <v/>
      </c>
      <c r="O2365" s="36" t="str">
        <f t="shared" si="3"/>
        <v/>
      </c>
      <c r="P2365" s="15"/>
      <c r="Q2365" s="37" t="str">
        <f t="shared" si="4"/>
        <v/>
      </c>
      <c r="R2365" s="37" t="str">
        <f t="shared" si="5"/>
        <v/>
      </c>
      <c r="S2365" s="32" t="str">
        <f t="shared" si="6"/>
        <v/>
      </c>
      <c r="T2365" s="37" t="str">
        <f t="shared" si="7"/>
        <v/>
      </c>
      <c r="U2365" s="37" t="str">
        <f t="array" ref="U2365">IF($F2365="","",IFERROR(INDEX(Config!$F:$F,MATCH($F2365,Config!$D:$D,0)),0))</f>
        <v/>
      </c>
    </row>
    <row r="2366" ht="15.0" customHeight="1">
      <c r="A2366" s="34"/>
      <c r="B2366" s="35"/>
      <c r="C2366" s="15"/>
      <c r="D2366" s="15"/>
      <c r="E2366" s="15"/>
      <c r="F2366" s="15"/>
      <c r="G2366" s="36" t="str">
        <f t="array" ref="G2366">IF($F2366="","",IFERROR(INDEX(Config!$E:$E,MATCH($F2366,Config!$D:$D,0)),0))</f>
        <v/>
      </c>
      <c r="H2366" s="16"/>
      <c r="I2366" s="36" t="str">
        <f t="shared" si="1"/>
        <v/>
      </c>
      <c r="J2366" s="16"/>
      <c r="K2366" s="15"/>
      <c r="L2366" s="15"/>
      <c r="M2366" s="36" t="str">
        <f t="array" ref="M2366">IF($A2366="","",IF($L2366="Atendido",IFERROR($I2366*INDEX(Config!$B:$B,MATCH($C2366,Config!$A:$A,0)),0),0))</f>
        <v/>
      </c>
      <c r="N2366" s="36" t="str">
        <f t="shared" si="2"/>
        <v/>
      </c>
      <c r="O2366" s="36" t="str">
        <f t="shared" si="3"/>
        <v/>
      </c>
      <c r="P2366" s="15"/>
      <c r="Q2366" s="37" t="str">
        <f t="shared" si="4"/>
        <v/>
      </c>
      <c r="R2366" s="37" t="str">
        <f t="shared" si="5"/>
        <v/>
      </c>
      <c r="S2366" s="32" t="str">
        <f t="shared" si="6"/>
        <v/>
      </c>
      <c r="T2366" s="37" t="str">
        <f t="shared" si="7"/>
        <v/>
      </c>
      <c r="U2366" s="37" t="str">
        <f t="array" ref="U2366">IF($F2366="","",IFERROR(INDEX(Config!$F:$F,MATCH($F2366,Config!$D:$D,0)),0))</f>
        <v/>
      </c>
    </row>
    <row r="2367" ht="15.0" customHeight="1">
      <c r="A2367" s="34"/>
      <c r="B2367" s="35"/>
      <c r="C2367" s="15"/>
      <c r="D2367" s="15"/>
      <c r="E2367" s="15"/>
      <c r="F2367" s="15"/>
      <c r="G2367" s="36" t="str">
        <f t="array" ref="G2367">IF($F2367="","",IFERROR(INDEX(Config!$E:$E,MATCH($F2367,Config!$D:$D,0)),0))</f>
        <v/>
      </c>
      <c r="H2367" s="16"/>
      <c r="I2367" s="36" t="str">
        <f t="shared" si="1"/>
        <v/>
      </c>
      <c r="J2367" s="16"/>
      <c r="K2367" s="15"/>
      <c r="L2367" s="15"/>
      <c r="M2367" s="36" t="str">
        <f t="array" ref="M2367">IF($A2367="","",IF($L2367="Atendido",IFERROR($I2367*INDEX(Config!$B:$B,MATCH($C2367,Config!$A:$A,0)),0),0))</f>
        <v/>
      </c>
      <c r="N2367" s="36" t="str">
        <f t="shared" si="2"/>
        <v/>
      </c>
      <c r="O2367" s="36" t="str">
        <f t="shared" si="3"/>
        <v/>
      </c>
      <c r="P2367" s="15"/>
      <c r="Q2367" s="37" t="str">
        <f t="shared" si="4"/>
        <v/>
      </c>
      <c r="R2367" s="37" t="str">
        <f t="shared" si="5"/>
        <v/>
      </c>
      <c r="S2367" s="32" t="str">
        <f t="shared" si="6"/>
        <v/>
      </c>
      <c r="T2367" s="37" t="str">
        <f t="shared" si="7"/>
        <v/>
      </c>
      <c r="U2367" s="37" t="str">
        <f t="array" ref="U2367">IF($F2367="","",IFERROR(INDEX(Config!$F:$F,MATCH($F2367,Config!$D:$D,0)),0))</f>
        <v/>
      </c>
    </row>
    <row r="2368" ht="15.0" customHeight="1">
      <c r="A2368" s="34"/>
      <c r="B2368" s="35"/>
      <c r="C2368" s="15"/>
      <c r="D2368" s="15"/>
      <c r="E2368" s="15"/>
      <c r="F2368" s="15"/>
      <c r="G2368" s="36" t="str">
        <f t="array" ref="G2368">IF($F2368="","",IFERROR(INDEX(Config!$E:$E,MATCH($F2368,Config!$D:$D,0)),0))</f>
        <v/>
      </c>
      <c r="H2368" s="16"/>
      <c r="I2368" s="36" t="str">
        <f t="shared" si="1"/>
        <v/>
      </c>
      <c r="J2368" s="16"/>
      <c r="K2368" s="15"/>
      <c r="L2368" s="15"/>
      <c r="M2368" s="36" t="str">
        <f t="array" ref="M2368">IF($A2368="","",IF($L2368="Atendido",IFERROR($I2368*INDEX(Config!$B:$B,MATCH($C2368,Config!$A:$A,0)),0),0))</f>
        <v/>
      </c>
      <c r="N2368" s="36" t="str">
        <f t="shared" si="2"/>
        <v/>
      </c>
      <c r="O2368" s="36" t="str">
        <f t="shared" si="3"/>
        <v/>
      </c>
      <c r="P2368" s="15"/>
      <c r="Q2368" s="37" t="str">
        <f t="shared" si="4"/>
        <v/>
      </c>
      <c r="R2368" s="37" t="str">
        <f t="shared" si="5"/>
        <v/>
      </c>
      <c r="S2368" s="32" t="str">
        <f t="shared" si="6"/>
        <v/>
      </c>
      <c r="T2368" s="37" t="str">
        <f t="shared" si="7"/>
        <v/>
      </c>
      <c r="U2368" s="37" t="str">
        <f t="array" ref="U2368">IF($F2368="","",IFERROR(INDEX(Config!$F:$F,MATCH($F2368,Config!$D:$D,0)),0))</f>
        <v/>
      </c>
    </row>
    <row r="2369" ht="15.0" customHeight="1">
      <c r="A2369" s="34"/>
      <c r="B2369" s="35"/>
      <c r="C2369" s="15"/>
      <c r="D2369" s="15"/>
      <c r="E2369" s="15"/>
      <c r="F2369" s="15"/>
      <c r="G2369" s="36" t="str">
        <f t="array" ref="G2369">IF($F2369="","",IFERROR(INDEX(Config!$E:$E,MATCH($F2369,Config!$D:$D,0)),0))</f>
        <v/>
      </c>
      <c r="H2369" s="16"/>
      <c r="I2369" s="36" t="str">
        <f t="shared" si="1"/>
        <v/>
      </c>
      <c r="J2369" s="16"/>
      <c r="K2369" s="15"/>
      <c r="L2369" s="15"/>
      <c r="M2369" s="36" t="str">
        <f t="array" ref="M2369">IF($A2369="","",IF($L2369="Atendido",IFERROR($I2369*INDEX(Config!$B:$B,MATCH($C2369,Config!$A:$A,0)),0),0))</f>
        <v/>
      </c>
      <c r="N2369" s="36" t="str">
        <f t="shared" si="2"/>
        <v/>
      </c>
      <c r="O2369" s="36" t="str">
        <f t="shared" si="3"/>
        <v/>
      </c>
      <c r="P2369" s="15"/>
      <c r="Q2369" s="37" t="str">
        <f t="shared" si="4"/>
        <v/>
      </c>
      <c r="R2369" s="37" t="str">
        <f t="shared" si="5"/>
        <v/>
      </c>
      <c r="S2369" s="32" t="str">
        <f t="shared" si="6"/>
        <v/>
      </c>
      <c r="T2369" s="37" t="str">
        <f t="shared" si="7"/>
        <v/>
      </c>
      <c r="U2369" s="37" t="str">
        <f t="array" ref="U2369">IF($F2369="","",IFERROR(INDEX(Config!$F:$F,MATCH($F2369,Config!$D:$D,0)),0))</f>
        <v/>
      </c>
    </row>
    <row r="2370" ht="15.0" customHeight="1">
      <c r="A2370" s="34"/>
      <c r="B2370" s="35"/>
      <c r="C2370" s="15"/>
      <c r="D2370" s="15"/>
      <c r="E2370" s="15"/>
      <c r="F2370" s="15"/>
      <c r="G2370" s="36" t="str">
        <f t="array" ref="G2370">IF($F2370="","",IFERROR(INDEX(Config!$E:$E,MATCH($F2370,Config!$D:$D,0)),0))</f>
        <v/>
      </c>
      <c r="H2370" s="16"/>
      <c r="I2370" s="36" t="str">
        <f t="shared" si="1"/>
        <v/>
      </c>
      <c r="J2370" s="16"/>
      <c r="K2370" s="15"/>
      <c r="L2370" s="15"/>
      <c r="M2370" s="36" t="str">
        <f t="array" ref="M2370">IF($A2370="","",IF($L2370="Atendido",IFERROR($I2370*INDEX(Config!$B:$B,MATCH($C2370,Config!$A:$A,0)),0),0))</f>
        <v/>
      </c>
      <c r="N2370" s="36" t="str">
        <f t="shared" si="2"/>
        <v/>
      </c>
      <c r="O2370" s="36" t="str">
        <f t="shared" si="3"/>
        <v/>
      </c>
      <c r="P2370" s="15"/>
      <c r="Q2370" s="37" t="str">
        <f t="shared" si="4"/>
        <v/>
      </c>
      <c r="R2370" s="37" t="str">
        <f t="shared" si="5"/>
        <v/>
      </c>
      <c r="S2370" s="32" t="str">
        <f t="shared" si="6"/>
        <v/>
      </c>
      <c r="T2370" s="37" t="str">
        <f t="shared" si="7"/>
        <v/>
      </c>
      <c r="U2370" s="37" t="str">
        <f t="array" ref="U2370">IF($F2370="","",IFERROR(INDEX(Config!$F:$F,MATCH($F2370,Config!$D:$D,0)),0))</f>
        <v/>
      </c>
    </row>
    <row r="2371" ht="15.0" customHeight="1">
      <c r="A2371" s="34"/>
      <c r="B2371" s="35"/>
      <c r="C2371" s="15"/>
      <c r="D2371" s="15"/>
      <c r="E2371" s="15"/>
      <c r="F2371" s="15"/>
      <c r="G2371" s="36" t="str">
        <f t="array" ref="G2371">IF($F2371="","",IFERROR(INDEX(Config!$E:$E,MATCH($F2371,Config!$D:$D,0)),0))</f>
        <v/>
      </c>
      <c r="H2371" s="16"/>
      <c r="I2371" s="36" t="str">
        <f t="shared" si="1"/>
        <v/>
      </c>
      <c r="J2371" s="16"/>
      <c r="K2371" s="15"/>
      <c r="L2371" s="15"/>
      <c r="M2371" s="36" t="str">
        <f t="array" ref="M2371">IF($A2371="","",IF($L2371="Atendido",IFERROR($I2371*INDEX(Config!$B:$B,MATCH($C2371,Config!$A:$A,0)),0),0))</f>
        <v/>
      </c>
      <c r="N2371" s="36" t="str">
        <f t="shared" si="2"/>
        <v/>
      </c>
      <c r="O2371" s="36" t="str">
        <f t="shared" si="3"/>
        <v/>
      </c>
      <c r="P2371" s="15"/>
      <c r="Q2371" s="37" t="str">
        <f t="shared" si="4"/>
        <v/>
      </c>
      <c r="R2371" s="37" t="str">
        <f t="shared" si="5"/>
        <v/>
      </c>
      <c r="S2371" s="32" t="str">
        <f t="shared" si="6"/>
        <v/>
      </c>
      <c r="T2371" s="37" t="str">
        <f t="shared" si="7"/>
        <v/>
      </c>
      <c r="U2371" s="37" t="str">
        <f t="array" ref="U2371">IF($F2371="","",IFERROR(INDEX(Config!$F:$F,MATCH($F2371,Config!$D:$D,0)),0))</f>
        <v/>
      </c>
    </row>
    <row r="2372" ht="15.0" customHeight="1">
      <c r="A2372" s="34"/>
      <c r="B2372" s="35"/>
      <c r="C2372" s="15"/>
      <c r="D2372" s="15"/>
      <c r="E2372" s="15"/>
      <c r="F2372" s="15"/>
      <c r="G2372" s="36" t="str">
        <f t="array" ref="G2372">IF($F2372="","",IFERROR(INDEX(Config!$E:$E,MATCH($F2372,Config!$D:$D,0)),0))</f>
        <v/>
      </c>
      <c r="H2372" s="16"/>
      <c r="I2372" s="36" t="str">
        <f t="shared" si="1"/>
        <v/>
      </c>
      <c r="J2372" s="16"/>
      <c r="K2372" s="15"/>
      <c r="L2372" s="15"/>
      <c r="M2372" s="36" t="str">
        <f t="array" ref="M2372">IF($A2372="","",IF($L2372="Atendido",IFERROR($I2372*INDEX(Config!$B:$B,MATCH($C2372,Config!$A:$A,0)),0),0))</f>
        <v/>
      </c>
      <c r="N2372" s="36" t="str">
        <f t="shared" si="2"/>
        <v/>
      </c>
      <c r="O2372" s="36" t="str">
        <f t="shared" si="3"/>
        <v/>
      </c>
      <c r="P2372" s="15"/>
      <c r="Q2372" s="37" t="str">
        <f t="shared" si="4"/>
        <v/>
      </c>
      <c r="R2372" s="37" t="str">
        <f t="shared" si="5"/>
        <v/>
      </c>
      <c r="S2372" s="32" t="str">
        <f t="shared" si="6"/>
        <v/>
      </c>
      <c r="T2372" s="37" t="str">
        <f t="shared" si="7"/>
        <v/>
      </c>
      <c r="U2372" s="37" t="str">
        <f t="array" ref="U2372">IF($F2372="","",IFERROR(INDEX(Config!$F:$F,MATCH($F2372,Config!$D:$D,0)),0))</f>
        <v/>
      </c>
    </row>
    <row r="2373" ht="15.0" customHeight="1">
      <c r="A2373" s="34"/>
      <c r="B2373" s="35"/>
      <c r="C2373" s="15"/>
      <c r="D2373" s="15"/>
      <c r="E2373" s="15"/>
      <c r="F2373" s="15"/>
      <c r="G2373" s="36" t="str">
        <f t="array" ref="G2373">IF($F2373="","",IFERROR(INDEX(Config!$E:$E,MATCH($F2373,Config!$D:$D,0)),0))</f>
        <v/>
      </c>
      <c r="H2373" s="16"/>
      <c r="I2373" s="36" t="str">
        <f t="shared" si="1"/>
        <v/>
      </c>
      <c r="J2373" s="16"/>
      <c r="K2373" s="15"/>
      <c r="L2373" s="15"/>
      <c r="M2373" s="36" t="str">
        <f t="array" ref="M2373">IF($A2373="","",IF($L2373="Atendido",IFERROR($I2373*INDEX(Config!$B:$B,MATCH($C2373,Config!$A:$A,0)),0),0))</f>
        <v/>
      </c>
      <c r="N2373" s="36" t="str">
        <f t="shared" si="2"/>
        <v/>
      </c>
      <c r="O2373" s="36" t="str">
        <f t="shared" si="3"/>
        <v/>
      </c>
      <c r="P2373" s="15"/>
      <c r="Q2373" s="37" t="str">
        <f t="shared" si="4"/>
        <v/>
      </c>
      <c r="R2373" s="37" t="str">
        <f t="shared" si="5"/>
        <v/>
      </c>
      <c r="S2373" s="32" t="str">
        <f t="shared" si="6"/>
        <v/>
      </c>
      <c r="T2373" s="37" t="str">
        <f t="shared" si="7"/>
        <v/>
      </c>
      <c r="U2373" s="37" t="str">
        <f t="array" ref="U2373">IF($F2373="","",IFERROR(INDEX(Config!$F:$F,MATCH($F2373,Config!$D:$D,0)),0))</f>
        <v/>
      </c>
    </row>
    <row r="2374" ht="15.0" customHeight="1">
      <c r="A2374" s="34"/>
      <c r="B2374" s="35"/>
      <c r="C2374" s="15"/>
      <c r="D2374" s="15"/>
      <c r="E2374" s="15"/>
      <c r="F2374" s="15"/>
      <c r="G2374" s="36" t="str">
        <f t="array" ref="G2374">IF($F2374="","",IFERROR(INDEX(Config!$E:$E,MATCH($F2374,Config!$D:$D,0)),0))</f>
        <v/>
      </c>
      <c r="H2374" s="16"/>
      <c r="I2374" s="36" t="str">
        <f t="shared" si="1"/>
        <v/>
      </c>
      <c r="J2374" s="16"/>
      <c r="K2374" s="15"/>
      <c r="L2374" s="15"/>
      <c r="M2374" s="36" t="str">
        <f t="array" ref="M2374">IF($A2374="","",IF($L2374="Atendido",IFERROR($I2374*INDEX(Config!$B:$B,MATCH($C2374,Config!$A:$A,0)),0),0))</f>
        <v/>
      </c>
      <c r="N2374" s="36" t="str">
        <f t="shared" si="2"/>
        <v/>
      </c>
      <c r="O2374" s="36" t="str">
        <f t="shared" si="3"/>
        <v/>
      </c>
      <c r="P2374" s="15"/>
      <c r="Q2374" s="37" t="str">
        <f t="shared" si="4"/>
        <v/>
      </c>
      <c r="R2374" s="37" t="str">
        <f t="shared" si="5"/>
        <v/>
      </c>
      <c r="S2374" s="32" t="str">
        <f t="shared" si="6"/>
        <v/>
      </c>
      <c r="T2374" s="37" t="str">
        <f t="shared" si="7"/>
        <v/>
      </c>
      <c r="U2374" s="37" t="str">
        <f t="array" ref="U2374">IF($F2374="","",IFERROR(INDEX(Config!$F:$F,MATCH($F2374,Config!$D:$D,0)),0))</f>
        <v/>
      </c>
    </row>
    <row r="2375" ht="15.0" customHeight="1">
      <c r="A2375" s="34"/>
      <c r="B2375" s="35"/>
      <c r="C2375" s="15"/>
      <c r="D2375" s="15"/>
      <c r="E2375" s="15"/>
      <c r="F2375" s="15"/>
      <c r="G2375" s="36" t="str">
        <f t="array" ref="G2375">IF($F2375="","",IFERROR(INDEX(Config!$E:$E,MATCH($F2375,Config!$D:$D,0)),0))</f>
        <v/>
      </c>
      <c r="H2375" s="16"/>
      <c r="I2375" s="36" t="str">
        <f t="shared" si="1"/>
        <v/>
      </c>
      <c r="J2375" s="16"/>
      <c r="K2375" s="15"/>
      <c r="L2375" s="15"/>
      <c r="M2375" s="36" t="str">
        <f t="array" ref="M2375">IF($A2375="","",IF($L2375="Atendido",IFERROR($I2375*INDEX(Config!$B:$B,MATCH($C2375,Config!$A:$A,0)),0),0))</f>
        <v/>
      </c>
      <c r="N2375" s="36" t="str">
        <f t="shared" si="2"/>
        <v/>
      </c>
      <c r="O2375" s="36" t="str">
        <f t="shared" si="3"/>
        <v/>
      </c>
      <c r="P2375" s="15"/>
      <c r="Q2375" s="37" t="str">
        <f t="shared" si="4"/>
        <v/>
      </c>
      <c r="R2375" s="37" t="str">
        <f t="shared" si="5"/>
        <v/>
      </c>
      <c r="S2375" s="32" t="str">
        <f t="shared" si="6"/>
        <v/>
      </c>
      <c r="T2375" s="37" t="str">
        <f t="shared" si="7"/>
        <v/>
      </c>
      <c r="U2375" s="37" t="str">
        <f t="array" ref="U2375">IF($F2375="","",IFERROR(INDEX(Config!$F:$F,MATCH($F2375,Config!$D:$D,0)),0))</f>
        <v/>
      </c>
    </row>
    <row r="2376" ht="15.0" customHeight="1">
      <c r="A2376" s="34"/>
      <c r="B2376" s="35"/>
      <c r="C2376" s="15"/>
      <c r="D2376" s="15"/>
      <c r="E2376" s="15"/>
      <c r="F2376" s="15"/>
      <c r="G2376" s="36" t="str">
        <f t="array" ref="G2376">IF($F2376="","",IFERROR(INDEX(Config!$E:$E,MATCH($F2376,Config!$D:$D,0)),0))</f>
        <v/>
      </c>
      <c r="H2376" s="16"/>
      <c r="I2376" s="36" t="str">
        <f t="shared" si="1"/>
        <v/>
      </c>
      <c r="J2376" s="16"/>
      <c r="K2376" s="15"/>
      <c r="L2376" s="15"/>
      <c r="M2376" s="36" t="str">
        <f t="array" ref="M2376">IF($A2376="","",IF($L2376="Atendido",IFERROR($I2376*INDEX(Config!$B:$B,MATCH($C2376,Config!$A:$A,0)),0),0))</f>
        <v/>
      </c>
      <c r="N2376" s="36" t="str">
        <f t="shared" si="2"/>
        <v/>
      </c>
      <c r="O2376" s="36" t="str">
        <f t="shared" si="3"/>
        <v/>
      </c>
      <c r="P2376" s="15"/>
      <c r="Q2376" s="37" t="str">
        <f t="shared" si="4"/>
        <v/>
      </c>
      <c r="R2376" s="37" t="str">
        <f t="shared" si="5"/>
        <v/>
      </c>
      <c r="S2376" s="32" t="str">
        <f t="shared" si="6"/>
        <v/>
      </c>
      <c r="T2376" s="37" t="str">
        <f t="shared" si="7"/>
        <v/>
      </c>
      <c r="U2376" s="37" t="str">
        <f t="array" ref="U2376">IF($F2376="","",IFERROR(INDEX(Config!$F:$F,MATCH($F2376,Config!$D:$D,0)),0))</f>
        <v/>
      </c>
    </row>
    <row r="2377" ht="15.0" customHeight="1">
      <c r="A2377" s="34"/>
      <c r="B2377" s="35"/>
      <c r="C2377" s="15"/>
      <c r="D2377" s="15"/>
      <c r="E2377" s="15"/>
      <c r="F2377" s="15"/>
      <c r="G2377" s="36" t="str">
        <f t="array" ref="G2377">IF($F2377="","",IFERROR(INDEX(Config!$E:$E,MATCH($F2377,Config!$D:$D,0)),0))</f>
        <v/>
      </c>
      <c r="H2377" s="16"/>
      <c r="I2377" s="36" t="str">
        <f t="shared" si="1"/>
        <v/>
      </c>
      <c r="J2377" s="16"/>
      <c r="K2377" s="15"/>
      <c r="L2377" s="15"/>
      <c r="M2377" s="36" t="str">
        <f t="array" ref="M2377">IF($A2377="","",IF($L2377="Atendido",IFERROR($I2377*INDEX(Config!$B:$B,MATCH($C2377,Config!$A:$A,0)),0),0))</f>
        <v/>
      </c>
      <c r="N2377" s="36" t="str">
        <f t="shared" si="2"/>
        <v/>
      </c>
      <c r="O2377" s="36" t="str">
        <f t="shared" si="3"/>
        <v/>
      </c>
      <c r="P2377" s="15"/>
      <c r="Q2377" s="37" t="str">
        <f t="shared" si="4"/>
        <v/>
      </c>
      <c r="R2377" s="37" t="str">
        <f t="shared" si="5"/>
        <v/>
      </c>
      <c r="S2377" s="32" t="str">
        <f t="shared" si="6"/>
        <v/>
      </c>
      <c r="T2377" s="37" t="str">
        <f t="shared" si="7"/>
        <v/>
      </c>
      <c r="U2377" s="37" t="str">
        <f t="array" ref="U2377">IF($F2377="","",IFERROR(INDEX(Config!$F:$F,MATCH($F2377,Config!$D:$D,0)),0))</f>
        <v/>
      </c>
    </row>
    <row r="2378" ht="15.0" customHeight="1">
      <c r="A2378" s="34"/>
      <c r="B2378" s="35"/>
      <c r="C2378" s="15"/>
      <c r="D2378" s="15"/>
      <c r="E2378" s="15"/>
      <c r="F2378" s="15"/>
      <c r="G2378" s="36" t="str">
        <f t="array" ref="G2378">IF($F2378="","",IFERROR(INDEX(Config!$E:$E,MATCH($F2378,Config!$D:$D,0)),0))</f>
        <v/>
      </c>
      <c r="H2378" s="16"/>
      <c r="I2378" s="36" t="str">
        <f t="shared" si="1"/>
        <v/>
      </c>
      <c r="J2378" s="16"/>
      <c r="K2378" s="15"/>
      <c r="L2378" s="15"/>
      <c r="M2378" s="36" t="str">
        <f t="array" ref="M2378">IF($A2378="","",IF($L2378="Atendido",IFERROR($I2378*INDEX(Config!$B:$B,MATCH($C2378,Config!$A:$A,0)),0),0))</f>
        <v/>
      </c>
      <c r="N2378" s="36" t="str">
        <f t="shared" si="2"/>
        <v/>
      </c>
      <c r="O2378" s="36" t="str">
        <f t="shared" si="3"/>
        <v/>
      </c>
      <c r="P2378" s="15"/>
      <c r="Q2378" s="37" t="str">
        <f t="shared" si="4"/>
        <v/>
      </c>
      <c r="R2378" s="37" t="str">
        <f t="shared" si="5"/>
        <v/>
      </c>
      <c r="S2378" s="32" t="str">
        <f t="shared" si="6"/>
        <v/>
      </c>
      <c r="T2378" s="37" t="str">
        <f t="shared" si="7"/>
        <v/>
      </c>
      <c r="U2378" s="37" t="str">
        <f t="array" ref="U2378">IF($F2378="","",IFERROR(INDEX(Config!$F:$F,MATCH($F2378,Config!$D:$D,0)),0))</f>
        <v/>
      </c>
    </row>
    <row r="2379" ht="15.0" customHeight="1">
      <c r="A2379" s="34"/>
      <c r="B2379" s="35"/>
      <c r="C2379" s="15"/>
      <c r="D2379" s="15"/>
      <c r="E2379" s="15"/>
      <c r="F2379" s="15"/>
      <c r="G2379" s="36" t="str">
        <f t="array" ref="G2379">IF($F2379="","",IFERROR(INDEX(Config!$E:$E,MATCH($F2379,Config!$D:$D,0)),0))</f>
        <v/>
      </c>
      <c r="H2379" s="16"/>
      <c r="I2379" s="36" t="str">
        <f t="shared" si="1"/>
        <v/>
      </c>
      <c r="J2379" s="16"/>
      <c r="K2379" s="15"/>
      <c r="L2379" s="15"/>
      <c r="M2379" s="36" t="str">
        <f t="array" ref="M2379">IF($A2379="","",IF($L2379="Atendido",IFERROR($I2379*INDEX(Config!$B:$B,MATCH($C2379,Config!$A:$A,0)),0),0))</f>
        <v/>
      </c>
      <c r="N2379" s="36" t="str">
        <f t="shared" si="2"/>
        <v/>
      </c>
      <c r="O2379" s="36" t="str">
        <f t="shared" si="3"/>
        <v/>
      </c>
      <c r="P2379" s="15"/>
      <c r="Q2379" s="37" t="str">
        <f t="shared" si="4"/>
        <v/>
      </c>
      <c r="R2379" s="37" t="str">
        <f t="shared" si="5"/>
        <v/>
      </c>
      <c r="S2379" s="32" t="str">
        <f t="shared" si="6"/>
        <v/>
      </c>
      <c r="T2379" s="37" t="str">
        <f t="shared" si="7"/>
        <v/>
      </c>
      <c r="U2379" s="37" t="str">
        <f t="array" ref="U2379">IF($F2379="","",IFERROR(INDEX(Config!$F:$F,MATCH($F2379,Config!$D:$D,0)),0))</f>
        <v/>
      </c>
    </row>
    <row r="2380" ht="15.0" customHeight="1">
      <c r="A2380" s="34"/>
      <c r="B2380" s="35"/>
      <c r="C2380" s="15"/>
      <c r="D2380" s="15"/>
      <c r="E2380" s="15"/>
      <c r="F2380" s="15"/>
      <c r="G2380" s="36" t="str">
        <f t="array" ref="G2380">IF($F2380="","",IFERROR(INDEX(Config!$E:$E,MATCH($F2380,Config!$D:$D,0)),0))</f>
        <v/>
      </c>
      <c r="H2380" s="16"/>
      <c r="I2380" s="36" t="str">
        <f t="shared" si="1"/>
        <v/>
      </c>
      <c r="J2380" s="16"/>
      <c r="K2380" s="15"/>
      <c r="L2380" s="15"/>
      <c r="M2380" s="36" t="str">
        <f t="array" ref="M2380">IF($A2380="","",IF($L2380="Atendido",IFERROR($I2380*INDEX(Config!$B:$B,MATCH($C2380,Config!$A:$A,0)),0),0))</f>
        <v/>
      </c>
      <c r="N2380" s="36" t="str">
        <f t="shared" si="2"/>
        <v/>
      </c>
      <c r="O2380" s="36" t="str">
        <f t="shared" si="3"/>
        <v/>
      </c>
      <c r="P2380" s="15"/>
      <c r="Q2380" s="37" t="str">
        <f t="shared" si="4"/>
        <v/>
      </c>
      <c r="R2380" s="37" t="str">
        <f t="shared" si="5"/>
        <v/>
      </c>
      <c r="S2380" s="32" t="str">
        <f t="shared" si="6"/>
        <v/>
      </c>
      <c r="T2380" s="37" t="str">
        <f t="shared" si="7"/>
        <v/>
      </c>
      <c r="U2380" s="37" t="str">
        <f t="array" ref="U2380">IF($F2380="","",IFERROR(INDEX(Config!$F:$F,MATCH($F2380,Config!$D:$D,0)),0))</f>
        <v/>
      </c>
    </row>
    <row r="2381" ht="15.0" customHeight="1">
      <c r="A2381" s="34"/>
      <c r="B2381" s="35"/>
      <c r="C2381" s="15"/>
      <c r="D2381" s="15"/>
      <c r="E2381" s="15"/>
      <c r="F2381" s="15"/>
      <c r="G2381" s="36" t="str">
        <f t="array" ref="G2381">IF($F2381="","",IFERROR(INDEX(Config!$E:$E,MATCH($F2381,Config!$D:$D,0)),0))</f>
        <v/>
      </c>
      <c r="H2381" s="16"/>
      <c r="I2381" s="36" t="str">
        <f t="shared" si="1"/>
        <v/>
      </c>
      <c r="J2381" s="16"/>
      <c r="K2381" s="15"/>
      <c r="L2381" s="15"/>
      <c r="M2381" s="36" t="str">
        <f t="array" ref="M2381">IF($A2381="","",IF($L2381="Atendido",IFERROR($I2381*INDEX(Config!$B:$B,MATCH($C2381,Config!$A:$A,0)),0),0))</f>
        <v/>
      </c>
      <c r="N2381" s="36" t="str">
        <f t="shared" si="2"/>
        <v/>
      </c>
      <c r="O2381" s="36" t="str">
        <f t="shared" si="3"/>
        <v/>
      </c>
      <c r="P2381" s="15"/>
      <c r="Q2381" s="37" t="str">
        <f t="shared" si="4"/>
        <v/>
      </c>
      <c r="R2381" s="37" t="str">
        <f t="shared" si="5"/>
        <v/>
      </c>
      <c r="S2381" s="32" t="str">
        <f t="shared" si="6"/>
        <v/>
      </c>
      <c r="T2381" s="37" t="str">
        <f t="shared" si="7"/>
        <v/>
      </c>
      <c r="U2381" s="37" t="str">
        <f t="array" ref="U2381">IF($F2381="","",IFERROR(INDEX(Config!$F:$F,MATCH($F2381,Config!$D:$D,0)),0))</f>
        <v/>
      </c>
    </row>
    <row r="2382" ht="15.0" customHeight="1">
      <c r="A2382" s="34"/>
      <c r="B2382" s="35"/>
      <c r="C2382" s="15"/>
      <c r="D2382" s="15"/>
      <c r="E2382" s="15"/>
      <c r="F2382" s="15"/>
      <c r="G2382" s="36" t="str">
        <f t="array" ref="G2382">IF($F2382="","",IFERROR(INDEX(Config!$E:$E,MATCH($F2382,Config!$D:$D,0)),0))</f>
        <v/>
      </c>
      <c r="H2382" s="16"/>
      <c r="I2382" s="36" t="str">
        <f t="shared" si="1"/>
        <v/>
      </c>
      <c r="J2382" s="16"/>
      <c r="K2382" s="15"/>
      <c r="L2382" s="15"/>
      <c r="M2382" s="36" t="str">
        <f t="array" ref="M2382">IF($A2382="","",IF($L2382="Atendido",IFERROR($I2382*INDEX(Config!$B:$B,MATCH($C2382,Config!$A:$A,0)),0),0))</f>
        <v/>
      </c>
      <c r="N2382" s="36" t="str">
        <f t="shared" si="2"/>
        <v/>
      </c>
      <c r="O2382" s="36" t="str">
        <f t="shared" si="3"/>
        <v/>
      </c>
      <c r="P2382" s="15"/>
      <c r="Q2382" s="37" t="str">
        <f t="shared" si="4"/>
        <v/>
      </c>
      <c r="R2382" s="37" t="str">
        <f t="shared" si="5"/>
        <v/>
      </c>
      <c r="S2382" s="32" t="str">
        <f t="shared" si="6"/>
        <v/>
      </c>
      <c r="T2382" s="37" t="str">
        <f t="shared" si="7"/>
        <v/>
      </c>
      <c r="U2382" s="37" t="str">
        <f t="array" ref="U2382">IF($F2382="","",IFERROR(INDEX(Config!$F:$F,MATCH($F2382,Config!$D:$D,0)),0))</f>
        <v/>
      </c>
    </row>
    <row r="2383" ht="15.0" customHeight="1">
      <c r="A2383" s="34"/>
      <c r="B2383" s="35"/>
      <c r="C2383" s="15"/>
      <c r="D2383" s="15"/>
      <c r="E2383" s="15"/>
      <c r="F2383" s="15"/>
      <c r="G2383" s="36" t="str">
        <f t="array" ref="G2383">IF($F2383="","",IFERROR(INDEX(Config!$E:$E,MATCH($F2383,Config!$D:$D,0)),0))</f>
        <v/>
      </c>
      <c r="H2383" s="16"/>
      <c r="I2383" s="36" t="str">
        <f t="shared" si="1"/>
        <v/>
      </c>
      <c r="J2383" s="16"/>
      <c r="K2383" s="15"/>
      <c r="L2383" s="15"/>
      <c r="M2383" s="36" t="str">
        <f t="array" ref="M2383">IF($A2383="","",IF($L2383="Atendido",IFERROR($I2383*INDEX(Config!$B:$B,MATCH($C2383,Config!$A:$A,0)),0),0))</f>
        <v/>
      </c>
      <c r="N2383" s="36" t="str">
        <f t="shared" si="2"/>
        <v/>
      </c>
      <c r="O2383" s="36" t="str">
        <f t="shared" si="3"/>
        <v/>
      </c>
      <c r="P2383" s="15"/>
      <c r="Q2383" s="37" t="str">
        <f t="shared" si="4"/>
        <v/>
      </c>
      <c r="R2383" s="37" t="str">
        <f t="shared" si="5"/>
        <v/>
      </c>
      <c r="S2383" s="32" t="str">
        <f t="shared" si="6"/>
        <v/>
      </c>
      <c r="T2383" s="37" t="str">
        <f t="shared" si="7"/>
        <v/>
      </c>
      <c r="U2383" s="37" t="str">
        <f t="array" ref="U2383">IF($F2383="","",IFERROR(INDEX(Config!$F:$F,MATCH($F2383,Config!$D:$D,0)),0))</f>
        <v/>
      </c>
    </row>
    <row r="2384" ht="15.0" customHeight="1">
      <c r="A2384" s="34"/>
      <c r="B2384" s="35"/>
      <c r="C2384" s="15"/>
      <c r="D2384" s="15"/>
      <c r="E2384" s="15"/>
      <c r="F2384" s="15"/>
      <c r="G2384" s="36" t="str">
        <f t="array" ref="G2384">IF($F2384="","",IFERROR(INDEX(Config!$E:$E,MATCH($F2384,Config!$D:$D,0)),0))</f>
        <v/>
      </c>
      <c r="H2384" s="16"/>
      <c r="I2384" s="36" t="str">
        <f t="shared" si="1"/>
        <v/>
      </c>
      <c r="J2384" s="16"/>
      <c r="K2384" s="15"/>
      <c r="L2384" s="15"/>
      <c r="M2384" s="36" t="str">
        <f t="array" ref="M2384">IF($A2384="","",IF($L2384="Atendido",IFERROR($I2384*INDEX(Config!$B:$B,MATCH($C2384,Config!$A:$A,0)),0),0))</f>
        <v/>
      </c>
      <c r="N2384" s="36" t="str">
        <f t="shared" si="2"/>
        <v/>
      </c>
      <c r="O2384" s="36" t="str">
        <f t="shared" si="3"/>
        <v/>
      </c>
      <c r="P2384" s="15"/>
      <c r="Q2384" s="37" t="str">
        <f t="shared" si="4"/>
        <v/>
      </c>
      <c r="R2384" s="37" t="str">
        <f t="shared" si="5"/>
        <v/>
      </c>
      <c r="S2384" s="32" t="str">
        <f t="shared" si="6"/>
        <v/>
      </c>
      <c r="T2384" s="37" t="str">
        <f t="shared" si="7"/>
        <v/>
      </c>
      <c r="U2384" s="37" t="str">
        <f t="array" ref="U2384">IF($F2384="","",IFERROR(INDEX(Config!$F:$F,MATCH($F2384,Config!$D:$D,0)),0))</f>
        <v/>
      </c>
    </row>
    <row r="2385" ht="15.0" customHeight="1">
      <c r="A2385" s="34"/>
      <c r="B2385" s="35"/>
      <c r="C2385" s="15"/>
      <c r="D2385" s="15"/>
      <c r="E2385" s="15"/>
      <c r="F2385" s="15"/>
      <c r="G2385" s="36" t="str">
        <f t="array" ref="G2385">IF($F2385="","",IFERROR(INDEX(Config!$E:$E,MATCH($F2385,Config!$D:$D,0)),0))</f>
        <v/>
      </c>
      <c r="H2385" s="16"/>
      <c r="I2385" s="36" t="str">
        <f t="shared" si="1"/>
        <v/>
      </c>
      <c r="J2385" s="16"/>
      <c r="K2385" s="15"/>
      <c r="L2385" s="15"/>
      <c r="M2385" s="36" t="str">
        <f t="array" ref="M2385">IF($A2385="","",IF($L2385="Atendido",IFERROR($I2385*INDEX(Config!$B:$B,MATCH($C2385,Config!$A:$A,0)),0),0))</f>
        <v/>
      </c>
      <c r="N2385" s="36" t="str">
        <f t="shared" si="2"/>
        <v/>
      </c>
      <c r="O2385" s="36" t="str">
        <f t="shared" si="3"/>
        <v/>
      </c>
      <c r="P2385" s="15"/>
      <c r="Q2385" s="37" t="str">
        <f t="shared" si="4"/>
        <v/>
      </c>
      <c r="R2385" s="37" t="str">
        <f t="shared" si="5"/>
        <v/>
      </c>
      <c r="S2385" s="32" t="str">
        <f t="shared" si="6"/>
        <v/>
      </c>
      <c r="T2385" s="37" t="str">
        <f t="shared" si="7"/>
        <v/>
      </c>
      <c r="U2385" s="37" t="str">
        <f t="array" ref="U2385">IF($F2385="","",IFERROR(INDEX(Config!$F:$F,MATCH($F2385,Config!$D:$D,0)),0))</f>
        <v/>
      </c>
    </row>
    <row r="2386" ht="15.0" customHeight="1">
      <c r="A2386" s="34"/>
      <c r="B2386" s="35"/>
      <c r="C2386" s="15"/>
      <c r="D2386" s="15"/>
      <c r="E2386" s="15"/>
      <c r="F2386" s="15"/>
      <c r="G2386" s="36" t="str">
        <f t="array" ref="G2386">IF($F2386="","",IFERROR(INDEX(Config!$E:$E,MATCH($F2386,Config!$D:$D,0)),0))</f>
        <v/>
      </c>
      <c r="H2386" s="16"/>
      <c r="I2386" s="36" t="str">
        <f t="shared" si="1"/>
        <v/>
      </c>
      <c r="J2386" s="16"/>
      <c r="K2386" s="15"/>
      <c r="L2386" s="15"/>
      <c r="M2386" s="36" t="str">
        <f t="array" ref="M2386">IF($A2386="","",IF($L2386="Atendido",IFERROR($I2386*INDEX(Config!$B:$B,MATCH($C2386,Config!$A:$A,0)),0),0))</f>
        <v/>
      </c>
      <c r="N2386" s="36" t="str">
        <f t="shared" si="2"/>
        <v/>
      </c>
      <c r="O2386" s="36" t="str">
        <f t="shared" si="3"/>
        <v/>
      </c>
      <c r="P2386" s="15"/>
      <c r="Q2386" s="37" t="str">
        <f t="shared" si="4"/>
        <v/>
      </c>
      <c r="R2386" s="37" t="str">
        <f t="shared" si="5"/>
        <v/>
      </c>
      <c r="S2386" s="32" t="str">
        <f t="shared" si="6"/>
        <v/>
      </c>
      <c r="T2386" s="37" t="str">
        <f t="shared" si="7"/>
        <v/>
      </c>
      <c r="U2386" s="37" t="str">
        <f t="array" ref="U2386">IF($F2386="","",IFERROR(INDEX(Config!$F:$F,MATCH($F2386,Config!$D:$D,0)),0))</f>
        <v/>
      </c>
    </row>
    <row r="2387" ht="15.0" customHeight="1">
      <c r="A2387" s="34"/>
      <c r="B2387" s="35"/>
      <c r="C2387" s="15"/>
      <c r="D2387" s="15"/>
      <c r="E2387" s="15"/>
      <c r="F2387" s="15"/>
      <c r="G2387" s="36" t="str">
        <f t="array" ref="G2387">IF($F2387="","",IFERROR(INDEX(Config!$E:$E,MATCH($F2387,Config!$D:$D,0)),0))</f>
        <v/>
      </c>
      <c r="H2387" s="16"/>
      <c r="I2387" s="36" t="str">
        <f t="shared" si="1"/>
        <v/>
      </c>
      <c r="J2387" s="16"/>
      <c r="K2387" s="15"/>
      <c r="L2387" s="15"/>
      <c r="M2387" s="36" t="str">
        <f t="array" ref="M2387">IF($A2387="","",IF($L2387="Atendido",IFERROR($I2387*INDEX(Config!$B:$B,MATCH($C2387,Config!$A:$A,0)),0),0))</f>
        <v/>
      </c>
      <c r="N2387" s="36" t="str">
        <f t="shared" si="2"/>
        <v/>
      </c>
      <c r="O2387" s="36" t="str">
        <f t="shared" si="3"/>
        <v/>
      </c>
      <c r="P2387" s="15"/>
      <c r="Q2387" s="37" t="str">
        <f t="shared" si="4"/>
        <v/>
      </c>
      <c r="R2387" s="37" t="str">
        <f t="shared" si="5"/>
        <v/>
      </c>
      <c r="S2387" s="32" t="str">
        <f t="shared" si="6"/>
        <v/>
      </c>
      <c r="T2387" s="37" t="str">
        <f t="shared" si="7"/>
        <v/>
      </c>
      <c r="U2387" s="37" t="str">
        <f t="array" ref="U2387">IF($F2387="","",IFERROR(INDEX(Config!$F:$F,MATCH($F2387,Config!$D:$D,0)),0))</f>
        <v/>
      </c>
    </row>
    <row r="2388" ht="15.0" customHeight="1">
      <c r="A2388" s="34"/>
      <c r="B2388" s="35"/>
      <c r="C2388" s="15"/>
      <c r="D2388" s="15"/>
      <c r="E2388" s="15"/>
      <c r="F2388" s="15"/>
      <c r="G2388" s="36" t="str">
        <f t="array" ref="G2388">IF($F2388="","",IFERROR(INDEX(Config!$E:$E,MATCH($F2388,Config!$D:$D,0)),0))</f>
        <v/>
      </c>
      <c r="H2388" s="16"/>
      <c r="I2388" s="36" t="str">
        <f t="shared" si="1"/>
        <v/>
      </c>
      <c r="J2388" s="16"/>
      <c r="K2388" s="15"/>
      <c r="L2388" s="15"/>
      <c r="M2388" s="36" t="str">
        <f t="array" ref="M2388">IF($A2388="","",IF($L2388="Atendido",IFERROR($I2388*INDEX(Config!$B:$B,MATCH($C2388,Config!$A:$A,0)),0),0))</f>
        <v/>
      </c>
      <c r="N2388" s="36" t="str">
        <f t="shared" si="2"/>
        <v/>
      </c>
      <c r="O2388" s="36" t="str">
        <f t="shared" si="3"/>
        <v/>
      </c>
      <c r="P2388" s="15"/>
      <c r="Q2388" s="37" t="str">
        <f t="shared" si="4"/>
        <v/>
      </c>
      <c r="R2388" s="37" t="str">
        <f t="shared" si="5"/>
        <v/>
      </c>
      <c r="S2388" s="32" t="str">
        <f t="shared" si="6"/>
        <v/>
      </c>
      <c r="T2388" s="37" t="str">
        <f t="shared" si="7"/>
        <v/>
      </c>
      <c r="U2388" s="37" t="str">
        <f t="array" ref="U2388">IF($F2388="","",IFERROR(INDEX(Config!$F:$F,MATCH($F2388,Config!$D:$D,0)),0))</f>
        <v/>
      </c>
    </row>
    <row r="2389" ht="15.0" customHeight="1">
      <c r="A2389" s="34"/>
      <c r="B2389" s="35"/>
      <c r="C2389" s="15"/>
      <c r="D2389" s="15"/>
      <c r="E2389" s="15"/>
      <c r="F2389" s="15"/>
      <c r="G2389" s="36" t="str">
        <f t="array" ref="G2389">IF($F2389="","",IFERROR(INDEX(Config!$E:$E,MATCH($F2389,Config!$D:$D,0)),0))</f>
        <v/>
      </c>
      <c r="H2389" s="16"/>
      <c r="I2389" s="36" t="str">
        <f t="shared" si="1"/>
        <v/>
      </c>
      <c r="J2389" s="16"/>
      <c r="K2389" s="15"/>
      <c r="L2389" s="15"/>
      <c r="M2389" s="36" t="str">
        <f t="array" ref="M2389">IF($A2389="","",IF($L2389="Atendido",IFERROR($I2389*INDEX(Config!$B:$B,MATCH($C2389,Config!$A:$A,0)),0),0))</f>
        <v/>
      </c>
      <c r="N2389" s="36" t="str">
        <f t="shared" si="2"/>
        <v/>
      </c>
      <c r="O2389" s="36" t="str">
        <f t="shared" si="3"/>
        <v/>
      </c>
      <c r="P2389" s="15"/>
      <c r="Q2389" s="37" t="str">
        <f t="shared" si="4"/>
        <v/>
      </c>
      <c r="R2389" s="37" t="str">
        <f t="shared" si="5"/>
        <v/>
      </c>
      <c r="S2389" s="32" t="str">
        <f t="shared" si="6"/>
        <v/>
      </c>
      <c r="T2389" s="37" t="str">
        <f t="shared" si="7"/>
        <v/>
      </c>
      <c r="U2389" s="37" t="str">
        <f t="array" ref="U2389">IF($F2389="","",IFERROR(INDEX(Config!$F:$F,MATCH($F2389,Config!$D:$D,0)),0))</f>
        <v/>
      </c>
    </row>
    <row r="2390" ht="15.0" customHeight="1">
      <c r="A2390" s="34"/>
      <c r="B2390" s="35"/>
      <c r="C2390" s="15"/>
      <c r="D2390" s="15"/>
      <c r="E2390" s="15"/>
      <c r="F2390" s="15"/>
      <c r="G2390" s="36" t="str">
        <f t="array" ref="G2390">IF($F2390="","",IFERROR(INDEX(Config!$E:$E,MATCH($F2390,Config!$D:$D,0)),0))</f>
        <v/>
      </c>
      <c r="H2390" s="16"/>
      <c r="I2390" s="36" t="str">
        <f t="shared" si="1"/>
        <v/>
      </c>
      <c r="J2390" s="16"/>
      <c r="K2390" s="15"/>
      <c r="L2390" s="15"/>
      <c r="M2390" s="36" t="str">
        <f t="array" ref="M2390">IF($A2390="","",IF($L2390="Atendido",IFERROR($I2390*INDEX(Config!$B:$B,MATCH($C2390,Config!$A:$A,0)),0),0))</f>
        <v/>
      </c>
      <c r="N2390" s="36" t="str">
        <f t="shared" si="2"/>
        <v/>
      </c>
      <c r="O2390" s="36" t="str">
        <f t="shared" si="3"/>
        <v/>
      </c>
      <c r="P2390" s="15"/>
      <c r="Q2390" s="37" t="str">
        <f t="shared" si="4"/>
        <v/>
      </c>
      <c r="R2390" s="37" t="str">
        <f t="shared" si="5"/>
        <v/>
      </c>
      <c r="S2390" s="32" t="str">
        <f t="shared" si="6"/>
        <v/>
      </c>
      <c r="T2390" s="37" t="str">
        <f t="shared" si="7"/>
        <v/>
      </c>
      <c r="U2390" s="37" t="str">
        <f t="array" ref="U2390">IF($F2390="","",IFERROR(INDEX(Config!$F:$F,MATCH($F2390,Config!$D:$D,0)),0))</f>
        <v/>
      </c>
    </row>
    <row r="2391" ht="15.0" customHeight="1">
      <c r="A2391" s="34"/>
      <c r="B2391" s="35"/>
      <c r="C2391" s="15"/>
      <c r="D2391" s="15"/>
      <c r="E2391" s="15"/>
      <c r="F2391" s="15"/>
      <c r="G2391" s="36" t="str">
        <f t="array" ref="G2391">IF($F2391="","",IFERROR(INDEX(Config!$E:$E,MATCH($F2391,Config!$D:$D,0)),0))</f>
        <v/>
      </c>
      <c r="H2391" s="16"/>
      <c r="I2391" s="36" t="str">
        <f t="shared" si="1"/>
        <v/>
      </c>
      <c r="J2391" s="16"/>
      <c r="K2391" s="15"/>
      <c r="L2391" s="15"/>
      <c r="M2391" s="36" t="str">
        <f t="array" ref="M2391">IF($A2391="","",IF($L2391="Atendido",IFERROR($I2391*INDEX(Config!$B:$B,MATCH($C2391,Config!$A:$A,0)),0),0))</f>
        <v/>
      </c>
      <c r="N2391" s="36" t="str">
        <f t="shared" si="2"/>
        <v/>
      </c>
      <c r="O2391" s="36" t="str">
        <f t="shared" si="3"/>
        <v/>
      </c>
      <c r="P2391" s="15"/>
      <c r="Q2391" s="37" t="str">
        <f t="shared" si="4"/>
        <v/>
      </c>
      <c r="R2391" s="37" t="str">
        <f t="shared" si="5"/>
        <v/>
      </c>
      <c r="S2391" s="32" t="str">
        <f t="shared" si="6"/>
        <v/>
      </c>
      <c r="T2391" s="37" t="str">
        <f t="shared" si="7"/>
        <v/>
      </c>
      <c r="U2391" s="37" t="str">
        <f t="array" ref="U2391">IF($F2391="","",IFERROR(INDEX(Config!$F:$F,MATCH($F2391,Config!$D:$D,0)),0))</f>
        <v/>
      </c>
    </row>
    <row r="2392" ht="15.0" customHeight="1">
      <c r="A2392" s="34"/>
      <c r="B2392" s="35"/>
      <c r="C2392" s="15"/>
      <c r="D2392" s="15"/>
      <c r="E2392" s="15"/>
      <c r="F2392" s="15"/>
      <c r="G2392" s="36" t="str">
        <f t="array" ref="G2392">IF($F2392="","",IFERROR(INDEX(Config!$E:$E,MATCH($F2392,Config!$D:$D,0)),0))</f>
        <v/>
      </c>
      <c r="H2392" s="16"/>
      <c r="I2392" s="36" t="str">
        <f t="shared" si="1"/>
        <v/>
      </c>
      <c r="J2392" s="16"/>
      <c r="K2392" s="15"/>
      <c r="L2392" s="15"/>
      <c r="M2392" s="36" t="str">
        <f t="array" ref="M2392">IF($A2392="","",IF($L2392="Atendido",IFERROR($I2392*INDEX(Config!$B:$B,MATCH($C2392,Config!$A:$A,0)),0),0))</f>
        <v/>
      </c>
      <c r="N2392" s="36" t="str">
        <f t="shared" si="2"/>
        <v/>
      </c>
      <c r="O2392" s="36" t="str">
        <f t="shared" si="3"/>
        <v/>
      </c>
      <c r="P2392" s="15"/>
      <c r="Q2392" s="37" t="str">
        <f t="shared" si="4"/>
        <v/>
      </c>
      <c r="R2392" s="37" t="str">
        <f t="shared" si="5"/>
        <v/>
      </c>
      <c r="S2392" s="32" t="str">
        <f t="shared" si="6"/>
        <v/>
      </c>
      <c r="T2392" s="37" t="str">
        <f t="shared" si="7"/>
        <v/>
      </c>
      <c r="U2392" s="37" t="str">
        <f t="array" ref="U2392">IF($F2392="","",IFERROR(INDEX(Config!$F:$F,MATCH($F2392,Config!$D:$D,0)),0))</f>
        <v/>
      </c>
    </row>
    <row r="2393" ht="15.0" customHeight="1">
      <c r="A2393" s="34"/>
      <c r="B2393" s="35"/>
      <c r="C2393" s="15"/>
      <c r="D2393" s="15"/>
      <c r="E2393" s="15"/>
      <c r="F2393" s="15"/>
      <c r="G2393" s="36" t="str">
        <f t="array" ref="G2393">IF($F2393="","",IFERROR(INDEX(Config!$E:$E,MATCH($F2393,Config!$D:$D,0)),0))</f>
        <v/>
      </c>
      <c r="H2393" s="16"/>
      <c r="I2393" s="36" t="str">
        <f t="shared" si="1"/>
        <v/>
      </c>
      <c r="J2393" s="16"/>
      <c r="K2393" s="15"/>
      <c r="L2393" s="15"/>
      <c r="M2393" s="36" t="str">
        <f t="array" ref="M2393">IF($A2393="","",IF($L2393="Atendido",IFERROR($I2393*INDEX(Config!$B:$B,MATCH($C2393,Config!$A:$A,0)),0),0))</f>
        <v/>
      </c>
      <c r="N2393" s="36" t="str">
        <f t="shared" si="2"/>
        <v/>
      </c>
      <c r="O2393" s="36" t="str">
        <f t="shared" si="3"/>
        <v/>
      </c>
      <c r="P2393" s="15"/>
      <c r="Q2393" s="37" t="str">
        <f t="shared" si="4"/>
        <v/>
      </c>
      <c r="R2393" s="37" t="str">
        <f t="shared" si="5"/>
        <v/>
      </c>
      <c r="S2393" s="32" t="str">
        <f t="shared" si="6"/>
        <v/>
      </c>
      <c r="T2393" s="37" t="str">
        <f t="shared" si="7"/>
        <v/>
      </c>
      <c r="U2393" s="37" t="str">
        <f t="array" ref="U2393">IF($F2393="","",IFERROR(INDEX(Config!$F:$F,MATCH($F2393,Config!$D:$D,0)),0))</f>
        <v/>
      </c>
    </row>
    <row r="2394" ht="15.0" customHeight="1">
      <c r="A2394" s="34"/>
      <c r="B2394" s="35"/>
      <c r="C2394" s="15"/>
      <c r="D2394" s="15"/>
      <c r="E2394" s="15"/>
      <c r="F2394" s="15"/>
      <c r="G2394" s="36" t="str">
        <f t="array" ref="G2394">IF($F2394="","",IFERROR(INDEX(Config!$E:$E,MATCH($F2394,Config!$D:$D,0)),0))</f>
        <v/>
      </c>
      <c r="H2394" s="16"/>
      <c r="I2394" s="36" t="str">
        <f t="shared" si="1"/>
        <v/>
      </c>
      <c r="J2394" s="16"/>
      <c r="K2394" s="15"/>
      <c r="L2394" s="15"/>
      <c r="M2394" s="36" t="str">
        <f t="array" ref="M2394">IF($A2394="","",IF($L2394="Atendido",IFERROR($I2394*INDEX(Config!$B:$B,MATCH($C2394,Config!$A:$A,0)),0),0))</f>
        <v/>
      </c>
      <c r="N2394" s="36" t="str">
        <f t="shared" si="2"/>
        <v/>
      </c>
      <c r="O2394" s="36" t="str">
        <f t="shared" si="3"/>
        <v/>
      </c>
      <c r="P2394" s="15"/>
      <c r="Q2394" s="37" t="str">
        <f t="shared" si="4"/>
        <v/>
      </c>
      <c r="R2394" s="37" t="str">
        <f t="shared" si="5"/>
        <v/>
      </c>
      <c r="S2394" s="32" t="str">
        <f t="shared" si="6"/>
        <v/>
      </c>
      <c r="T2394" s="37" t="str">
        <f t="shared" si="7"/>
        <v/>
      </c>
      <c r="U2394" s="37" t="str">
        <f t="array" ref="U2394">IF($F2394="","",IFERROR(INDEX(Config!$F:$F,MATCH($F2394,Config!$D:$D,0)),0))</f>
        <v/>
      </c>
    </row>
    <row r="2395" ht="15.0" customHeight="1">
      <c r="A2395" s="34"/>
      <c r="B2395" s="35"/>
      <c r="C2395" s="15"/>
      <c r="D2395" s="15"/>
      <c r="E2395" s="15"/>
      <c r="F2395" s="15"/>
      <c r="G2395" s="36" t="str">
        <f t="array" ref="G2395">IF($F2395="","",IFERROR(INDEX(Config!$E:$E,MATCH($F2395,Config!$D:$D,0)),0))</f>
        <v/>
      </c>
      <c r="H2395" s="16"/>
      <c r="I2395" s="36" t="str">
        <f t="shared" si="1"/>
        <v/>
      </c>
      <c r="J2395" s="16"/>
      <c r="K2395" s="15"/>
      <c r="L2395" s="15"/>
      <c r="M2395" s="36" t="str">
        <f t="array" ref="M2395">IF($A2395="","",IF($L2395="Atendido",IFERROR($I2395*INDEX(Config!$B:$B,MATCH($C2395,Config!$A:$A,0)),0),0))</f>
        <v/>
      </c>
      <c r="N2395" s="36" t="str">
        <f t="shared" si="2"/>
        <v/>
      </c>
      <c r="O2395" s="36" t="str">
        <f t="shared" si="3"/>
        <v/>
      </c>
      <c r="P2395" s="15"/>
      <c r="Q2395" s="37" t="str">
        <f t="shared" si="4"/>
        <v/>
      </c>
      <c r="R2395" s="37" t="str">
        <f t="shared" si="5"/>
        <v/>
      </c>
      <c r="S2395" s="32" t="str">
        <f t="shared" si="6"/>
        <v/>
      </c>
      <c r="T2395" s="37" t="str">
        <f t="shared" si="7"/>
        <v/>
      </c>
      <c r="U2395" s="37" t="str">
        <f t="array" ref="U2395">IF($F2395="","",IFERROR(INDEX(Config!$F:$F,MATCH($F2395,Config!$D:$D,0)),0))</f>
        <v/>
      </c>
    </row>
    <row r="2396" ht="15.0" customHeight="1">
      <c r="A2396" s="34"/>
      <c r="B2396" s="35"/>
      <c r="C2396" s="15"/>
      <c r="D2396" s="15"/>
      <c r="E2396" s="15"/>
      <c r="F2396" s="15"/>
      <c r="G2396" s="36" t="str">
        <f t="array" ref="G2396">IF($F2396="","",IFERROR(INDEX(Config!$E:$E,MATCH($F2396,Config!$D:$D,0)),0))</f>
        <v/>
      </c>
      <c r="H2396" s="16"/>
      <c r="I2396" s="36" t="str">
        <f t="shared" si="1"/>
        <v/>
      </c>
      <c r="J2396" s="16"/>
      <c r="K2396" s="15"/>
      <c r="L2396" s="15"/>
      <c r="M2396" s="36" t="str">
        <f t="array" ref="M2396">IF($A2396="","",IF($L2396="Atendido",IFERROR($I2396*INDEX(Config!$B:$B,MATCH($C2396,Config!$A:$A,0)),0),0))</f>
        <v/>
      </c>
      <c r="N2396" s="36" t="str">
        <f t="shared" si="2"/>
        <v/>
      </c>
      <c r="O2396" s="36" t="str">
        <f t="shared" si="3"/>
        <v/>
      </c>
      <c r="P2396" s="15"/>
      <c r="Q2396" s="37" t="str">
        <f t="shared" si="4"/>
        <v/>
      </c>
      <c r="R2396" s="37" t="str">
        <f t="shared" si="5"/>
        <v/>
      </c>
      <c r="S2396" s="32" t="str">
        <f t="shared" si="6"/>
        <v/>
      </c>
      <c r="T2396" s="37" t="str">
        <f t="shared" si="7"/>
        <v/>
      </c>
      <c r="U2396" s="37" t="str">
        <f t="array" ref="U2396">IF($F2396="","",IFERROR(INDEX(Config!$F:$F,MATCH($F2396,Config!$D:$D,0)),0))</f>
        <v/>
      </c>
    </row>
    <row r="2397" ht="15.0" customHeight="1">
      <c r="A2397" s="34"/>
      <c r="B2397" s="35"/>
      <c r="C2397" s="15"/>
      <c r="D2397" s="15"/>
      <c r="E2397" s="15"/>
      <c r="F2397" s="15"/>
      <c r="G2397" s="36" t="str">
        <f t="array" ref="G2397">IF($F2397="","",IFERROR(INDEX(Config!$E:$E,MATCH($F2397,Config!$D:$D,0)),0))</f>
        <v/>
      </c>
      <c r="H2397" s="16"/>
      <c r="I2397" s="36" t="str">
        <f t="shared" si="1"/>
        <v/>
      </c>
      <c r="J2397" s="16"/>
      <c r="K2397" s="15"/>
      <c r="L2397" s="15"/>
      <c r="M2397" s="36" t="str">
        <f t="array" ref="M2397">IF($A2397="","",IF($L2397="Atendido",IFERROR($I2397*INDEX(Config!$B:$B,MATCH($C2397,Config!$A:$A,0)),0),0))</f>
        <v/>
      </c>
      <c r="N2397" s="36" t="str">
        <f t="shared" si="2"/>
        <v/>
      </c>
      <c r="O2397" s="36" t="str">
        <f t="shared" si="3"/>
        <v/>
      </c>
      <c r="P2397" s="15"/>
      <c r="Q2397" s="37" t="str">
        <f t="shared" si="4"/>
        <v/>
      </c>
      <c r="R2397" s="37" t="str">
        <f t="shared" si="5"/>
        <v/>
      </c>
      <c r="S2397" s="32" t="str">
        <f t="shared" si="6"/>
        <v/>
      </c>
      <c r="T2397" s="37" t="str">
        <f t="shared" si="7"/>
        <v/>
      </c>
      <c r="U2397" s="37" t="str">
        <f t="array" ref="U2397">IF($F2397="","",IFERROR(INDEX(Config!$F:$F,MATCH($F2397,Config!$D:$D,0)),0))</f>
        <v/>
      </c>
    </row>
    <row r="2398" ht="15.0" customHeight="1">
      <c r="A2398" s="34"/>
      <c r="B2398" s="35"/>
      <c r="C2398" s="15"/>
      <c r="D2398" s="15"/>
      <c r="E2398" s="15"/>
      <c r="F2398" s="15"/>
      <c r="G2398" s="36" t="str">
        <f t="array" ref="G2398">IF($F2398="","",IFERROR(INDEX(Config!$E:$E,MATCH($F2398,Config!$D:$D,0)),0))</f>
        <v/>
      </c>
      <c r="H2398" s="16"/>
      <c r="I2398" s="36" t="str">
        <f t="shared" si="1"/>
        <v/>
      </c>
      <c r="J2398" s="16"/>
      <c r="K2398" s="15"/>
      <c r="L2398" s="15"/>
      <c r="M2398" s="36" t="str">
        <f t="array" ref="M2398">IF($A2398="","",IF($L2398="Atendido",IFERROR($I2398*INDEX(Config!$B:$B,MATCH($C2398,Config!$A:$A,0)),0),0))</f>
        <v/>
      </c>
      <c r="N2398" s="36" t="str">
        <f t="shared" si="2"/>
        <v/>
      </c>
      <c r="O2398" s="36" t="str">
        <f t="shared" si="3"/>
        <v/>
      </c>
      <c r="P2398" s="15"/>
      <c r="Q2398" s="37" t="str">
        <f t="shared" si="4"/>
        <v/>
      </c>
      <c r="R2398" s="37" t="str">
        <f t="shared" si="5"/>
        <v/>
      </c>
      <c r="S2398" s="32" t="str">
        <f t="shared" si="6"/>
        <v/>
      </c>
      <c r="T2398" s="37" t="str">
        <f t="shared" si="7"/>
        <v/>
      </c>
      <c r="U2398" s="37" t="str">
        <f t="array" ref="U2398">IF($F2398="","",IFERROR(INDEX(Config!$F:$F,MATCH($F2398,Config!$D:$D,0)),0))</f>
        <v/>
      </c>
    </row>
    <row r="2399" ht="15.0" customHeight="1">
      <c r="A2399" s="34"/>
      <c r="B2399" s="35"/>
      <c r="C2399" s="15"/>
      <c r="D2399" s="15"/>
      <c r="E2399" s="15"/>
      <c r="F2399" s="15"/>
      <c r="G2399" s="36" t="str">
        <f t="array" ref="G2399">IF($F2399="","",IFERROR(INDEX(Config!$E:$E,MATCH($F2399,Config!$D:$D,0)),0))</f>
        <v/>
      </c>
      <c r="H2399" s="16"/>
      <c r="I2399" s="36" t="str">
        <f t="shared" si="1"/>
        <v/>
      </c>
      <c r="J2399" s="16"/>
      <c r="K2399" s="15"/>
      <c r="L2399" s="15"/>
      <c r="M2399" s="36" t="str">
        <f t="array" ref="M2399">IF($A2399="","",IF($L2399="Atendido",IFERROR($I2399*INDEX(Config!$B:$B,MATCH($C2399,Config!$A:$A,0)),0),0))</f>
        <v/>
      </c>
      <c r="N2399" s="36" t="str">
        <f t="shared" si="2"/>
        <v/>
      </c>
      <c r="O2399" s="36" t="str">
        <f t="shared" si="3"/>
        <v/>
      </c>
      <c r="P2399" s="15"/>
      <c r="Q2399" s="37" t="str">
        <f t="shared" si="4"/>
        <v/>
      </c>
      <c r="R2399" s="37" t="str">
        <f t="shared" si="5"/>
        <v/>
      </c>
      <c r="S2399" s="32" t="str">
        <f t="shared" si="6"/>
        <v/>
      </c>
      <c r="T2399" s="37" t="str">
        <f t="shared" si="7"/>
        <v/>
      </c>
      <c r="U2399" s="37" t="str">
        <f t="array" ref="U2399">IF($F2399="","",IFERROR(INDEX(Config!$F:$F,MATCH($F2399,Config!$D:$D,0)),0))</f>
        <v/>
      </c>
    </row>
    <row r="2400" ht="15.0" customHeight="1">
      <c r="A2400" s="34"/>
      <c r="B2400" s="35"/>
      <c r="C2400" s="15"/>
      <c r="D2400" s="15"/>
      <c r="E2400" s="15"/>
      <c r="F2400" s="15"/>
      <c r="G2400" s="36" t="str">
        <f t="array" ref="G2400">IF($F2400="","",IFERROR(INDEX(Config!$E:$E,MATCH($F2400,Config!$D:$D,0)),0))</f>
        <v/>
      </c>
      <c r="H2400" s="16"/>
      <c r="I2400" s="36" t="str">
        <f t="shared" si="1"/>
        <v/>
      </c>
      <c r="J2400" s="16"/>
      <c r="K2400" s="15"/>
      <c r="L2400" s="15"/>
      <c r="M2400" s="36" t="str">
        <f t="array" ref="M2400">IF($A2400="","",IF($L2400="Atendido",IFERROR($I2400*INDEX(Config!$B:$B,MATCH($C2400,Config!$A:$A,0)),0),0))</f>
        <v/>
      </c>
      <c r="N2400" s="36" t="str">
        <f t="shared" si="2"/>
        <v/>
      </c>
      <c r="O2400" s="36" t="str">
        <f t="shared" si="3"/>
        <v/>
      </c>
      <c r="P2400" s="15"/>
      <c r="Q2400" s="37" t="str">
        <f t="shared" si="4"/>
        <v/>
      </c>
      <c r="R2400" s="37" t="str">
        <f t="shared" si="5"/>
        <v/>
      </c>
      <c r="S2400" s="32" t="str">
        <f t="shared" si="6"/>
        <v/>
      </c>
      <c r="T2400" s="37" t="str">
        <f t="shared" si="7"/>
        <v/>
      </c>
      <c r="U2400" s="37" t="str">
        <f t="array" ref="U2400">IF($F2400="","",IFERROR(INDEX(Config!$F:$F,MATCH($F2400,Config!$D:$D,0)),0))</f>
        <v/>
      </c>
    </row>
    <row r="2401" ht="15.0" customHeight="1">
      <c r="A2401" s="34"/>
      <c r="B2401" s="35"/>
      <c r="C2401" s="15"/>
      <c r="D2401" s="15"/>
      <c r="E2401" s="15"/>
      <c r="F2401" s="15"/>
      <c r="G2401" s="36" t="str">
        <f t="array" ref="G2401">IF($F2401="","",IFERROR(INDEX(Config!$E:$E,MATCH($F2401,Config!$D:$D,0)),0))</f>
        <v/>
      </c>
      <c r="H2401" s="16"/>
      <c r="I2401" s="36" t="str">
        <f t="shared" si="1"/>
        <v/>
      </c>
      <c r="J2401" s="16"/>
      <c r="K2401" s="15"/>
      <c r="L2401" s="15"/>
      <c r="M2401" s="36" t="str">
        <f t="array" ref="M2401">IF($A2401="","",IF($L2401="Atendido",IFERROR($I2401*INDEX(Config!$B:$B,MATCH($C2401,Config!$A:$A,0)),0),0))</f>
        <v/>
      </c>
      <c r="N2401" s="36" t="str">
        <f t="shared" si="2"/>
        <v/>
      </c>
      <c r="O2401" s="36" t="str">
        <f t="shared" si="3"/>
        <v/>
      </c>
      <c r="P2401" s="15"/>
      <c r="Q2401" s="37" t="str">
        <f t="shared" si="4"/>
        <v/>
      </c>
      <c r="R2401" s="37" t="str">
        <f t="shared" si="5"/>
        <v/>
      </c>
      <c r="S2401" s="32" t="str">
        <f t="shared" si="6"/>
        <v/>
      </c>
      <c r="T2401" s="37" t="str">
        <f t="shared" si="7"/>
        <v/>
      </c>
      <c r="U2401" s="37" t="str">
        <f t="array" ref="U2401">IF($F2401="","",IFERROR(INDEX(Config!$F:$F,MATCH($F2401,Config!$D:$D,0)),0))</f>
        <v/>
      </c>
    </row>
    <row r="2402" ht="15.0" customHeight="1">
      <c r="A2402" s="34"/>
      <c r="B2402" s="35"/>
      <c r="C2402" s="15"/>
      <c r="D2402" s="15"/>
      <c r="E2402" s="15"/>
      <c r="F2402" s="15"/>
      <c r="G2402" s="36" t="str">
        <f t="array" ref="G2402">IF($F2402="","",IFERROR(INDEX(Config!$E:$E,MATCH($F2402,Config!$D:$D,0)),0))</f>
        <v/>
      </c>
      <c r="H2402" s="16"/>
      <c r="I2402" s="36" t="str">
        <f t="shared" si="1"/>
        <v/>
      </c>
      <c r="J2402" s="16"/>
      <c r="K2402" s="15"/>
      <c r="L2402" s="15"/>
      <c r="M2402" s="36" t="str">
        <f t="array" ref="M2402">IF($A2402="","",IF($L2402="Atendido",IFERROR($I2402*INDEX(Config!$B:$B,MATCH($C2402,Config!$A:$A,0)),0),0))</f>
        <v/>
      </c>
      <c r="N2402" s="36" t="str">
        <f t="shared" si="2"/>
        <v/>
      </c>
      <c r="O2402" s="36" t="str">
        <f t="shared" si="3"/>
        <v/>
      </c>
      <c r="P2402" s="15"/>
      <c r="Q2402" s="37" t="str">
        <f t="shared" si="4"/>
        <v/>
      </c>
      <c r="R2402" s="37" t="str">
        <f t="shared" si="5"/>
        <v/>
      </c>
      <c r="S2402" s="32" t="str">
        <f t="shared" si="6"/>
        <v/>
      </c>
      <c r="T2402" s="37" t="str">
        <f t="shared" si="7"/>
        <v/>
      </c>
      <c r="U2402" s="37" t="str">
        <f t="array" ref="U2402">IF($F2402="","",IFERROR(INDEX(Config!$F:$F,MATCH($F2402,Config!$D:$D,0)),0))</f>
        <v/>
      </c>
    </row>
    <row r="2403" ht="15.0" customHeight="1">
      <c r="A2403" s="34"/>
      <c r="B2403" s="35"/>
      <c r="C2403" s="15"/>
      <c r="D2403" s="15"/>
      <c r="E2403" s="15"/>
      <c r="F2403" s="15"/>
      <c r="G2403" s="36" t="str">
        <f t="array" ref="G2403">IF($F2403="","",IFERROR(INDEX(Config!$E:$E,MATCH($F2403,Config!$D:$D,0)),0))</f>
        <v/>
      </c>
      <c r="H2403" s="16"/>
      <c r="I2403" s="36" t="str">
        <f t="shared" si="1"/>
        <v/>
      </c>
      <c r="J2403" s="16"/>
      <c r="K2403" s="15"/>
      <c r="L2403" s="15"/>
      <c r="M2403" s="36" t="str">
        <f t="array" ref="M2403">IF($A2403="","",IF($L2403="Atendido",IFERROR($I2403*INDEX(Config!$B:$B,MATCH($C2403,Config!$A:$A,0)),0),0))</f>
        <v/>
      </c>
      <c r="N2403" s="36" t="str">
        <f t="shared" si="2"/>
        <v/>
      </c>
      <c r="O2403" s="36" t="str">
        <f t="shared" si="3"/>
        <v/>
      </c>
      <c r="P2403" s="15"/>
      <c r="Q2403" s="37" t="str">
        <f t="shared" si="4"/>
        <v/>
      </c>
      <c r="R2403" s="37" t="str">
        <f t="shared" si="5"/>
        <v/>
      </c>
      <c r="S2403" s="32" t="str">
        <f t="shared" si="6"/>
        <v/>
      </c>
      <c r="T2403" s="37" t="str">
        <f t="shared" si="7"/>
        <v/>
      </c>
      <c r="U2403" s="37" t="str">
        <f t="array" ref="U2403">IF($F2403="","",IFERROR(INDEX(Config!$F:$F,MATCH($F2403,Config!$D:$D,0)),0))</f>
        <v/>
      </c>
    </row>
    <row r="2404" ht="15.0" customHeight="1">
      <c r="A2404" s="34"/>
      <c r="B2404" s="35"/>
      <c r="C2404" s="15"/>
      <c r="D2404" s="15"/>
      <c r="E2404" s="15"/>
      <c r="F2404" s="15"/>
      <c r="G2404" s="36" t="str">
        <f t="array" ref="G2404">IF($F2404="","",IFERROR(INDEX(Config!$E:$E,MATCH($F2404,Config!$D:$D,0)),0))</f>
        <v/>
      </c>
      <c r="H2404" s="16"/>
      <c r="I2404" s="36" t="str">
        <f t="shared" si="1"/>
        <v/>
      </c>
      <c r="J2404" s="16"/>
      <c r="K2404" s="15"/>
      <c r="L2404" s="15"/>
      <c r="M2404" s="36" t="str">
        <f t="array" ref="M2404">IF($A2404="","",IF($L2404="Atendido",IFERROR($I2404*INDEX(Config!$B:$B,MATCH($C2404,Config!$A:$A,0)),0),0))</f>
        <v/>
      </c>
      <c r="N2404" s="36" t="str">
        <f t="shared" si="2"/>
        <v/>
      </c>
      <c r="O2404" s="36" t="str">
        <f t="shared" si="3"/>
        <v/>
      </c>
      <c r="P2404" s="15"/>
      <c r="Q2404" s="37" t="str">
        <f t="shared" si="4"/>
        <v/>
      </c>
      <c r="R2404" s="37" t="str">
        <f t="shared" si="5"/>
        <v/>
      </c>
      <c r="S2404" s="32" t="str">
        <f t="shared" si="6"/>
        <v/>
      </c>
      <c r="T2404" s="37" t="str">
        <f t="shared" si="7"/>
        <v/>
      </c>
      <c r="U2404" s="37" t="str">
        <f t="array" ref="U2404">IF($F2404="","",IFERROR(INDEX(Config!$F:$F,MATCH($F2404,Config!$D:$D,0)),0))</f>
        <v/>
      </c>
    </row>
    <row r="2405" ht="15.0" customHeight="1">
      <c r="A2405" s="34"/>
      <c r="B2405" s="35"/>
      <c r="C2405" s="15"/>
      <c r="D2405" s="15"/>
      <c r="E2405" s="15"/>
      <c r="F2405" s="15"/>
      <c r="G2405" s="36" t="str">
        <f t="array" ref="G2405">IF($F2405="","",IFERROR(INDEX(Config!$E:$E,MATCH($F2405,Config!$D:$D,0)),0))</f>
        <v/>
      </c>
      <c r="H2405" s="16"/>
      <c r="I2405" s="36" t="str">
        <f t="shared" si="1"/>
        <v/>
      </c>
      <c r="J2405" s="16"/>
      <c r="K2405" s="15"/>
      <c r="L2405" s="15"/>
      <c r="M2405" s="36" t="str">
        <f t="array" ref="M2405">IF($A2405="","",IF($L2405="Atendido",IFERROR($I2405*INDEX(Config!$B:$B,MATCH($C2405,Config!$A:$A,0)),0),0))</f>
        <v/>
      </c>
      <c r="N2405" s="36" t="str">
        <f t="shared" si="2"/>
        <v/>
      </c>
      <c r="O2405" s="36" t="str">
        <f t="shared" si="3"/>
        <v/>
      </c>
      <c r="P2405" s="15"/>
      <c r="Q2405" s="37" t="str">
        <f t="shared" si="4"/>
        <v/>
      </c>
      <c r="R2405" s="37" t="str">
        <f t="shared" si="5"/>
        <v/>
      </c>
      <c r="S2405" s="32" t="str">
        <f t="shared" si="6"/>
        <v/>
      </c>
      <c r="T2405" s="37" t="str">
        <f t="shared" si="7"/>
        <v/>
      </c>
      <c r="U2405" s="37" t="str">
        <f t="array" ref="U2405">IF($F2405="","",IFERROR(INDEX(Config!$F:$F,MATCH($F2405,Config!$D:$D,0)),0))</f>
        <v/>
      </c>
    </row>
    <row r="2406" ht="15.0" customHeight="1">
      <c r="A2406" s="34"/>
      <c r="B2406" s="35"/>
      <c r="C2406" s="15"/>
      <c r="D2406" s="15"/>
      <c r="E2406" s="15"/>
      <c r="F2406" s="15"/>
      <c r="G2406" s="36" t="str">
        <f t="array" ref="G2406">IF($F2406="","",IFERROR(INDEX(Config!$E:$E,MATCH($F2406,Config!$D:$D,0)),0))</f>
        <v/>
      </c>
      <c r="H2406" s="16"/>
      <c r="I2406" s="36" t="str">
        <f t="shared" si="1"/>
        <v/>
      </c>
      <c r="J2406" s="16"/>
      <c r="K2406" s="15"/>
      <c r="L2406" s="15"/>
      <c r="M2406" s="36" t="str">
        <f t="array" ref="M2406">IF($A2406="","",IF($L2406="Atendido",IFERROR($I2406*INDEX(Config!$B:$B,MATCH($C2406,Config!$A:$A,0)),0),0))</f>
        <v/>
      </c>
      <c r="N2406" s="36" t="str">
        <f t="shared" si="2"/>
        <v/>
      </c>
      <c r="O2406" s="36" t="str">
        <f t="shared" si="3"/>
        <v/>
      </c>
      <c r="P2406" s="15"/>
      <c r="Q2406" s="37" t="str">
        <f t="shared" si="4"/>
        <v/>
      </c>
      <c r="R2406" s="37" t="str">
        <f t="shared" si="5"/>
        <v/>
      </c>
      <c r="S2406" s="32" t="str">
        <f t="shared" si="6"/>
        <v/>
      </c>
      <c r="T2406" s="37" t="str">
        <f t="shared" si="7"/>
        <v/>
      </c>
      <c r="U2406" s="37" t="str">
        <f t="array" ref="U2406">IF($F2406="","",IFERROR(INDEX(Config!$F:$F,MATCH($F2406,Config!$D:$D,0)),0))</f>
        <v/>
      </c>
    </row>
    <row r="2407" ht="15.0" customHeight="1">
      <c r="A2407" s="34"/>
      <c r="B2407" s="35"/>
      <c r="C2407" s="15"/>
      <c r="D2407" s="15"/>
      <c r="E2407" s="15"/>
      <c r="F2407" s="15"/>
      <c r="G2407" s="36" t="str">
        <f t="array" ref="G2407">IF($F2407="","",IFERROR(INDEX(Config!$E:$E,MATCH($F2407,Config!$D:$D,0)),0))</f>
        <v/>
      </c>
      <c r="H2407" s="16"/>
      <c r="I2407" s="36" t="str">
        <f t="shared" si="1"/>
        <v/>
      </c>
      <c r="J2407" s="16"/>
      <c r="K2407" s="15"/>
      <c r="L2407" s="15"/>
      <c r="M2407" s="36" t="str">
        <f t="array" ref="M2407">IF($A2407="","",IF($L2407="Atendido",IFERROR($I2407*INDEX(Config!$B:$B,MATCH($C2407,Config!$A:$A,0)),0),0))</f>
        <v/>
      </c>
      <c r="N2407" s="36" t="str">
        <f t="shared" si="2"/>
        <v/>
      </c>
      <c r="O2407" s="36" t="str">
        <f t="shared" si="3"/>
        <v/>
      </c>
      <c r="P2407" s="15"/>
      <c r="Q2407" s="37" t="str">
        <f t="shared" si="4"/>
        <v/>
      </c>
      <c r="R2407" s="37" t="str">
        <f t="shared" si="5"/>
        <v/>
      </c>
      <c r="S2407" s="32" t="str">
        <f t="shared" si="6"/>
        <v/>
      </c>
      <c r="T2407" s="37" t="str">
        <f t="shared" si="7"/>
        <v/>
      </c>
      <c r="U2407" s="37" t="str">
        <f t="array" ref="U2407">IF($F2407="","",IFERROR(INDEX(Config!$F:$F,MATCH($F2407,Config!$D:$D,0)),0))</f>
        <v/>
      </c>
    </row>
    <row r="2408" ht="15.0" customHeight="1">
      <c r="A2408" s="34"/>
      <c r="B2408" s="35"/>
      <c r="C2408" s="15"/>
      <c r="D2408" s="15"/>
      <c r="E2408" s="15"/>
      <c r="F2408" s="15"/>
      <c r="G2408" s="36" t="str">
        <f t="array" ref="G2408">IF($F2408="","",IFERROR(INDEX(Config!$E:$E,MATCH($F2408,Config!$D:$D,0)),0))</f>
        <v/>
      </c>
      <c r="H2408" s="16"/>
      <c r="I2408" s="36" t="str">
        <f t="shared" si="1"/>
        <v/>
      </c>
      <c r="J2408" s="16"/>
      <c r="K2408" s="15"/>
      <c r="L2408" s="15"/>
      <c r="M2408" s="36" t="str">
        <f t="array" ref="M2408">IF($A2408="","",IF($L2408="Atendido",IFERROR($I2408*INDEX(Config!$B:$B,MATCH($C2408,Config!$A:$A,0)),0),0))</f>
        <v/>
      </c>
      <c r="N2408" s="36" t="str">
        <f t="shared" si="2"/>
        <v/>
      </c>
      <c r="O2408" s="36" t="str">
        <f t="shared" si="3"/>
        <v/>
      </c>
      <c r="P2408" s="15"/>
      <c r="Q2408" s="37" t="str">
        <f t="shared" si="4"/>
        <v/>
      </c>
      <c r="R2408" s="37" t="str">
        <f t="shared" si="5"/>
        <v/>
      </c>
      <c r="S2408" s="32" t="str">
        <f t="shared" si="6"/>
        <v/>
      </c>
      <c r="T2408" s="37" t="str">
        <f t="shared" si="7"/>
        <v/>
      </c>
      <c r="U2408" s="37" t="str">
        <f t="array" ref="U2408">IF($F2408="","",IFERROR(INDEX(Config!$F:$F,MATCH($F2408,Config!$D:$D,0)),0))</f>
        <v/>
      </c>
    </row>
    <row r="2409" ht="15.0" customHeight="1">
      <c r="A2409" s="34"/>
      <c r="B2409" s="35"/>
      <c r="C2409" s="15"/>
      <c r="D2409" s="15"/>
      <c r="E2409" s="15"/>
      <c r="F2409" s="15"/>
      <c r="G2409" s="36" t="str">
        <f t="array" ref="G2409">IF($F2409="","",IFERROR(INDEX(Config!$E:$E,MATCH($F2409,Config!$D:$D,0)),0))</f>
        <v/>
      </c>
      <c r="H2409" s="16"/>
      <c r="I2409" s="36" t="str">
        <f t="shared" si="1"/>
        <v/>
      </c>
      <c r="J2409" s="16"/>
      <c r="K2409" s="15"/>
      <c r="L2409" s="15"/>
      <c r="M2409" s="36" t="str">
        <f t="array" ref="M2409">IF($A2409="","",IF($L2409="Atendido",IFERROR($I2409*INDEX(Config!$B:$B,MATCH($C2409,Config!$A:$A,0)),0),0))</f>
        <v/>
      </c>
      <c r="N2409" s="36" t="str">
        <f t="shared" si="2"/>
        <v/>
      </c>
      <c r="O2409" s="36" t="str">
        <f t="shared" si="3"/>
        <v/>
      </c>
      <c r="P2409" s="15"/>
      <c r="Q2409" s="37" t="str">
        <f t="shared" si="4"/>
        <v/>
      </c>
      <c r="R2409" s="37" t="str">
        <f t="shared" si="5"/>
        <v/>
      </c>
      <c r="S2409" s="32" t="str">
        <f t="shared" si="6"/>
        <v/>
      </c>
      <c r="T2409" s="37" t="str">
        <f t="shared" si="7"/>
        <v/>
      </c>
      <c r="U2409" s="37" t="str">
        <f t="array" ref="U2409">IF($F2409="","",IFERROR(INDEX(Config!$F:$F,MATCH($F2409,Config!$D:$D,0)),0))</f>
        <v/>
      </c>
    </row>
    <row r="2410" ht="15.0" customHeight="1">
      <c r="A2410" s="34"/>
      <c r="B2410" s="35"/>
      <c r="C2410" s="15"/>
      <c r="D2410" s="15"/>
      <c r="E2410" s="15"/>
      <c r="F2410" s="15"/>
      <c r="G2410" s="36" t="str">
        <f t="array" ref="G2410">IF($F2410="","",IFERROR(INDEX(Config!$E:$E,MATCH($F2410,Config!$D:$D,0)),0))</f>
        <v/>
      </c>
      <c r="H2410" s="16"/>
      <c r="I2410" s="36" t="str">
        <f t="shared" si="1"/>
        <v/>
      </c>
      <c r="J2410" s="16"/>
      <c r="K2410" s="15"/>
      <c r="L2410" s="15"/>
      <c r="M2410" s="36" t="str">
        <f t="array" ref="M2410">IF($A2410="","",IF($L2410="Atendido",IFERROR($I2410*INDEX(Config!$B:$B,MATCH($C2410,Config!$A:$A,0)),0),0))</f>
        <v/>
      </c>
      <c r="N2410" s="36" t="str">
        <f t="shared" si="2"/>
        <v/>
      </c>
      <c r="O2410" s="36" t="str">
        <f t="shared" si="3"/>
        <v/>
      </c>
      <c r="P2410" s="15"/>
      <c r="Q2410" s="37" t="str">
        <f t="shared" si="4"/>
        <v/>
      </c>
      <c r="R2410" s="37" t="str">
        <f t="shared" si="5"/>
        <v/>
      </c>
      <c r="S2410" s="32" t="str">
        <f t="shared" si="6"/>
        <v/>
      </c>
      <c r="T2410" s="37" t="str">
        <f t="shared" si="7"/>
        <v/>
      </c>
      <c r="U2410" s="37" t="str">
        <f t="array" ref="U2410">IF($F2410="","",IFERROR(INDEX(Config!$F:$F,MATCH($F2410,Config!$D:$D,0)),0))</f>
        <v/>
      </c>
    </row>
    <row r="2411" ht="15.0" customHeight="1">
      <c r="A2411" s="34"/>
      <c r="B2411" s="35"/>
      <c r="C2411" s="15"/>
      <c r="D2411" s="15"/>
      <c r="E2411" s="15"/>
      <c r="F2411" s="15"/>
      <c r="G2411" s="36" t="str">
        <f t="array" ref="G2411">IF($F2411="","",IFERROR(INDEX(Config!$E:$E,MATCH($F2411,Config!$D:$D,0)),0))</f>
        <v/>
      </c>
      <c r="H2411" s="16"/>
      <c r="I2411" s="36" t="str">
        <f t="shared" si="1"/>
        <v/>
      </c>
      <c r="J2411" s="16"/>
      <c r="K2411" s="15"/>
      <c r="L2411" s="15"/>
      <c r="M2411" s="36" t="str">
        <f t="array" ref="M2411">IF($A2411="","",IF($L2411="Atendido",IFERROR($I2411*INDEX(Config!$B:$B,MATCH($C2411,Config!$A:$A,0)),0),0))</f>
        <v/>
      </c>
      <c r="N2411" s="36" t="str">
        <f t="shared" si="2"/>
        <v/>
      </c>
      <c r="O2411" s="36" t="str">
        <f t="shared" si="3"/>
        <v/>
      </c>
      <c r="P2411" s="15"/>
      <c r="Q2411" s="37" t="str">
        <f t="shared" si="4"/>
        <v/>
      </c>
      <c r="R2411" s="37" t="str">
        <f t="shared" si="5"/>
        <v/>
      </c>
      <c r="S2411" s="32" t="str">
        <f t="shared" si="6"/>
        <v/>
      </c>
      <c r="T2411" s="37" t="str">
        <f t="shared" si="7"/>
        <v/>
      </c>
      <c r="U2411" s="37" t="str">
        <f t="array" ref="U2411">IF($F2411="","",IFERROR(INDEX(Config!$F:$F,MATCH($F2411,Config!$D:$D,0)),0))</f>
        <v/>
      </c>
    </row>
    <row r="2412" ht="15.0" customHeight="1">
      <c r="A2412" s="34"/>
      <c r="B2412" s="35"/>
      <c r="C2412" s="15"/>
      <c r="D2412" s="15"/>
      <c r="E2412" s="15"/>
      <c r="F2412" s="15"/>
      <c r="G2412" s="36" t="str">
        <f t="array" ref="G2412">IF($F2412="","",IFERROR(INDEX(Config!$E:$E,MATCH($F2412,Config!$D:$D,0)),0))</f>
        <v/>
      </c>
      <c r="H2412" s="16"/>
      <c r="I2412" s="36" t="str">
        <f t="shared" si="1"/>
        <v/>
      </c>
      <c r="J2412" s="16"/>
      <c r="K2412" s="15"/>
      <c r="L2412" s="15"/>
      <c r="M2412" s="36" t="str">
        <f t="array" ref="M2412">IF($A2412="","",IF($L2412="Atendido",IFERROR($I2412*INDEX(Config!$B:$B,MATCH($C2412,Config!$A:$A,0)),0),0))</f>
        <v/>
      </c>
      <c r="N2412" s="36" t="str">
        <f t="shared" si="2"/>
        <v/>
      </c>
      <c r="O2412" s="36" t="str">
        <f t="shared" si="3"/>
        <v/>
      </c>
      <c r="P2412" s="15"/>
      <c r="Q2412" s="37" t="str">
        <f t="shared" si="4"/>
        <v/>
      </c>
      <c r="R2412" s="37" t="str">
        <f t="shared" si="5"/>
        <v/>
      </c>
      <c r="S2412" s="32" t="str">
        <f t="shared" si="6"/>
        <v/>
      </c>
      <c r="T2412" s="37" t="str">
        <f t="shared" si="7"/>
        <v/>
      </c>
      <c r="U2412" s="37" t="str">
        <f t="array" ref="U2412">IF($F2412="","",IFERROR(INDEX(Config!$F:$F,MATCH($F2412,Config!$D:$D,0)),0))</f>
        <v/>
      </c>
    </row>
    <row r="2413" ht="15.0" customHeight="1">
      <c r="A2413" s="34"/>
      <c r="B2413" s="35"/>
      <c r="C2413" s="15"/>
      <c r="D2413" s="15"/>
      <c r="E2413" s="15"/>
      <c r="F2413" s="15"/>
      <c r="G2413" s="36" t="str">
        <f t="array" ref="G2413">IF($F2413="","",IFERROR(INDEX(Config!$E:$E,MATCH($F2413,Config!$D:$D,0)),0))</f>
        <v/>
      </c>
      <c r="H2413" s="16"/>
      <c r="I2413" s="36" t="str">
        <f t="shared" si="1"/>
        <v/>
      </c>
      <c r="J2413" s="16"/>
      <c r="K2413" s="15"/>
      <c r="L2413" s="15"/>
      <c r="M2413" s="36" t="str">
        <f t="array" ref="M2413">IF($A2413="","",IF($L2413="Atendido",IFERROR($I2413*INDEX(Config!$B:$B,MATCH($C2413,Config!$A:$A,0)),0),0))</f>
        <v/>
      </c>
      <c r="N2413" s="36" t="str">
        <f t="shared" si="2"/>
        <v/>
      </c>
      <c r="O2413" s="36" t="str">
        <f t="shared" si="3"/>
        <v/>
      </c>
      <c r="P2413" s="15"/>
      <c r="Q2413" s="37" t="str">
        <f t="shared" si="4"/>
        <v/>
      </c>
      <c r="R2413" s="37" t="str">
        <f t="shared" si="5"/>
        <v/>
      </c>
      <c r="S2413" s="32" t="str">
        <f t="shared" si="6"/>
        <v/>
      </c>
      <c r="T2413" s="37" t="str">
        <f t="shared" si="7"/>
        <v/>
      </c>
      <c r="U2413" s="37" t="str">
        <f t="array" ref="U2413">IF($F2413="","",IFERROR(INDEX(Config!$F:$F,MATCH($F2413,Config!$D:$D,0)),0))</f>
        <v/>
      </c>
    </row>
    <row r="2414" ht="15.0" customHeight="1">
      <c r="A2414" s="34"/>
      <c r="B2414" s="35"/>
      <c r="C2414" s="15"/>
      <c r="D2414" s="15"/>
      <c r="E2414" s="15"/>
      <c r="F2414" s="15"/>
      <c r="G2414" s="36" t="str">
        <f t="array" ref="G2414">IF($F2414="","",IFERROR(INDEX(Config!$E:$E,MATCH($F2414,Config!$D:$D,0)),0))</f>
        <v/>
      </c>
      <c r="H2414" s="16"/>
      <c r="I2414" s="36" t="str">
        <f t="shared" si="1"/>
        <v/>
      </c>
      <c r="J2414" s="16"/>
      <c r="K2414" s="15"/>
      <c r="L2414" s="15"/>
      <c r="M2414" s="36" t="str">
        <f t="array" ref="M2414">IF($A2414="","",IF($L2414="Atendido",IFERROR($I2414*INDEX(Config!$B:$B,MATCH($C2414,Config!$A:$A,0)),0),0))</f>
        <v/>
      </c>
      <c r="N2414" s="36" t="str">
        <f t="shared" si="2"/>
        <v/>
      </c>
      <c r="O2414" s="36" t="str">
        <f t="shared" si="3"/>
        <v/>
      </c>
      <c r="P2414" s="15"/>
      <c r="Q2414" s="37" t="str">
        <f t="shared" si="4"/>
        <v/>
      </c>
      <c r="R2414" s="37" t="str">
        <f t="shared" si="5"/>
        <v/>
      </c>
      <c r="S2414" s="32" t="str">
        <f t="shared" si="6"/>
        <v/>
      </c>
      <c r="T2414" s="37" t="str">
        <f t="shared" si="7"/>
        <v/>
      </c>
      <c r="U2414" s="37" t="str">
        <f t="array" ref="U2414">IF($F2414="","",IFERROR(INDEX(Config!$F:$F,MATCH($F2414,Config!$D:$D,0)),0))</f>
        <v/>
      </c>
    </row>
    <row r="2415" ht="15.0" customHeight="1">
      <c r="A2415" s="34"/>
      <c r="B2415" s="35"/>
      <c r="C2415" s="15"/>
      <c r="D2415" s="15"/>
      <c r="E2415" s="15"/>
      <c r="F2415" s="15"/>
      <c r="G2415" s="36" t="str">
        <f t="array" ref="G2415">IF($F2415="","",IFERROR(INDEX(Config!$E:$E,MATCH($F2415,Config!$D:$D,0)),0))</f>
        <v/>
      </c>
      <c r="H2415" s="16"/>
      <c r="I2415" s="36" t="str">
        <f t="shared" si="1"/>
        <v/>
      </c>
      <c r="J2415" s="16"/>
      <c r="K2415" s="15"/>
      <c r="L2415" s="15"/>
      <c r="M2415" s="36" t="str">
        <f t="array" ref="M2415">IF($A2415="","",IF($L2415="Atendido",IFERROR($I2415*INDEX(Config!$B:$B,MATCH($C2415,Config!$A:$A,0)),0),0))</f>
        <v/>
      </c>
      <c r="N2415" s="36" t="str">
        <f t="shared" si="2"/>
        <v/>
      </c>
      <c r="O2415" s="36" t="str">
        <f t="shared" si="3"/>
        <v/>
      </c>
      <c r="P2415" s="15"/>
      <c r="Q2415" s="37" t="str">
        <f t="shared" si="4"/>
        <v/>
      </c>
      <c r="R2415" s="37" t="str">
        <f t="shared" si="5"/>
        <v/>
      </c>
      <c r="S2415" s="32" t="str">
        <f t="shared" si="6"/>
        <v/>
      </c>
      <c r="T2415" s="37" t="str">
        <f t="shared" si="7"/>
        <v/>
      </c>
      <c r="U2415" s="37" t="str">
        <f t="array" ref="U2415">IF($F2415="","",IFERROR(INDEX(Config!$F:$F,MATCH($F2415,Config!$D:$D,0)),0))</f>
        <v/>
      </c>
    </row>
    <row r="2416" ht="15.0" customHeight="1">
      <c r="A2416" s="34"/>
      <c r="B2416" s="35"/>
      <c r="C2416" s="15"/>
      <c r="D2416" s="15"/>
      <c r="E2416" s="15"/>
      <c r="F2416" s="15"/>
      <c r="G2416" s="36" t="str">
        <f t="array" ref="G2416">IF($F2416="","",IFERROR(INDEX(Config!$E:$E,MATCH($F2416,Config!$D:$D,0)),0))</f>
        <v/>
      </c>
      <c r="H2416" s="16"/>
      <c r="I2416" s="36" t="str">
        <f t="shared" si="1"/>
        <v/>
      </c>
      <c r="J2416" s="16"/>
      <c r="K2416" s="15"/>
      <c r="L2416" s="15"/>
      <c r="M2416" s="36" t="str">
        <f t="array" ref="M2416">IF($A2416="","",IF($L2416="Atendido",IFERROR($I2416*INDEX(Config!$B:$B,MATCH($C2416,Config!$A:$A,0)),0),0))</f>
        <v/>
      </c>
      <c r="N2416" s="36" t="str">
        <f t="shared" si="2"/>
        <v/>
      </c>
      <c r="O2416" s="36" t="str">
        <f t="shared" si="3"/>
        <v/>
      </c>
      <c r="P2416" s="15"/>
      <c r="Q2416" s="37" t="str">
        <f t="shared" si="4"/>
        <v/>
      </c>
      <c r="R2416" s="37" t="str">
        <f t="shared" si="5"/>
        <v/>
      </c>
      <c r="S2416" s="32" t="str">
        <f t="shared" si="6"/>
        <v/>
      </c>
      <c r="T2416" s="37" t="str">
        <f t="shared" si="7"/>
        <v/>
      </c>
      <c r="U2416" s="37" t="str">
        <f t="array" ref="U2416">IF($F2416="","",IFERROR(INDEX(Config!$F:$F,MATCH($F2416,Config!$D:$D,0)),0))</f>
        <v/>
      </c>
    </row>
    <row r="2417" ht="15.0" customHeight="1">
      <c r="A2417" s="34"/>
      <c r="B2417" s="35"/>
      <c r="C2417" s="15"/>
      <c r="D2417" s="15"/>
      <c r="E2417" s="15"/>
      <c r="F2417" s="15"/>
      <c r="G2417" s="36" t="str">
        <f t="array" ref="G2417">IF($F2417="","",IFERROR(INDEX(Config!$E:$E,MATCH($F2417,Config!$D:$D,0)),0))</f>
        <v/>
      </c>
      <c r="H2417" s="16"/>
      <c r="I2417" s="36" t="str">
        <f t="shared" si="1"/>
        <v/>
      </c>
      <c r="J2417" s="16"/>
      <c r="K2417" s="15"/>
      <c r="L2417" s="15"/>
      <c r="M2417" s="36" t="str">
        <f t="array" ref="M2417">IF($A2417="","",IF($L2417="Atendido",IFERROR($I2417*INDEX(Config!$B:$B,MATCH($C2417,Config!$A:$A,0)),0),0))</f>
        <v/>
      </c>
      <c r="N2417" s="36" t="str">
        <f t="shared" si="2"/>
        <v/>
      </c>
      <c r="O2417" s="36" t="str">
        <f t="shared" si="3"/>
        <v/>
      </c>
      <c r="P2417" s="15"/>
      <c r="Q2417" s="37" t="str">
        <f t="shared" si="4"/>
        <v/>
      </c>
      <c r="R2417" s="37" t="str">
        <f t="shared" si="5"/>
        <v/>
      </c>
      <c r="S2417" s="32" t="str">
        <f t="shared" si="6"/>
        <v/>
      </c>
      <c r="T2417" s="37" t="str">
        <f t="shared" si="7"/>
        <v/>
      </c>
      <c r="U2417" s="37" t="str">
        <f t="array" ref="U2417">IF($F2417="","",IFERROR(INDEX(Config!$F:$F,MATCH($F2417,Config!$D:$D,0)),0))</f>
        <v/>
      </c>
    </row>
    <row r="2418" ht="15.0" customHeight="1">
      <c r="A2418" s="34"/>
      <c r="B2418" s="35"/>
      <c r="C2418" s="15"/>
      <c r="D2418" s="15"/>
      <c r="E2418" s="15"/>
      <c r="F2418" s="15"/>
      <c r="G2418" s="36" t="str">
        <f t="array" ref="G2418">IF($F2418="","",IFERROR(INDEX(Config!$E:$E,MATCH($F2418,Config!$D:$D,0)),0))</f>
        <v/>
      </c>
      <c r="H2418" s="16"/>
      <c r="I2418" s="36" t="str">
        <f t="shared" si="1"/>
        <v/>
      </c>
      <c r="J2418" s="16"/>
      <c r="K2418" s="15"/>
      <c r="L2418" s="15"/>
      <c r="M2418" s="36" t="str">
        <f t="array" ref="M2418">IF($A2418="","",IF($L2418="Atendido",IFERROR($I2418*INDEX(Config!$B:$B,MATCH($C2418,Config!$A:$A,0)),0),0))</f>
        <v/>
      </c>
      <c r="N2418" s="36" t="str">
        <f t="shared" si="2"/>
        <v/>
      </c>
      <c r="O2418" s="36" t="str">
        <f t="shared" si="3"/>
        <v/>
      </c>
      <c r="P2418" s="15"/>
      <c r="Q2418" s="37" t="str">
        <f t="shared" si="4"/>
        <v/>
      </c>
      <c r="R2418" s="37" t="str">
        <f t="shared" si="5"/>
        <v/>
      </c>
      <c r="S2418" s="32" t="str">
        <f t="shared" si="6"/>
        <v/>
      </c>
      <c r="T2418" s="37" t="str">
        <f t="shared" si="7"/>
        <v/>
      </c>
      <c r="U2418" s="37" t="str">
        <f t="array" ref="U2418">IF($F2418="","",IFERROR(INDEX(Config!$F:$F,MATCH($F2418,Config!$D:$D,0)),0))</f>
        <v/>
      </c>
    </row>
    <row r="2419" ht="15.0" customHeight="1">
      <c r="A2419" s="34"/>
      <c r="B2419" s="35"/>
      <c r="C2419" s="15"/>
      <c r="D2419" s="15"/>
      <c r="E2419" s="15"/>
      <c r="F2419" s="15"/>
      <c r="G2419" s="36" t="str">
        <f t="array" ref="G2419">IF($F2419="","",IFERROR(INDEX(Config!$E:$E,MATCH($F2419,Config!$D:$D,0)),0))</f>
        <v/>
      </c>
      <c r="H2419" s="16"/>
      <c r="I2419" s="36" t="str">
        <f t="shared" si="1"/>
        <v/>
      </c>
      <c r="J2419" s="16"/>
      <c r="K2419" s="15"/>
      <c r="L2419" s="15"/>
      <c r="M2419" s="36" t="str">
        <f t="array" ref="M2419">IF($A2419="","",IF($L2419="Atendido",IFERROR($I2419*INDEX(Config!$B:$B,MATCH($C2419,Config!$A:$A,0)),0),0))</f>
        <v/>
      </c>
      <c r="N2419" s="36" t="str">
        <f t="shared" si="2"/>
        <v/>
      </c>
      <c r="O2419" s="36" t="str">
        <f t="shared" si="3"/>
        <v/>
      </c>
      <c r="P2419" s="15"/>
      <c r="Q2419" s="37" t="str">
        <f t="shared" si="4"/>
        <v/>
      </c>
      <c r="R2419" s="37" t="str">
        <f t="shared" si="5"/>
        <v/>
      </c>
      <c r="S2419" s="32" t="str">
        <f t="shared" si="6"/>
        <v/>
      </c>
      <c r="T2419" s="37" t="str">
        <f t="shared" si="7"/>
        <v/>
      </c>
      <c r="U2419" s="37" t="str">
        <f t="array" ref="U2419">IF($F2419="","",IFERROR(INDEX(Config!$F:$F,MATCH($F2419,Config!$D:$D,0)),0))</f>
        <v/>
      </c>
    </row>
    <row r="2420" ht="15.0" customHeight="1">
      <c r="A2420" s="34"/>
      <c r="B2420" s="35"/>
      <c r="C2420" s="15"/>
      <c r="D2420" s="15"/>
      <c r="E2420" s="15"/>
      <c r="F2420" s="15"/>
      <c r="G2420" s="36" t="str">
        <f t="array" ref="G2420">IF($F2420="","",IFERROR(INDEX(Config!$E:$E,MATCH($F2420,Config!$D:$D,0)),0))</f>
        <v/>
      </c>
      <c r="H2420" s="16"/>
      <c r="I2420" s="36" t="str">
        <f t="shared" si="1"/>
        <v/>
      </c>
      <c r="J2420" s="16"/>
      <c r="K2420" s="15"/>
      <c r="L2420" s="15"/>
      <c r="M2420" s="36" t="str">
        <f t="array" ref="M2420">IF($A2420="","",IF($L2420="Atendido",IFERROR($I2420*INDEX(Config!$B:$B,MATCH($C2420,Config!$A:$A,0)),0),0))</f>
        <v/>
      </c>
      <c r="N2420" s="36" t="str">
        <f t="shared" si="2"/>
        <v/>
      </c>
      <c r="O2420" s="36" t="str">
        <f t="shared" si="3"/>
        <v/>
      </c>
      <c r="P2420" s="15"/>
      <c r="Q2420" s="37" t="str">
        <f t="shared" si="4"/>
        <v/>
      </c>
      <c r="R2420" s="37" t="str">
        <f t="shared" si="5"/>
        <v/>
      </c>
      <c r="S2420" s="32" t="str">
        <f t="shared" si="6"/>
        <v/>
      </c>
      <c r="T2420" s="37" t="str">
        <f t="shared" si="7"/>
        <v/>
      </c>
      <c r="U2420" s="37" t="str">
        <f t="array" ref="U2420">IF($F2420="","",IFERROR(INDEX(Config!$F:$F,MATCH($F2420,Config!$D:$D,0)),0))</f>
        <v/>
      </c>
    </row>
    <row r="2421" ht="15.0" customHeight="1">
      <c r="A2421" s="34"/>
      <c r="B2421" s="35"/>
      <c r="C2421" s="15"/>
      <c r="D2421" s="15"/>
      <c r="E2421" s="15"/>
      <c r="F2421" s="15"/>
      <c r="G2421" s="36" t="str">
        <f t="array" ref="G2421">IF($F2421="","",IFERROR(INDEX(Config!$E:$E,MATCH($F2421,Config!$D:$D,0)),0))</f>
        <v/>
      </c>
      <c r="H2421" s="16"/>
      <c r="I2421" s="36" t="str">
        <f t="shared" si="1"/>
        <v/>
      </c>
      <c r="J2421" s="16"/>
      <c r="K2421" s="15"/>
      <c r="L2421" s="15"/>
      <c r="M2421" s="36" t="str">
        <f t="array" ref="M2421">IF($A2421="","",IF($L2421="Atendido",IFERROR($I2421*INDEX(Config!$B:$B,MATCH($C2421,Config!$A:$A,0)),0),0))</f>
        <v/>
      </c>
      <c r="N2421" s="36" t="str">
        <f t="shared" si="2"/>
        <v/>
      </c>
      <c r="O2421" s="36" t="str">
        <f t="shared" si="3"/>
        <v/>
      </c>
      <c r="P2421" s="15"/>
      <c r="Q2421" s="37" t="str">
        <f t="shared" si="4"/>
        <v/>
      </c>
      <c r="R2421" s="37" t="str">
        <f t="shared" si="5"/>
        <v/>
      </c>
      <c r="S2421" s="32" t="str">
        <f t="shared" si="6"/>
        <v/>
      </c>
      <c r="T2421" s="37" t="str">
        <f t="shared" si="7"/>
        <v/>
      </c>
      <c r="U2421" s="37" t="str">
        <f t="array" ref="U2421">IF($F2421="","",IFERROR(INDEX(Config!$F:$F,MATCH($F2421,Config!$D:$D,0)),0))</f>
        <v/>
      </c>
    </row>
    <row r="2422" ht="15.0" customHeight="1">
      <c r="A2422" s="34"/>
      <c r="B2422" s="35"/>
      <c r="C2422" s="15"/>
      <c r="D2422" s="15"/>
      <c r="E2422" s="15"/>
      <c r="F2422" s="15"/>
      <c r="G2422" s="36" t="str">
        <f t="array" ref="G2422">IF($F2422="","",IFERROR(INDEX(Config!$E:$E,MATCH($F2422,Config!$D:$D,0)),0))</f>
        <v/>
      </c>
      <c r="H2422" s="16"/>
      <c r="I2422" s="36" t="str">
        <f t="shared" si="1"/>
        <v/>
      </c>
      <c r="J2422" s="16"/>
      <c r="K2422" s="15"/>
      <c r="L2422" s="15"/>
      <c r="M2422" s="36" t="str">
        <f t="array" ref="M2422">IF($A2422="","",IF($L2422="Atendido",IFERROR($I2422*INDEX(Config!$B:$B,MATCH($C2422,Config!$A:$A,0)),0),0))</f>
        <v/>
      </c>
      <c r="N2422" s="36" t="str">
        <f t="shared" si="2"/>
        <v/>
      </c>
      <c r="O2422" s="36" t="str">
        <f t="shared" si="3"/>
        <v/>
      </c>
      <c r="P2422" s="15"/>
      <c r="Q2422" s="37" t="str">
        <f t="shared" si="4"/>
        <v/>
      </c>
      <c r="R2422" s="37" t="str">
        <f t="shared" si="5"/>
        <v/>
      </c>
      <c r="S2422" s="32" t="str">
        <f t="shared" si="6"/>
        <v/>
      </c>
      <c r="T2422" s="37" t="str">
        <f t="shared" si="7"/>
        <v/>
      </c>
      <c r="U2422" s="37" t="str">
        <f t="array" ref="U2422">IF($F2422="","",IFERROR(INDEX(Config!$F:$F,MATCH($F2422,Config!$D:$D,0)),0))</f>
        <v/>
      </c>
    </row>
    <row r="2423" ht="15.0" customHeight="1">
      <c r="A2423" s="34"/>
      <c r="B2423" s="35"/>
      <c r="C2423" s="15"/>
      <c r="D2423" s="15"/>
      <c r="E2423" s="15"/>
      <c r="F2423" s="15"/>
      <c r="G2423" s="36" t="str">
        <f t="array" ref="G2423">IF($F2423="","",IFERROR(INDEX(Config!$E:$E,MATCH($F2423,Config!$D:$D,0)),0))</f>
        <v/>
      </c>
      <c r="H2423" s="16"/>
      <c r="I2423" s="36" t="str">
        <f t="shared" si="1"/>
        <v/>
      </c>
      <c r="J2423" s="16"/>
      <c r="K2423" s="15"/>
      <c r="L2423" s="15"/>
      <c r="M2423" s="36" t="str">
        <f t="array" ref="M2423">IF($A2423="","",IF($L2423="Atendido",IFERROR($I2423*INDEX(Config!$B:$B,MATCH($C2423,Config!$A:$A,0)),0),0))</f>
        <v/>
      </c>
      <c r="N2423" s="36" t="str">
        <f t="shared" si="2"/>
        <v/>
      </c>
      <c r="O2423" s="36" t="str">
        <f t="shared" si="3"/>
        <v/>
      </c>
      <c r="P2423" s="15"/>
      <c r="Q2423" s="37" t="str">
        <f t="shared" si="4"/>
        <v/>
      </c>
      <c r="R2423" s="37" t="str">
        <f t="shared" si="5"/>
        <v/>
      </c>
      <c r="S2423" s="32" t="str">
        <f t="shared" si="6"/>
        <v/>
      </c>
      <c r="T2423" s="37" t="str">
        <f t="shared" si="7"/>
        <v/>
      </c>
      <c r="U2423" s="37" t="str">
        <f t="array" ref="U2423">IF($F2423="","",IFERROR(INDEX(Config!$F:$F,MATCH($F2423,Config!$D:$D,0)),0))</f>
        <v/>
      </c>
    </row>
    <row r="2424" ht="15.0" customHeight="1">
      <c r="A2424" s="34"/>
      <c r="B2424" s="35"/>
      <c r="C2424" s="15"/>
      <c r="D2424" s="15"/>
      <c r="E2424" s="15"/>
      <c r="F2424" s="15"/>
      <c r="G2424" s="36" t="str">
        <f t="array" ref="G2424">IF($F2424="","",IFERROR(INDEX(Config!$E:$E,MATCH($F2424,Config!$D:$D,0)),0))</f>
        <v/>
      </c>
      <c r="H2424" s="16"/>
      <c r="I2424" s="36" t="str">
        <f t="shared" si="1"/>
        <v/>
      </c>
      <c r="J2424" s="16"/>
      <c r="K2424" s="15"/>
      <c r="L2424" s="15"/>
      <c r="M2424" s="36" t="str">
        <f t="array" ref="M2424">IF($A2424="","",IF($L2424="Atendido",IFERROR($I2424*INDEX(Config!$B:$B,MATCH($C2424,Config!$A:$A,0)),0),0))</f>
        <v/>
      </c>
      <c r="N2424" s="36" t="str">
        <f t="shared" si="2"/>
        <v/>
      </c>
      <c r="O2424" s="36" t="str">
        <f t="shared" si="3"/>
        <v/>
      </c>
      <c r="P2424" s="15"/>
      <c r="Q2424" s="37" t="str">
        <f t="shared" si="4"/>
        <v/>
      </c>
      <c r="R2424" s="37" t="str">
        <f t="shared" si="5"/>
        <v/>
      </c>
      <c r="S2424" s="32" t="str">
        <f t="shared" si="6"/>
        <v/>
      </c>
      <c r="T2424" s="37" t="str">
        <f t="shared" si="7"/>
        <v/>
      </c>
      <c r="U2424" s="37" t="str">
        <f t="array" ref="U2424">IF($F2424="","",IFERROR(INDEX(Config!$F:$F,MATCH($F2424,Config!$D:$D,0)),0))</f>
        <v/>
      </c>
    </row>
    <row r="2425" ht="15.0" customHeight="1">
      <c r="A2425" s="34"/>
      <c r="B2425" s="35"/>
      <c r="C2425" s="15"/>
      <c r="D2425" s="15"/>
      <c r="E2425" s="15"/>
      <c r="F2425" s="15"/>
      <c r="G2425" s="36" t="str">
        <f t="array" ref="G2425">IF($F2425="","",IFERROR(INDEX(Config!$E:$E,MATCH($F2425,Config!$D:$D,0)),0))</f>
        <v/>
      </c>
      <c r="H2425" s="16"/>
      <c r="I2425" s="36" t="str">
        <f t="shared" si="1"/>
        <v/>
      </c>
      <c r="J2425" s="16"/>
      <c r="K2425" s="15"/>
      <c r="L2425" s="15"/>
      <c r="M2425" s="36" t="str">
        <f t="array" ref="M2425">IF($A2425="","",IF($L2425="Atendido",IFERROR($I2425*INDEX(Config!$B:$B,MATCH($C2425,Config!$A:$A,0)),0),0))</f>
        <v/>
      </c>
      <c r="N2425" s="36" t="str">
        <f t="shared" si="2"/>
        <v/>
      </c>
      <c r="O2425" s="36" t="str">
        <f t="shared" si="3"/>
        <v/>
      </c>
      <c r="P2425" s="15"/>
      <c r="Q2425" s="37" t="str">
        <f t="shared" si="4"/>
        <v/>
      </c>
      <c r="R2425" s="37" t="str">
        <f t="shared" si="5"/>
        <v/>
      </c>
      <c r="S2425" s="32" t="str">
        <f t="shared" si="6"/>
        <v/>
      </c>
      <c r="T2425" s="37" t="str">
        <f t="shared" si="7"/>
        <v/>
      </c>
      <c r="U2425" s="37" t="str">
        <f t="array" ref="U2425">IF($F2425="","",IFERROR(INDEX(Config!$F:$F,MATCH($F2425,Config!$D:$D,0)),0))</f>
        <v/>
      </c>
    </row>
    <row r="2426" ht="15.0" customHeight="1">
      <c r="A2426" s="34"/>
      <c r="B2426" s="35"/>
      <c r="C2426" s="15"/>
      <c r="D2426" s="15"/>
      <c r="E2426" s="15"/>
      <c r="F2426" s="15"/>
      <c r="G2426" s="36" t="str">
        <f t="array" ref="G2426">IF($F2426="","",IFERROR(INDEX(Config!$E:$E,MATCH($F2426,Config!$D:$D,0)),0))</f>
        <v/>
      </c>
      <c r="H2426" s="16"/>
      <c r="I2426" s="36" t="str">
        <f t="shared" si="1"/>
        <v/>
      </c>
      <c r="J2426" s="16"/>
      <c r="K2426" s="15"/>
      <c r="L2426" s="15"/>
      <c r="M2426" s="36" t="str">
        <f t="array" ref="M2426">IF($A2426="","",IF($L2426="Atendido",IFERROR($I2426*INDEX(Config!$B:$B,MATCH($C2426,Config!$A:$A,0)),0),0))</f>
        <v/>
      </c>
      <c r="N2426" s="36" t="str">
        <f t="shared" si="2"/>
        <v/>
      </c>
      <c r="O2426" s="36" t="str">
        <f t="shared" si="3"/>
        <v/>
      </c>
      <c r="P2426" s="15"/>
      <c r="Q2426" s="37" t="str">
        <f t="shared" si="4"/>
        <v/>
      </c>
      <c r="R2426" s="37" t="str">
        <f t="shared" si="5"/>
        <v/>
      </c>
      <c r="S2426" s="32" t="str">
        <f t="shared" si="6"/>
        <v/>
      </c>
      <c r="T2426" s="37" t="str">
        <f t="shared" si="7"/>
        <v/>
      </c>
      <c r="U2426" s="37" t="str">
        <f t="array" ref="U2426">IF($F2426="","",IFERROR(INDEX(Config!$F:$F,MATCH($F2426,Config!$D:$D,0)),0))</f>
        <v/>
      </c>
    </row>
    <row r="2427" ht="15.0" customHeight="1">
      <c r="A2427" s="34"/>
      <c r="B2427" s="35"/>
      <c r="C2427" s="15"/>
      <c r="D2427" s="15"/>
      <c r="E2427" s="15"/>
      <c r="F2427" s="15"/>
      <c r="G2427" s="36" t="str">
        <f t="array" ref="G2427">IF($F2427="","",IFERROR(INDEX(Config!$E:$E,MATCH($F2427,Config!$D:$D,0)),0))</f>
        <v/>
      </c>
      <c r="H2427" s="16"/>
      <c r="I2427" s="36" t="str">
        <f t="shared" si="1"/>
        <v/>
      </c>
      <c r="J2427" s="16"/>
      <c r="K2427" s="15"/>
      <c r="L2427" s="15"/>
      <c r="M2427" s="36" t="str">
        <f t="array" ref="M2427">IF($A2427="","",IF($L2427="Atendido",IFERROR($I2427*INDEX(Config!$B:$B,MATCH($C2427,Config!$A:$A,0)),0),0))</f>
        <v/>
      </c>
      <c r="N2427" s="36" t="str">
        <f t="shared" si="2"/>
        <v/>
      </c>
      <c r="O2427" s="36" t="str">
        <f t="shared" si="3"/>
        <v/>
      </c>
      <c r="P2427" s="15"/>
      <c r="Q2427" s="37" t="str">
        <f t="shared" si="4"/>
        <v/>
      </c>
      <c r="R2427" s="37" t="str">
        <f t="shared" si="5"/>
        <v/>
      </c>
      <c r="S2427" s="32" t="str">
        <f t="shared" si="6"/>
        <v/>
      </c>
      <c r="T2427" s="37" t="str">
        <f t="shared" si="7"/>
        <v/>
      </c>
      <c r="U2427" s="37" t="str">
        <f t="array" ref="U2427">IF($F2427="","",IFERROR(INDEX(Config!$F:$F,MATCH($F2427,Config!$D:$D,0)),0))</f>
        <v/>
      </c>
    </row>
    <row r="2428" ht="15.0" customHeight="1">
      <c r="A2428" s="34"/>
      <c r="B2428" s="35"/>
      <c r="C2428" s="15"/>
      <c r="D2428" s="15"/>
      <c r="E2428" s="15"/>
      <c r="F2428" s="15"/>
      <c r="G2428" s="36" t="str">
        <f t="array" ref="G2428">IF($F2428="","",IFERROR(INDEX(Config!$E:$E,MATCH($F2428,Config!$D:$D,0)),0))</f>
        <v/>
      </c>
      <c r="H2428" s="16"/>
      <c r="I2428" s="36" t="str">
        <f t="shared" si="1"/>
        <v/>
      </c>
      <c r="J2428" s="16"/>
      <c r="K2428" s="15"/>
      <c r="L2428" s="15"/>
      <c r="M2428" s="36" t="str">
        <f t="array" ref="M2428">IF($A2428="","",IF($L2428="Atendido",IFERROR($I2428*INDEX(Config!$B:$B,MATCH($C2428,Config!$A:$A,0)),0),0))</f>
        <v/>
      </c>
      <c r="N2428" s="36" t="str">
        <f t="shared" si="2"/>
        <v/>
      </c>
      <c r="O2428" s="36" t="str">
        <f t="shared" si="3"/>
        <v/>
      </c>
      <c r="P2428" s="15"/>
      <c r="Q2428" s="37" t="str">
        <f t="shared" si="4"/>
        <v/>
      </c>
      <c r="R2428" s="37" t="str">
        <f t="shared" si="5"/>
        <v/>
      </c>
      <c r="S2428" s="32" t="str">
        <f t="shared" si="6"/>
        <v/>
      </c>
      <c r="T2428" s="37" t="str">
        <f t="shared" si="7"/>
        <v/>
      </c>
      <c r="U2428" s="37" t="str">
        <f t="array" ref="U2428">IF($F2428="","",IFERROR(INDEX(Config!$F:$F,MATCH($F2428,Config!$D:$D,0)),0))</f>
        <v/>
      </c>
    </row>
    <row r="2429" ht="15.0" customHeight="1">
      <c r="A2429" s="34"/>
      <c r="B2429" s="35"/>
      <c r="C2429" s="15"/>
      <c r="D2429" s="15"/>
      <c r="E2429" s="15"/>
      <c r="F2429" s="15"/>
      <c r="G2429" s="36" t="str">
        <f t="array" ref="G2429">IF($F2429="","",IFERROR(INDEX(Config!$E:$E,MATCH($F2429,Config!$D:$D,0)),0))</f>
        <v/>
      </c>
      <c r="H2429" s="16"/>
      <c r="I2429" s="36" t="str">
        <f t="shared" si="1"/>
        <v/>
      </c>
      <c r="J2429" s="16"/>
      <c r="K2429" s="15"/>
      <c r="L2429" s="15"/>
      <c r="M2429" s="36" t="str">
        <f t="array" ref="M2429">IF($A2429="","",IF($L2429="Atendido",IFERROR($I2429*INDEX(Config!$B:$B,MATCH($C2429,Config!$A:$A,0)),0),0))</f>
        <v/>
      </c>
      <c r="N2429" s="36" t="str">
        <f t="shared" si="2"/>
        <v/>
      </c>
      <c r="O2429" s="36" t="str">
        <f t="shared" si="3"/>
        <v/>
      </c>
      <c r="P2429" s="15"/>
      <c r="Q2429" s="37" t="str">
        <f t="shared" si="4"/>
        <v/>
      </c>
      <c r="R2429" s="37" t="str">
        <f t="shared" si="5"/>
        <v/>
      </c>
      <c r="S2429" s="32" t="str">
        <f t="shared" si="6"/>
        <v/>
      </c>
      <c r="T2429" s="37" t="str">
        <f t="shared" si="7"/>
        <v/>
      </c>
      <c r="U2429" s="37" t="str">
        <f t="array" ref="U2429">IF($F2429="","",IFERROR(INDEX(Config!$F:$F,MATCH($F2429,Config!$D:$D,0)),0))</f>
        <v/>
      </c>
    </row>
    <row r="2430" ht="15.0" customHeight="1">
      <c r="A2430" s="34"/>
      <c r="B2430" s="35"/>
      <c r="C2430" s="15"/>
      <c r="D2430" s="15"/>
      <c r="E2430" s="15"/>
      <c r="F2430" s="15"/>
      <c r="G2430" s="36" t="str">
        <f t="array" ref="G2430">IF($F2430="","",IFERROR(INDEX(Config!$E:$E,MATCH($F2430,Config!$D:$D,0)),0))</f>
        <v/>
      </c>
      <c r="H2430" s="16"/>
      <c r="I2430" s="36" t="str">
        <f t="shared" si="1"/>
        <v/>
      </c>
      <c r="J2430" s="16"/>
      <c r="K2430" s="15"/>
      <c r="L2430" s="15"/>
      <c r="M2430" s="36" t="str">
        <f t="array" ref="M2430">IF($A2430="","",IF($L2430="Atendido",IFERROR($I2430*INDEX(Config!$B:$B,MATCH($C2430,Config!$A:$A,0)),0),0))</f>
        <v/>
      </c>
      <c r="N2430" s="36" t="str">
        <f t="shared" si="2"/>
        <v/>
      </c>
      <c r="O2430" s="36" t="str">
        <f t="shared" si="3"/>
        <v/>
      </c>
      <c r="P2430" s="15"/>
      <c r="Q2430" s="37" t="str">
        <f t="shared" si="4"/>
        <v/>
      </c>
      <c r="R2430" s="37" t="str">
        <f t="shared" si="5"/>
        <v/>
      </c>
      <c r="S2430" s="32" t="str">
        <f t="shared" si="6"/>
        <v/>
      </c>
      <c r="T2430" s="37" t="str">
        <f t="shared" si="7"/>
        <v/>
      </c>
      <c r="U2430" s="37" t="str">
        <f t="array" ref="U2430">IF($F2430="","",IFERROR(INDEX(Config!$F:$F,MATCH($F2430,Config!$D:$D,0)),0))</f>
        <v/>
      </c>
    </row>
    <row r="2431" ht="15.0" customHeight="1">
      <c r="A2431" s="34"/>
      <c r="B2431" s="35"/>
      <c r="C2431" s="15"/>
      <c r="D2431" s="15"/>
      <c r="E2431" s="15"/>
      <c r="F2431" s="15"/>
      <c r="G2431" s="36" t="str">
        <f t="array" ref="G2431">IF($F2431="","",IFERROR(INDEX(Config!$E:$E,MATCH($F2431,Config!$D:$D,0)),0))</f>
        <v/>
      </c>
      <c r="H2431" s="16"/>
      <c r="I2431" s="36" t="str">
        <f t="shared" si="1"/>
        <v/>
      </c>
      <c r="J2431" s="16"/>
      <c r="K2431" s="15"/>
      <c r="L2431" s="15"/>
      <c r="M2431" s="36" t="str">
        <f t="array" ref="M2431">IF($A2431="","",IF($L2431="Atendido",IFERROR($I2431*INDEX(Config!$B:$B,MATCH($C2431,Config!$A:$A,0)),0),0))</f>
        <v/>
      </c>
      <c r="N2431" s="36" t="str">
        <f t="shared" si="2"/>
        <v/>
      </c>
      <c r="O2431" s="36" t="str">
        <f t="shared" si="3"/>
        <v/>
      </c>
      <c r="P2431" s="15"/>
      <c r="Q2431" s="37" t="str">
        <f t="shared" si="4"/>
        <v/>
      </c>
      <c r="R2431" s="37" t="str">
        <f t="shared" si="5"/>
        <v/>
      </c>
      <c r="S2431" s="32" t="str">
        <f t="shared" si="6"/>
        <v/>
      </c>
      <c r="T2431" s="37" t="str">
        <f t="shared" si="7"/>
        <v/>
      </c>
      <c r="U2431" s="37" t="str">
        <f t="array" ref="U2431">IF($F2431="","",IFERROR(INDEX(Config!$F:$F,MATCH($F2431,Config!$D:$D,0)),0))</f>
        <v/>
      </c>
    </row>
    <row r="2432" ht="15.0" customHeight="1">
      <c r="A2432" s="34"/>
      <c r="B2432" s="35"/>
      <c r="C2432" s="15"/>
      <c r="D2432" s="15"/>
      <c r="E2432" s="15"/>
      <c r="F2432" s="15"/>
      <c r="G2432" s="36" t="str">
        <f t="array" ref="G2432">IF($F2432="","",IFERROR(INDEX(Config!$E:$E,MATCH($F2432,Config!$D:$D,0)),0))</f>
        <v/>
      </c>
      <c r="H2432" s="16"/>
      <c r="I2432" s="36" t="str">
        <f t="shared" si="1"/>
        <v/>
      </c>
      <c r="J2432" s="16"/>
      <c r="K2432" s="15"/>
      <c r="L2432" s="15"/>
      <c r="M2432" s="36" t="str">
        <f t="array" ref="M2432">IF($A2432="","",IF($L2432="Atendido",IFERROR($I2432*INDEX(Config!$B:$B,MATCH($C2432,Config!$A:$A,0)),0),0))</f>
        <v/>
      </c>
      <c r="N2432" s="36" t="str">
        <f t="shared" si="2"/>
        <v/>
      </c>
      <c r="O2432" s="36" t="str">
        <f t="shared" si="3"/>
        <v/>
      </c>
      <c r="P2432" s="15"/>
      <c r="Q2432" s="37" t="str">
        <f t="shared" si="4"/>
        <v/>
      </c>
      <c r="R2432" s="37" t="str">
        <f t="shared" si="5"/>
        <v/>
      </c>
      <c r="S2432" s="32" t="str">
        <f t="shared" si="6"/>
        <v/>
      </c>
      <c r="T2432" s="37" t="str">
        <f t="shared" si="7"/>
        <v/>
      </c>
      <c r="U2432" s="37" t="str">
        <f t="array" ref="U2432">IF($F2432="","",IFERROR(INDEX(Config!$F:$F,MATCH($F2432,Config!$D:$D,0)),0))</f>
        <v/>
      </c>
    </row>
    <row r="2433" ht="15.0" customHeight="1">
      <c r="A2433" s="34"/>
      <c r="B2433" s="35"/>
      <c r="C2433" s="15"/>
      <c r="D2433" s="15"/>
      <c r="E2433" s="15"/>
      <c r="F2433" s="15"/>
      <c r="G2433" s="36" t="str">
        <f t="array" ref="G2433">IF($F2433="","",IFERROR(INDEX(Config!$E:$E,MATCH($F2433,Config!$D:$D,0)),0))</f>
        <v/>
      </c>
      <c r="H2433" s="16"/>
      <c r="I2433" s="36" t="str">
        <f t="shared" si="1"/>
        <v/>
      </c>
      <c r="J2433" s="16"/>
      <c r="K2433" s="15"/>
      <c r="L2433" s="15"/>
      <c r="M2433" s="36" t="str">
        <f t="array" ref="M2433">IF($A2433="","",IF($L2433="Atendido",IFERROR($I2433*INDEX(Config!$B:$B,MATCH($C2433,Config!$A:$A,0)),0),0))</f>
        <v/>
      </c>
      <c r="N2433" s="36" t="str">
        <f t="shared" si="2"/>
        <v/>
      </c>
      <c r="O2433" s="36" t="str">
        <f t="shared" si="3"/>
        <v/>
      </c>
      <c r="P2433" s="15"/>
      <c r="Q2433" s="37" t="str">
        <f t="shared" si="4"/>
        <v/>
      </c>
      <c r="R2433" s="37" t="str">
        <f t="shared" si="5"/>
        <v/>
      </c>
      <c r="S2433" s="32" t="str">
        <f t="shared" si="6"/>
        <v/>
      </c>
      <c r="T2433" s="37" t="str">
        <f t="shared" si="7"/>
        <v/>
      </c>
      <c r="U2433" s="37" t="str">
        <f t="array" ref="U2433">IF($F2433="","",IFERROR(INDEX(Config!$F:$F,MATCH($F2433,Config!$D:$D,0)),0))</f>
        <v/>
      </c>
    </row>
    <row r="2434" ht="15.0" customHeight="1">
      <c r="A2434" s="34"/>
      <c r="B2434" s="35"/>
      <c r="C2434" s="15"/>
      <c r="D2434" s="15"/>
      <c r="E2434" s="15"/>
      <c r="F2434" s="15"/>
      <c r="G2434" s="36" t="str">
        <f t="array" ref="G2434">IF($F2434="","",IFERROR(INDEX(Config!$E:$E,MATCH($F2434,Config!$D:$D,0)),0))</f>
        <v/>
      </c>
      <c r="H2434" s="16"/>
      <c r="I2434" s="36" t="str">
        <f t="shared" si="1"/>
        <v/>
      </c>
      <c r="J2434" s="16"/>
      <c r="K2434" s="15"/>
      <c r="L2434" s="15"/>
      <c r="M2434" s="36" t="str">
        <f t="array" ref="M2434">IF($A2434="","",IF($L2434="Atendido",IFERROR($I2434*INDEX(Config!$B:$B,MATCH($C2434,Config!$A:$A,0)),0),0))</f>
        <v/>
      </c>
      <c r="N2434" s="36" t="str">
        <f t="shared" si="2"/>
        <v/>
      </c>
      <c r="O2434" s="36" t="str">
        <f t="shared" si="3"/>
        <v/>
      </c>
      <c r="P2434" s="15"/>
      <c r="Q2434" s="37" t="str">
        <f t="shared" si="4"/>
        <v/>
      </c>
      <c r="R2434" s="37" t="str">
        <f t="shared" si="5"/>
        <v/>
      </c>
      <c r="S2434" s="32" t="str">
        <f t="shared" si="6"/>
        <v/>
      </c>
      <c r="T2434" s="37" t="str">
        <f t="shared" si="7"/>
        <v/>
      </c>
      <c r="U2434" s="37" t="str">
        <f t="array" ref="U2434">IF($F2434="","",IFERROR(INDEX(Config!$F:$F,MATCH($F2434,Config!$D:$D,0)),0))</f>
        <v/>
      </c>
    </row>
    <row r="2435" ht="15.0" customHeight="1">
      <c r="A2435" s="34"/>
      <c r="B2435" s="35"/>
      <c r="C2435" s="15"/>
      <c r="D2435" s="15"/>
      <c r="E2435" s="15"/>
      <c r="F2435" s="15"/>
      <c r="G2435" s="36" t="str">
        <f t="array" ref="G2435">IF($F2435="","",IFERROR(INDEX(Config!$E:$E,MATCH($F2435,Config!$D:$D,0)),0))</f>
        <v/>
      </c>
      <c r="H2435" s="16"/>
      <c r="I2435" s="36" t="str">
        <f t="shared" si="1"/>
        <v/>
      </c>
      <c r="J2435" s="16"/>
      <c r="K2435" s="15"/>
      <c r="L2435" s="15"/>
      <c r="M2435" s="36" t="str">
        <f t="array" ref="M2435">IF($A2435="","",IF($L2435="Atendido",IFERROR($I2435*INDEX(Config!$B:$B,MATCH($C2435,Config!$A:$A,0)),0),0))</f>
        <v/>
      </c>
      <c r="N2435" s="36" t="str">
        <f t="shared" si="2"/>
        <v/>
      </c>
      <c r="O2435" s="36" t="str">
        <f t="shared" si="3"/>
        <v/>
      </c>
      <c r="P2435" s="15"/>
      <c r="Q2435" s="37" t="str">
        <f t="shared" si="4"/>
        <v/>
      </c>
      <c r="R2435" s="37" t="str">
        <f t="shared" si="5"/>
        <v/>
      </c>
      <c r="S2435" s="32" t="str">
        <f t="shared" si="6"/>
        <v/>
      </c>
      <c r="T2435" s="37" t="str">
        <f t="shared" si="7"/>
        <v/>
      </c>
      <c r="U2435" s="37" t="str">
        <f t="array" ref="U2435">IF($F2435="","",IFERROR(INDEX(Config!$F:$F,MATCH($F2435,Config!$D:$D,0)),0))</f>
        <v/>
      </c>
    </row>
    <row r="2436" ht="15.0" customHeight="1">
      <c r="A2436" s="34"/>
      <c r="B2436" s="35"/>
      <c r="C2436" s="15"/>
      <c r="D2436" s="15"/>
      <c r="E2436" s="15"/>
      <c r="F2436" s="15"/>
      <c r="G2436" s="36" t="str">
        <f t="array" ref="G2436">IF($F2436="","",IFERROR(INDEX(Config!$E:$E,MATCH($F2436,Config!$D:$D,0)),0))</f>
        <v/>
      </c>
      <c r="H2436" s="16"/>
      <c r="I2436" s="36" t="str">
        <f t="shared" si="1"/>
        <v/>
      </c>
      <c r="J2436" s="16"/>
      <c r="K2436" s="15"/>
      <c r="L2436" s="15"/>
      <c r="M2436" s="36" t="str">
        <f t="array" ref="M2436">IF($A2436="","",IF($L2436="Atendido",IFERROR($I2436*INDEX(Config!$B:$B,MATCH($C2436,Config!$A:$A,0)),0),0))</f>
        <v/>
      </c>
      <c r="N2436" s="36" t="str">
        <f t="shared" si="2"/>
        <v/>
      </c>
      <c r="O2436" s="36" t="str">
        <f t="shared" si="3"/>
        <v/>
      </c>
      <c r="P2436" s="15"/>
      <c r="Q2436" s="37" t="str">
        <f t="shared" si="4"/>
        <v/>
      </c>
      <c r="R2436" s="37" t="str">
        <f t="shared" si="5"/>
        <v/>
      </c>
      <c r="S2436" s="32" t="str">
        <f t="shared" si="6"/>
        <v/>
      </c>
      <c r="T2436" s="37" t="str">
        <f t="shared" si="7"/>
        <v/>
      </c>
      <c r="U2436" s="37" t="str">
        <f t="array" ref="U2436">IF($F2436="","",IFERROR(INDEX(Config!$F:$F,MATCH($F2436,Config!$D:$D,0)),0))</f>
        <v/>
      </c>
    </row>
    <row r="2437" ht="15.0" customHeight="1">
      <c r="A2437" s="34"/>
      <c r="B2437" s="35"/>
      <c r="C2437" s="15"/>
      <c r="D2437" s="15"/>
      <c r="E2437" s="15"/>
      <c r="F2437" s="15"/>
      <c r="G2437" s="36" t="str">
        <f t="array" ref="G2437">IF($F2437="","",IFERROR(INDEX(Config!$E:$E,MATCH($F2437,Config!$D:$D,0)),0))</f>
        <v/>
      </c>
      <c r="H2437" s="16"/>
      <c r="I2437" s="36" t="str">
        <f t="shared" si="1"/>
        <v/>
      </c>
      <c r="J2437" s="16"/>
      <c r="K2437" s="15"/>
      <c r="L2437" s="15"/>
      <c r="M2437" s="36" t="str">
        <f t="array" ref="M2437">IF($A2437="","",IF($L2437="Atendido",IFERROR($I2437*INDEX(Config!$B:$B,MATCH($C2437,Config!$A:$A,0)),0),0))</f>
        <v/>
      </c>
      <c r="N2437" s="36" t="str">
        <f t="shared" si="2"/>
        <v/>
      </c>
      <c r="O2437" s="36" t="str">
        <f t="shared" si="3"/>
        <v/>
      </c>
      <c r="P2437" s="15"/>
      <c r="Q2437" s="37" t="str">
        <f t="shared" si="4"/>
        <v/>
      </c>
      <c r="R2437" s="37" t="str">
        <f t="shared" si="5"/>
        <v/>
      </c>
      <c r="S2437" s="32" t="str">
        <f t="shared" si="6"/>
        <v/>
      </c>
      <c r="T2437" s="37" t="str">
        <f t="shared" si="7"/>
        <v/>
      </c>
      <c r="U2437" s="37" t="str">
        <f t="array" ref="U2437">IF($F2437="","",IFERROR(INDEX(Config!$F:$F,MATCH($F2437,Config!$D:$D,0)),0))</f>
        <v/>
      </c>
    </row>
    <row r="2438" ht="15.0" customHeight="1">
      <c r="A2438" s="34"/>
      <c r="B2438" s="35"/>
      <c r="C2438" s="15"/>
      <c r="D2438" s="15"/>
      <c r="E2438" s="15"/>
      <c r="F2438" s="15"/>
      <c r="G2438" s="36" t="str">
        <f t="array" ref="G2438">IF($F2438="","",IFERROR(INDEX(Config!$E:$E,MATCH($F2438,Config!$D:$D,0)),0))</f>
        <v/>
      </c>
      <c r="H2438" s="16"/>
      <c r="I2438" s="36" t="str">
        <f t="shared" si="1"/>
        <v/>
      </c>
      <c r="J2438" s="16"/>
      <c r="K2438" s="15"/>
      <c r="L2438" s="15"/>
      <c r="M2438" s="36" t="str">
        <f t="array" ref="M2438">IF($A2438="","",IF($L2438="Atendido",IFERROR($I2438*INDEX(Config!$B:$B,MATCH($C2438,Config!$A:$A,0)),0),0))</f>
        <v/>
      </c>
      <c r="N2438" s="36" t="str">
        <f t="shared" si="2"/>
        <v/>
      </c>
      <c r="O2438" s="36" t="str">
        <f t="shared" si="3"/>
        <v/>
      </c>
      <c r="P2438" s="15"/>
      <c r="Q2438" s="37" t="str">
        <f t="shared" si="4"/>
        <v/>
      </c>
      <c r="R2438" s="37" t="str">
        <f t="shared" si="5"/>
        <v/>
      </c>
      <c r="S2438" s="32" t="str">
        <f t="shared" si="6"/>
        <v/>
      </c>
      <c r="T2438" s="37" t="str">
        <f t="shared" si="7"/>
        <v/>
      </c>
      <c r="U2438" s="37" t="str">
        <f t="array" ref="U2438">IF($F2438="","",IFERROR(INDEX(Config!$F:$F,MATCH($F2438,Config!$D:$D,0)),0))</f>
        <v/>
      </c>
    </row>
    <row r="2439" ht="15.0" customHeight="1">
      <c r="A2439" s="34"/>
      <c r="B2439" s="35"/>
      <c r="C2439" s="15"/>
      <c r="D2439" s="15"/>
      <c r="E2439" s="15"/>
      <c r="F2439" s="15"/>
      <c r="G2439" s="36" t="str">
        <f t="array" ref="G2439">IF($F2439="","",IFERROR(INDEX(Config!$E:$E,MATCH($F2439,Config!$D:$D,0)),0))</f>
        <v/>
      </c>
      <c r="H2439" s="16"/>
      <c r="I2439" s="36" t="str">
        <f t="shared" si="1"/>
        <v/>
      </c>
      <c r="J2439" s="16"/>
      <c r="K2439" s="15"/>
      <c r="L2439" s="15"/>
      <c r="M2439" s="36" t="str">
        <f t="array" ref="M2439">IF($A2439="","",IF($L2439="Atendido",IFERROR($I2439*INDEX(Config!$B:$B,MATCH($C2439,Config!$A:$A,0)),0),0))</f>
        <v/>
      </c>
      <c r="N2439" s="36" t="str">
        <f t="shared" si="2"/>
        <v/>
      </c>
      <c r="O2439" s="36" t="str">
        <f t="shared" si="3"/>
        <v/>
      </c>
      <c r="P2439" s="15"/>
      <c r="Q2439" s="37" t="str">
        <f t="shared" si="4"/>
        <v/>
      </c>
      <c r="R2439" s="37" t="str">
        <f t="shared" si="5"/>
        <v/>
      </c>
      <c r="S2439" s="32" t="str">
        <f t="shared" si="6"/>
        <v/>
      </c>
      <c r="T2439" s="37" t="str">
        <f t="shared" si="7"/>
        <v/>
      </c>
      <c r="U2439" s="37" t="str">
        <f t="array" ref="U2439">IF($F2439="","",IFERROR(INDEX(Config!$F:$F,MATCH($F2439,Config!$D:$D,0)),0))</f>
        <v/>
      </c>
    </row>
    <row r="2440" ht="15.0" customHeight="1">
      <c r="A2440" s="34"/>
      <c r="B2440" s="35"/>
      <c r="C2440" s="15"/>
      <c r="D2440" s="15"/>
      <c r="E2440" s="15"/>
      <c r="F2440" s="15"/>
      <c r="G2440" s="36" t="str">
        <f t="array" ref="G2440">IF($F2440="","",IFERROR(INDEX(Config!$E:$E,MATCH($F2440,Config!$D:$D,0)),0))</f>
        <v/>
      </c>
      <c r="H2440" s="16"/>
      <c r="I2440" s="36" t="str">
        <f t="shared" si="1"/>
        <v/>
      </c>
      <c r="J2440" s="16"/>
      <c r="K2440" s="15"/>
      <c r="L2440" s="15"/>
      <c r="M2440" s="36" t="str">
        <f t="array" ref="M2440">IF($A2440="","",IF($L2440="Atendido",IFERROR($I2440*INDEX(Config!$B:$B,MATCH($C2440,Config!$A:$A,0)),0),0))</f>
        <v/>
      </c>
      <c r="N2440" s="36" t="str">
        <f t="shared" si="2"/>
        <v/>
      </c>
      <c r="O2440" s="36" t="str">
        <f t="shared" si="3"/>
        <v/>
      </c>
      <c r="P2440" s="15"/>
      <c r="Q2440" s="37" t="str">
        <f t="shared" si="4"/>
        <v/>
      </c>
      <c r="R2440" s="37" t="str">
        <f t="shared" si="5"/>
        <v/>
      </c>
      <c r="S2440" s="32" t="str">
        <f t="shared" si="6"/>
        <v/>
      </c>
      <c r="T2440" s="37" t="str">
        <f t="shared" si="7"/>
        <v/>
      </c>
      <c r="U2440" s="37" t="str">
        <f t="array" ref="U2440">IF($F2440="","",IFERROR(INDEX(Config!$F:$F,MATCH($F2440,Config!$D:$D,0)),0))</f>
        <v/>
      </c>
    </row>
    <row r="2441" ht="15.0" customHeight="1">
      <c r="A2441" s="34"/>
      <c r="B2441" s="35"/>
      <c r="C2441" s="15"/>
      <c r="D2441" s="15"/>
      <c r="E2441" s="15"/>
      <c r="F2441" s="15"/>
      <c r="G2441" s="36" t="str">
        <f t="array" ref="G2441">IF($F2441="","",IFERROR(INDEX(Config!$E:$E,MATCH($F2441,Config!$D:$D,0)),0))</f>
        <v/>
      </c>
      <c r="H2441" s="16"/>
      <c r="I2441" s="36" t="str">
        <f t="shared" si="1"/>
        <v/>
      </c>
      <c r="J2441" s="16"/>
      <c r="K2441" s="15"/>
      <c r="L2441" s="15"/>
      <c r="M2441" s="36" t="str">
        <f t="array" ref="M2441">IF($A2441="","",IF($L2441="Atendido",IFERROR($I2441*INDEX(Config!$B:$B,MATCH($C2441,Config!$A:$A,0)),0),0))</f>
        <v/>
      </c>
      <c r="N2441" s="36" t="str">
        <f t="shared" si="2"/>
        <v/>
      </c>
      <c r="O2441" s="36" t="str">
        <f t="shared" si="3"/>
        <v/>
      </c>
      <c r="P2441" s="15"/>
      <c r="Q2441" s="37" t="str">
        <f t="shared" si="4"/>
        <v/>
      </c>
      <c r="R2441" s="37" t="str">
        <f t="shared" si="5"/>
        <v/>
      </c>
      <c r="S2441" s="32" t="str">
        <f t="shared" si="6"/>
        <v/>
      </c>
      <c r="T2441" s="37" t="str">
        <f t="shared" si="7"/>
        <v/>
      </c>
      <c r="U2441" s="37" t="str">
        <f t="array" ref="U2441">IF($F2441="","",IFERROR(INDEX(Config!$F:$F,MATCH($F2441,Config!$D:$D,0)),0))</f>
        <v/>
      </c>
    </row>
    <row r="2442" ht="15.0" customHeight="1">
      <c r="A2442" s="34"/>
      <c r="B2442" s="35"/>
      <c r="C2442" s="15"/>
      <c r="D2442" s="15"/>
      <c r="E2442" s="15"/>
      <c r="F2442" s="15"/>
      <c r="G2442" s="36" t="str">
        <f t="array" ref="G2442">IF($F2442="","",IFERROR(INDEX(Config!$E:$E,MATCH($F2442,Config!$D:$D,0)),0))</f>
        <v/>
      </c>
      <c r="H2442" s="16"/>
      <c r="I2442" s="36" t="str">
        <f t="shared" si="1"/>
        <v/>
      </c>
      <c r="J2442" s="16"/>
      <c r="K2442" s="15"/>
      <c r="L2442" s="15"/>
      <c r="M2442" s="36" t="str">
        <f t="array" ref="M2442">IF($A2442="","",IF($L2442="Atendido",IFERROR($I2442*INDEX(Config!$B:$B,MATCH($C2442,Config!$A:$A,0)),0),0))</f>
        <v/>
      </c>
      <c r="N2442" s="36" t="str">
        <f t="shared" si="2"/>
        <v/>
      </c>
      <c r="O2442" s="36" t="str">
        <f t="shared" si="3"/>
        <v/>
      </c>
      <c r="P2442" s="15"/>
      <c r="Q2442" s="37" t="str">
        <f t="shared" si="4"/>
        <v/>
      </c>
      <c r="R2442" s="37" t="str">
        <f t="shared" si="5"/>
        <v/>
      </c>
      <c r="S2442" s="32" t="str">
        <f t="shared" si="6"/>
        <v/>
      </c>
      <c r="T2442" s="37" t="str">
        <f t="shared" si="7"/>
        <v/>
      </c>
      <c r="U2442" s="37" t="str">
        <f t="array" ref="U2442">IF($F2442="","",IFERROR(INDEX(Config!$F:$F,MATCH($F2442,Config!$D:$D,0)),0))</f>
        <v/>
      </c>
    </row>
    <row r="2443" ht="15.0" customHeight="1">
      <c r="A2443" s="34"/>
      <c r="B2443" s="35"/>
      <c r="C2443" s="15"/>
      <c r="D2443" s="15"/>
      <c r="E2443" s="15"/>
      <c r="F2443" s="15"/>
      <c r="G2443" s="36" t="str">
        <f t="array" ref="G2443">IF($F2443="","",IFERROR(INDEX(Config!$E:$E,MATCH($F2443,Config!$D:$D,0)),0))</f>
        <v/>
      </c>
      <c r="H2443" s="16"/>
      <c r="I2443" s="36" t="str">
        <f t="shared" si="1"/>
        <v/>
      </c>
      <c r="J2443" s="16"/>
      <c r="K2443" s="15"/>
      <c r="L2443" s="15"/>
      <c r="M2443" s="36" t="str">
        <f t="array" ref="M2443">IF($A2443="","",IF($L2443="Atendido",IFERROR($I2443*INDEX(Config!$B:$B,MATCH($C2443,Config!$A:$A,0)),0),0))</f>
        <v/>
      </c>
      <c r="N2443" s="36" t="str">
        <f t="shared" si="2"/>
        <v/>
      </c>
      <c r="O2443" s="36" t="str">
        <f t="shared" si="3"/>
        <v/>
      </c>
      <c r="P2443" s="15"/>
      <c r="Q2443" s="37" t="str">
        <f t="shared" si="4"/>
        <v/>
      </c>
      <c r="R2443" s="37" t="str">
        <f t="shared" si="5"/>
        <v/>
      </c>
      <c r="S2443" s="32" t="str">
        <f t="shared" si="6"/>
        <v/>
      </c>
      <c r="T2443" s="37" t="str">
        <f t="shared" si="7"/>
        <v/>
      </c>
      <c r="U2443" s="37" t="str">
        <f t="array" ref="U2443">IF($F2443="","",IFERROR(INDEX(Config!$F:$F,MATCH($F2443,Config!$D:$D,0)),0))</f>
        <v/>
      </c>
    </row>
    <row r="2444" ht="15.0" customHeight="1">
      <c r="A2444" s="34"/>
      <c r="B2444" s="35"/>
      <c r="C2444" s="15"/>
      <c r="D2444" s="15"/>
      <c r="E2444" s="15"/>
      <c r="F2444" s="15"/>
      <c r="G2444" s="36" t="str">
        <f t="array" ref="G2444">IF($F2444="","",IFERROR(INDEX(Config!$E:$E,MATCH($F2444,Config!$D:$D,0)),0))</f>
        <v/>
      </c>
      <c r="H2444" s="16"/>
      <c r="I2444" s="36" t="str">
        <f t="shared" si="1"/>
        <v/>
      </c>
      <c r="J2444" s="16"/>
      <c r="K2444" s="15"/>
      <c r="L2444" s="15"/>
      <c r="M2444" s="36" t="str">
        <f t="array" ref="M2444">IF($A2444="","",IF($L2444="Atendido",IFERROR($I2444*INDEX(Config!$B:$B,MATCH($C2444,Config!$A:$A,0)),0),0))</f>
        <v/>
      </c>
      <c r="N2444" s="36" t="str">
        <f t="shared" si="2"/>
        <v/>
      </c>
      <c r="O2444" s="36" t="str">
        <f t="shared" si="3"/>
        <v/>
      </c>
      <c r="P2444" s="15"/>
      <c r="Q2444" s="37" t="str">
        <f t="shared" si="4"/>
        <v/>
      </c>
      <c r="R2444" s="37" t="str">
        <f t="shared" si="5"/>
        <v/>
      </c>
      <c r="S2444" s="32" t="str">
        <f t="shared" si="6"/>
        <v/>
      </c>
      <c r="T2444" s="37" t="str">
        <f t="shared" si="7"/>
        <v/>
      </c>
      <c r="U2444" s="37" t="str">
        <f t="array" ref="U2444">IF($F2444="","",IFERROR(INDEX(Config!$F:$F,MATCH($F2444,Config!$D:$D,0)),0))</f>
        <v/>
      </c>
    </row>
    <row r="2445" ht="15.0" customHeight="1">
      <c r="A2445" s="34"/>
      <c r="B2445" s="35"/>
      <c r="C2445" s="15"/>
      <c r="D2445" s="15"/>
      <c r="E2445" s="15"/>
      <c r="F2445" s="15"/>
      <c r="G2445" s="36" t="str">
        <f t="array" ref="G2445">IF($F2445="","",IFERROR(INDEX(Config!$E:$E,MATCH($F2445,Config!$D:$D,0)),0))</f>
        <v/>
      </c>
      <c r="H2445" s="16"/>
      <c r="I2445" s="36" t="str">
        <f t="shared" si="1"/>
        <v/>
      </c>
      <c r="J2445" s="16"/>
      <c r="K2445" s="15"/>
      <c r="L2445" s="15"/>
      <c r="M2445" s="36" t="str">
        <f t="array" ref="M2445">IF($A2445="","",IF($L2445="Atendido",IFERROR($I2445*INDEX(Config!$B:$B,MATCH($C2445,Config!$A:$A,0)),0),0))</f>
        <v/>
      </c>
      <c r="N2445" s="36" t="str">
        <f t="shared" si="2"/>
        <v/>
      </c>
      <c r="O2445" s="36" t="str">
        <f t="shared" si="3"/>
        <v/>
      </c>
      <c r="P2445" s="15"/>
      <c r="Q2445" s="37" t="str">
        <f t="shared" si="4"/>
        <v/>
      </c>
      <c r="R2445" s="37" t="str">
        <f t="shared" si="5"/>
        <v/>
      </c>
      <c r="S2445" s="32" t="str">
        <f t="shared" si="6"/>
        <v/>
      </c>
      <c r="T2445" s="37" t="str">
        <f t="shared" si="7"/>
        <v/>
      </c>
      <c r="U2445" s="37" t="str">
        <f t="array" ref="U2445">IF($F2445="","",IFERROR(INDEX(Config!$F:$F,MATCH($F2445,Config!$D:$D,0)),0))</f>
        <v/>
      </c>
    </row>
    <row r="2446" ht="15.0" customHeight="1">
      <c r="A2446" s="34"/>
      <c r="B2446" s="35"/>
      <c r="C2446" s="15"/>
      <c r="D2446" s="15"/>
      <c r="E2446" s="15"/>
      <c r="F2446" s="15"/>
      <c r="G2446" s="36" t="str">
        <f t="array" ref="G2446">IF($F2446="","",IFERROR(INDEX(Config!$E:$E,MATCH($F2446,Config!$D:$D,0)),0))</f>
        <v/>
      </c>
      <c r="H2446" s="16"/>
      <c r="I2446" s="36" t="str">
        <f t="shared" si="1"/>
        <v/>
      </c>
      <c r="J2446" s="16"/>
      <c r="K2446" s="15"/>
      <c r="L2446" s="15"/>
      <c r="M2446" s="36" t="str">
        <f t="array" ref="M2446">IF($A2446="","",IF($L2446="Atendido",IFERROR($I2446*INDEX(Config!$B:$B,MATCH($C2446,Config!$A:$A,0)),0),0))</f>
        <v/>
      </c>
      <c r="N2446" s="36" t="str">
        <f t="shared" si="2"/>
        <v/>
      </c>
      <c r="O2446" s="36" t="str">
        <f t="shared" si="3"/>
        <v/>
      </c>
      <c r="P2446" s="15"/>
      <c r="Q2446" s="37" t="str">
        <f t="shared" si="4"/>
        <v/>
      </c>
      <c r="R2446" s="37" t="str">
        <f t="shared" si="5"/>
        <v/>
      </c>
      <c r="S2446" s="32" t="str">
        <f t="shared" si="6"/>
        <v/>
      </c>
      <c r="T2446" s="37" t="str">
        <f t="shared" si="7"/>
        <v/>
      </c>
      <c r="U2446" s="37" t="str">
        <f t="array" ref="U2446">IF($F2446="","",IFERROR(INDEX(Config!$F:$F,MATCH($F2446,Config!$D:$D,0)),0))</f>
        <v/>
      </c>
    </row>
    <row r="2447" ht="15.0" customHeight="1">
      <c r="A2447" s="34"/>
      <c r="B2447" s="35"/>
      <c r="C2447" s="15"/>
      <c r="D2447" s="15"/>
      <c r="E2447" s="15"/>
      <c r="F2447" s="15"/>
      <c r="G2447" s="36" t="str">
        <f t="array" ref="G2447">IF($F2447="","",IFERROR(INDEX(Config!$E:$E,MATCH($F2447,Config!$D:$D,0)),0))</f>
        <v/>
      </c>
      <c r="H2447" s="16"/>
      <c r="I2447" s="36" t="str">
        <f t="shared" si="1"/>
        <v/>
      </c>
      <c r="J2447" s="16"/>
      <c r="K2447" s="15"/>
      <c r="L2447" s="15"/>
      <c r="M2447" s="36" t="str">
        <f t="array" ref="M2447">IF($A2447="","",IF($L2447="Atendido",IFERROR($I2447*INDEX(Config!$B:$B,MATCH($C2447,Config!$A:$A,0)),0),0))</f>
        <v/>
      </c>
      <c r="N2447" s="36" t="str">
        <f t="shared" si="2"/>
        <v/>
      </c>
      <c r="O2447" s="36" t="str">
        <f t="shared" si="3"/>
        <v/>
      </c>
      <c r="P2447" s="15"/>
      <c r="Q2447" s="37" t="str">
        <f t="shared" si="4"/>
        <v/>
      </c>
      <c r="R2447" s="37" t="str">
        <f t="shared" si="5"/>
        <v/>
      </c>
      <c r="S2447" s="32" t="str">
        <f t="shared" si="6"/>
        <v/>
      </c>
      <c r="T2447" s="37" t="str">
        <f t="shared" si="7"/>
        <v/>
      </c>
      <c r="U2447" s="37" t="str">
        <f t="array" ref="U2447">IF($F2447="","",IFERROR(INDEX(Config!$F:$F,MATCH($F2447,Config!$D:$D,0)),0))</f>
        <v/>
      </c>
    </row>
    <row r="2448" ht="15.0" customHeight="1">
      <c r="A2448" s="34"/>
      <c r="B2448" s="35"/>
      <c r="C2448" s="15"/>
      <c r="D2448" s="15"/>
      <c r="E2448" s="15"/>
      <c r="F2448" s="15"/>
      <c r="G2448" s="36" t="str">
        <f t="array" ref="G2448">IF($F2448="","",IFERROR(INDEX(Config!$E:$E,MATCH($F2448,Config!$D:$D,0)),0))</f>
        <v/>
      </c>
      <c r="H2448" s="16"/>
      <c r="I2448" s="36" t="str">
        <f t="shared" si="1"/>
        <v/>
      </c>
      <c r="J2448" s="16"/>
      <c r="K2448" s="15"/>
      <c r="L2448" s="15"/>
      <c r="M2448" s="36" t="str">
        <f t="array" ref="M2448">IF($A2448="","",IF($L2448="Atendido",IFERROR($I2448*INDEX(Config!$B:$B,MATCH($C2448,Config!$A:$A,0)),0),0))</f>
        <v/>
      </c>
      <c r="N2448" s="36" t="str">
        <f t="shared" si="2"/>
        <v/>
      </c>
      <c r="O2448" s="36" t="str">
        <f t="shared" si="3"/>
        <v/>
      </c>
      <c r="P2448" s="15"/>
      <c r="Q2448" s="37" t="str">
        <f t="shared" si="4"/>
        <v/>
      </c>
      <c r="R2448" s="37" t="str">
        <f t="shared" si="5"/>
        <v/>
      </c>
      <c r="S2448" s="32" t="str">
        <f t="shared" si="6"/>
        <v/>
      </c>
      <c r="T2448" s="37" t="str">
        <f t="shared" si="7"/>
        <v/>
      </c>
      <c r="U2448" s="37" t="str">
        <f t="array" ref="U2448">IF($F2448="","",IFERROR(INDEX(Config!$F:$F,MATCH($F2448,Config!$D:$D,0)),0))</f>
        <v/>
      </c>
    </row>
    <row r="2449" ht="15.0" customHeight="1">
      <c r="A2449" s="34"/>
      <c r="B2449" s="35"/>
      <c r="C2449" s="15"/>
      <c r="D2449" s="15"/>
      <c r="E2449" s="15"/>
      <c r="F2449" s="15"/>
      <c r="G2449" s="36" t="str">
        <f t="array" ref="G2449">IF($F2449="","",IFERROR(INDEX(Config!$E:$E,MATCH($F2449,Config!$D:$D,0)),0))</f>
        <v/>
      </c>
      <c r="H2449" s="16"/>
      <c r="I2449" s="36" t="str">
        <f t="shared" si="1"/>
        <v/>
      </c>
      <c r="J2449" s="16"/>
      <c r="K2449" s="15"/>
      <c r="L2449" s="15"/>
      <c r="M2449" s="36" t="str">
        <f t="array" ref="M2449">IF($A2449="","",IF($L2449="Atendido",IFERROR($I2449*INDEX(Config!$B:$B,MATCH($C2449,Config!$A:$A,0)),0),0))</f>
        <v/>
      </c>
      <c r="N2449" s="36" t="str">
        <f t="shared" si="2"/>
        <v/>
      </c>
      <c r="O2449" s="36" t="str">
        <f t="shared" si="3"/>
        <v/>
      </c>
      <c r="P2449" s="15"/>
      <c r="Q2449" s="37" t="str">
        <f t="shared" si="4"/>
        <v/>
      </c>
      <c r="R2449" s="37" t="str">
        <f t="shared" si="5"/>
        <v/>
      </c>
      <c r="S2449" s="32" t="str">
        <f t="shared" si="6"/>
        <v/>
      </c>
      <c r="T2449" s="37" t="str">
        <f t="shared" si="7"/>
        <v/>
      </c>
      <c r="U2449" s="37" t="str">
        <f t="array" ref="U2449">IF($F2449="","",IFERROR(INDEX(Config!$F:$F,MATCH($F2449,Config!$D:$D,0)),0))</f>
        <v/>
      </c>
    </row>
    <row r="2450" ht="15.0" customHeight="1">
      <c r="A2450" s="34"/>
      <c r="B2450" s="35"/>
      <c r="C2450" s="15"/>
      <c r="D2450" s="15"/>
      <c r="E2450" s="15"/>
      <c r="F2450" s="15"/>
      <c r="G2450" s="36" t="str">
        <f t="array" ref="G2450">IF($F2450="","",IFERROR(INDEX(Config!$E:$E,MATCH($F2450,Config!$D:$D,0)),0))</f>
        <v/>
      </c>
      <c r="H2450" s="16"/>
      <c r="I2450" s="36" t="str">
        <f t="shared" si="1"/>
        <v/>
      </c>
      <c r="J2450" s="16"/>
      <c r="K2450" s="15"/>
      <c r="L2450" s="15"/>
      <c r="M2450" s="36" t="str">
        <f t="array" ref="M2450">IF($A2450="","",IF($L2450="Atendido",IFERROR($I2450*INDEX(Config!$B:$B,MATCH($C2450,Config!$A:$A,0)),0),0))</f>
        <v/>
      </c>
      <c r="N2450" s="36" t="str">
        <f t="shared" si="2"/>
        <v/>
      </c>
      <c r="O2450" s="36" t="str">
        <f t="shared" si="3"/>
        <v/>
      </c>
      <c r="P2450" s="15"/>
      <c r="Q2450" s="37" t="str">
        <f t="shared" si="4"/>
        <v/>
      </c>
      <c r="R2450" s="37" t="str">
        <f t="shared" si="5"/>
        <v/>
      </c>
      <c r="S2450" s="32" t="str">
        <f t="shared" si="6"/>
        <v/>
      </c>
      <c r="T2450" s="37" t="str">
        <f t="shared" si="7"/>
        <v/>
      </c>
      <c r="U2450" s="37" t="str">
        <f t="array" ref="U2450">IF($F2450="","",IFERROR(INDEX(Config!$F:$F,MATCH($F2450,Config!$D:$D,0)),0))</f>
        <v/>
      </c>
    </row>
    <row r="2451" ht="15.0" customHeight="1">
      <c r="A2451" s="34"/>
      <c r="B2451" s="35"/>
      <c r="C2451" s="15"/>
      <c r="D2451" s="15"/>
      <c r="E2451" s="15"/>
      <c r="F2451" s="15"/>
      <c r="G2451" s="36" t="str">
        <f t="array" ref="G2451">IF($F2451="","",IFERROR(INDEX(Config!$E:$E,MATCH($F2451,Config!$D:$D,0)),0))</f>
        <v/>
      </c>
      <c r="H2451" s="16"/>
      <c r="I2451" s="36" t="str">
        <f t="shared" si="1"/>
        <v/>
      </c>
      <c r="J2451" s="16"/>
      <c r="K2451" s="15"/>
      <c r="L2451" s="15"/>
      <c r="M2451" s="36" t="str">
        <f t="array" ref="M2451">IF($A2451="","",IF($L2451="Atendido",IFERROR($I2451*INDEX(Config!$B:$B,MATCH($C2451,Config!$A:$A,0)),0),0))</f>
        <v/>
      </c>
      <c r="N2451" s="36" t="str">
        <f t="shared" si="2"/>
        <v/>
      </c>
      <c r="O2451" s="36" t="str">
        <f t="shared" si="3"/>
        <v/>
      </c>
      <c r="P2451" s="15"/>
      <c r="Q2451" s="37" t="str">
        <f t="shared" si="4"/>
        <v/>
      </c>
      <c r="R2451" s="37" t="str">
        <f t="shared" si="5"/>
        <v/>
      </c>
      <c r="S2451" s="32" t="str">
        <f t="shared" si="6"/>
        <v/>
      </c>
      <c r="T2451" s="37" t="str">
        <f t="shared" si="7"/>
        <v/>
      </c>
      <c r="U2451" s="37" t="str">
        <f t="array" ref="U2451">IF($F2451="","",IFERROR(INDEX(Config!$F:$F,MATCH($F2451,Config!$D:$D,0)),0))</f>
        <v/>
      </c>
    </row>
    <row r="2452" ht="15.0" customHeight="1">
      <c r="A2452" s="34"/>
      <c r="B2452" s="35"/>
      <c r="C2452" s="15"/>
      <c r="D2452" s="15"/>
      <c r="E2452" s="15"/>
      <c r="F2452" s="15"/>
      <c r="G2452" s="36" t="str">
        <f t="array" ref="G2452">IF($F2452="","",IFERROR(INDEX(Config!$E:$E,MATCH($F2452,Config!$D:$D,0)),0))</f>
        <v/>
      </c>
      <c r="H2452" s="16"/>
      <c r="I2452" s="36" t="str">
        <f t="shared" si="1"/>
        <v/>
      </c>
      <c r="J2452" s="16"/>
      <c r="K2452" s="15"/>
      <c r="L2452" s="15"/>
      <c r="M2452" s="36" t="str">
        <f t="array" ref="M2452">IF($A2452="","",IF($L2452="Atendido",IFERROR($I2452*INDEX(Config!$B:$B,MATCH($C2452,Config!$A:$A,0)),0),0))</f>
        <v/>
      </c>
      <c r="N2452" s="36" t="str">
        <f t="shared" si="2"/>
        <v/>
      </c>
      <c r="O2452" s="36" t="str">
        <f t="shared" si="3"/>
        <v/>
      </c>
      <c r="P2452" s="15"/>
      <c r="Q2452" s="37" t="str">
        <f t="shared" si="4"/>
        <v/>
      </c>
      <c r="R2452" s="37" t="str">
        <f t="shared" si="5"/>
        <v/>
      </c>
      <c r="S2452" s="32" t="str">
        <f t="shared" si="6"/>
        <v/>
      </c>
      <c r="T2452" s="37" t="str">
        <f t="shared" si="7"/>
        <v/>
      </c>
      <c r="U2452" s="37" t="str">
        <f t="array" ref="U2452">IF($F2452="","",IFERROR(INDEX(Config!$F:$F,MATCH($F2452,Config!$D:$D,0)),0))</f>
        <v/>
      </c>
    </row>
    <row r="2453" ht="15.0" customHeight="1">
      <c r="A2453" s="34"/>
      <c r="B2453" s="35"/>
      <c r="C2453" s="15"/>
      <c r="D2453" s="15"/>
      <c r="E2453" s="15"/>
      <c r="F2453" s="15"/>
      <c r="G2453" s="36" t="str">
        <f t="array" ref="G2453">IF($F2453="","",IFERROR(INDEX(Config!$E:$E,MATCH($F2453,Config!$D:$D,0)),0))</f>
        <v/>
      </c>
      <c r="H2453" s="16"/>
      <c r="I2453" s="36" t="str">
        <f t="shared" si="1"/>
        <v/>
      </c>
      <c r="J2453" s="16"/>
      <c r="K2453" s="15"/>
      <c r="L2453" s="15"/>
      <c r="M2453" s="36" t="str">
        <f t="array" ref="M2453">IF($A2453="","",IF($L2453="Atendido",IFERROR($I2453*INDEX(Config!$B:$B,MATCH($C2453,Config!$A:$A,0)),0),0))</f>
        <v/>
      </c>
      <c r="N2453" s="36" t="str">
        <f t="shared" si="2"/>
        <v/>
      </c>
      <c r="O2453" s="36" t="str">
        <f t="shared" si="3"/>
        <v/>
      </c>
      <c r="P2453" s="15"/>
      <c r="Q2453" s="37" t="str">
        <f t="shared" si="4"/>
        <v/>
      </c>
      <c r="R2453" s="37" t="str">
        <f t="shared" si="5"/>
        <v/>
      </c>
      <c r="S2453" s="32" t="str">
        <f t="shared" si="6"/>
        <v/>
      </c>
      <c r="T2453" s="37" t="str">
        <f t="shared" si="7"/>
        <v/>
      </c>
      <c r="U2453" s="37" t="str">
        <f t="array" ref="U2453">IF($F2453="","",IFERROR(INDEX(Config!$F:$F,MATCH($F2453,Config!$D:$D,0)),0))</f>
        <v/>
      </c>
    </row>
    <row r="2454" ht="15.0" customHeight="1">
      <c r="A2454" s="34"/>
      <c r="B2454" s="35"/>
      <c r="C2454" s="15"/>
      <c r="D2454" s="15"/>
      <c r="E2454" s="15"/>
      <c r="F2454" s="15"/>
      <c r="G2454" s="36" t="str">
        <f t="array" ref="G2454">IF($F2454="","",IFERROR(INDEX(Config!$E:$E,MATCH($F2454,Config!$D:$D,0)),0))</f>
        <v/>
      </c>
      <c r="H2454" s="16"/>
      <c r="I2454" s="36" t="str">
        <f t="shared" si="1"/>
        <v/>
      </c>
      <c r="J2454" s="16"/>
      <c r="K2454" s="15"/>
      <c r="L2454" s="15"/>
      <c r="M2454" s="36" t="str">
        <f t="array" ref="M2454">IF($A2454="","",IF($L2454="Atendido",IFERROR($I2454*INDEX(Config!$B:$B,MATCH($C2454,Config!$A:$A,0)),0),0))</f>
        <v/>
      </c>
      <c r="N2454" s="36" t="str">
        <f t="shared" si="2"/>
        <v/>
      </c>
      <c r="O2454" s="36" t="str">
        <f t="shared" si="3"/>
        <v/>
      </c>
      <c r="P2454" s="15"/>
      <c r="Q2454" s="37" t="str">
        <f t="shared" si="4"/>
        <v/>
      </c>
      <c r="R2454" s="37" t="str">
        <f t="shared" si="5"/>
        <v/>
      </c>
      <c r="S2454" s="32" t="str">
        <f t="shared" si="6"/>
        <v/>
      </c>
      <c r="T2454" s="37" t="str">
        <f t="shared" si="7"/>
        <v/>
      </c>
      <c r="U2454" s="37" t="str">
        <f t="array" ref="U2454">IF($F2454="","",IFERROR(INDEX(Config!$F:$F,MATCH($F2454,Config!$D:$D,0)),0))</f>
        <v/>
      </c>
    </row>
    <row r="2455" ht="15.0" customHeight="1">
      <c r="A2455" s="34"/>
      <c r="B2455" s="35"/>
      <c r="C2455" s="15"/>
      <c r="D2455" s="15"/>
      <c r="E2455" s="15"/>
      <c r="F2455" s="15"/>
      <c r="G2455" s="36" t="str">
        <f t="array" ref="G2455">IF($F2455="","",IFERROR(INDEX(Config!$E:$E,MATCH($F2455,Config!$D:$D,0)),0))</f>
        <v/>
      </c>
      <c r="H2455" s="16"/>
      <c r="I2455" s="36" t="str">
        <f t="shared" si="1"/>
        <v/>
      </c>
      <c r="J2455" s="16"/>
      <c r="K2455" s="15"/>
      <c r="L2455" s="15"/>
      <c r="M2455" s="36" t="str">
        <f t="array" ref="M2455">IF($A2455="","",IF($L2455="Atendido",IFERROR($I2455*INDEX(Config!$B:$B,MATCH($C2455,Config!$A:$A,0)),0),0))</f>
        <v/>
      </c>
      <c r="N2455" s="36" t="str">
        <f t="shared" si="2"/>
        <v/>
      </c>
      <c r="O2455" s="36" t="str">
        <f t="shared" si="3"/>
        <v/>
      </c>
      <c r="P2455" s="15"/>
      <c r="Q2455" s="37" t="str">
        <f t="shared" si="4"/>
        <v/>
      </c>
      <c r="R2455" s="37" t="str">
        <f t="shared" si="5"/>
        <v/>
      </c>
      <c r="S2455" s="32" t="str">
        <f t="shared" si="6"/>
        <v/>
      </c>
      <c r="T2455" s="37" t="str">
        <f t="shared" si="7"/>
        <v/>
      </c>
      <c r="U2455" s="37" t="str">
        <f t="array" ref="U2455">IF($F2455="","",IFERROR(INDEX(Config!$F:$F,MATCH($F2455,Config!$D:$D,0)),0))</f>
        <v/>
      </c>
    </row>
    <row r="2456" ht="15.0" customHeight="1">
      <c r="A2456" s="34"/>
      <c r="B2456" s="35"/>
      <c r="C2456" s="15"/>
      <c r="D2456" s="15"/>
      <c r="E2456" s="15"/>
      <c r="F2456" s="15"/>
      <c r="G2456" s="36" t="str">
        <f t="array" ref="G2456">IF($F2456="","",IFERROR(INDEX(Config!$E:$E,MATCH($F2456,Config!$D:$D,0)),0))</f>
        <v/>
      </c>
      <c r="H2456" s="16"/>
      <c r="I2456" s="36" t="str">
        <f t="shared" si="1"/>
        <v/>
      </c>
      <c r="J2456" s="16"/>
      <c r="K2456" s="15"/>
      <c r="L2456" s="15"/>
      <c r="M2456" s="36" t="str">
        <f t="array" ref="M2456">IF($A2456="","",IF($L2456="Atendido",IFERROR($I2456*INDEX(Config!$B:$B,MATCH($C2456,Config!$A:$A,0)),0),0))</f>
        <v/>
      </c>
      <c r="N2456" s="36" t="str">
        <f t="shared" si="2"/>
        <v/>
      </c>
      <c r="O2456" s="36" t="str">
        <f t="shared" si="3"/>
        <v/>
      </c>
      <c r="P2456" s="15"/>
      <c r="Q2456" s="37" t="str">
        <f t="shared" si="4"/>
        <v/>
      </c>
      <c r="R2456" s="37" t="str">
        <f t="shared" si="5"/>
        <v/>
      </c>
      <c r="S2456" s="32" t="str">
        <f t="shared" si="6"/>
        <v/>
      </c>
      <c r="T2456" s="37" t="str">
        <f t="shared" si="7"/>
        <v/>
      </c>
      <c r="U2456" s="37" t="str">
        <f t="array" ref="U2456">IF($F2456="","",IFERROR(INDEX(Config!$F:$F,MATCH($F2456,Config!$D:$D,0)),0))</f>
        <v/>
      </c>
    </row>
    <row r="2457" ht="15.0" customHeight="1">
      <c r="A2457" s="34"/>
      <c r="B2457" s="35"/>
      <c r="C2457" s="15"/>
      <c r="D2457" s="15"/>
      <c r="E2457" s="15"/>
      <c r="F2457" s="15"/>
      <c r="G2457" s="36" t="str">
        <f t="array" ref="G2457">IF($F2457="","",IFERROR(INDEX(Config!$E:$E,MATCH($F2457,Config!$D:$D,0)),0))</f>
        <v/>
      </c>
      <c r="H2457" s="16"/>
      <c r="I2457" s="36" t="str">
        <f t="shared" si="1"/>
        <v/>
      </c>
      <c r="J2457" s="16"/>
      <c r="K2457" s="15"/>
      <c r="L2457" s="15"/>
      <c r="M2457" s="36" t="str">
        <f t="array" ref="M2457">IF($A2457="","",IF($L2457="Atendido",IFERROR($I2457*INDEX(Config!$B:$B,MATCH($C2457,Config!$A:$A,0)),0),0))</f>
        <v/>
      </c>
      <c r="N2457" s="36" t="str">
        <f t="shared" si="2"/>
        <v/>
      </c>
      <c r="O2457" s="36" t="str">
        <f t="shared" si="3"/>
        <v/>
      </c>
      <c r="P2457" s="15"/>
      <c r="Q2457" s="37" t="str">
        <f t="shared" si="4"/>
        <v/>
      </c>
      <c r="R2457" s="37" t="str">
        <f t="shared" si="5"/>
        <v/>
      </c>
      <c r="S2457" s="32" t="str">
        <f t="shared" si="6"/>
        <v/>
      </c>
      <c r="T2457" s="37" t="str">
        <f t="shared" si="7"/>
        <v/>
      </c>
      <c r="U2457" s="37" t="str">
        <f t="array" ref="U2457">IF($F2457="","",IFERROR(INDEX(Config!$F:$F,MATCH($F2457,Config!$D:$D,0)),0))</f>
        <v/>
      </c>
    </row>
    <row r="2458" ht="15.0" customHeight="1">
      <c r="A2458" s="34"/>
      <c r="B2458" s="35"/>
      <c r="C2458" s="15"/>
      <c r="D2458" s="15"/>
      <c r="E2458" s="15"/>
      <c r="F2458" s="15"/>
      <c r="G2458" s="36" t="str">
        <f t="array" ref="G2458">IF($F2458="","",IFERROR(INDEX(Config!$E:$E,MATCH($F2458,Config!$D:$D,0)),0))</f>
        <v/>
      </c>
      <c r="H2458" s="16"/>
      <c r="I2458" s="36" t="str">
        <f t="shared" si="1"/>
        <v/>
      </c>
      <c r="J2458" s="16"/>
      <c r="K2458" s="15"/>
      <c r="L2458" s="15"/>
      <c r="M2458" s="36" t="str">
        <f t="array" ref="M2458">IF($A2458="","",IF($L2458="Atendido",IFERROR($I2458*INDEX(Config!$B:$B,MATCH($C2458,Config!$A:$A,0)),0),0))</f>
        <v/>
      </c>
      <c r="N2458" s="36" t="str">
        <f t="shared" si="2"/>
        <v/>
      </c>
      <c r="O2458" s="36" t="str">
        <f t="shared" si="3"/>
        <v/>
      </c>
      <c r="P2458" s="15"/>
      <c r="Q2458" s="37" t="str">
        <f t="shared" si="4"/>
        <v/>
      </c>
      <c r="R2458" s="37" t="str">
        <f t="shared" si="5"/>
        <v/>
      </c>
      <c r="S2458" s="32" t="str">
        <f t="shared" si="6"/>
        <v/>
      </c>
      <c r="T2458" s="37" t="str">
        <f t="shared" si="7"/>
        <v/>
      </c>
      <c r="U2458" s="37" t="str">
        <f t="array" ref="U2458">IF($F2458="","",IFERROR(INDEX(Config!$F:$F,MATCH($F2458,Config!$D:$D,0)),0))</f>
        <v/>
      </c>
    </row>
    <row r="2459" ht="15.0" customHeight="1">
      <c r="A2459" s="34"/>
      <c r="B2459" s="35"/>
      <c r="C2459" s="15"/>
      <c r="D2459" s="15"/>
      <c r="E2459" s="15"/>
      <c r="F2459" s="15"/>
      <c r="G2459" s="36" t="str">
        <f t="array" ref="G2459">IF($F2459="","",IFERROR(INDEX(Config!$E:$E,MATCH($F2459,Config!$D:$D,0)),0))</f>
        <v/>
      </c>
      <c r="H2459" s="16"/>
      <c r="I2459" s="36" t="str">
        <f t="shared" si="1"/>
        <v/>
      </c>
      <c r="J2459" s="16"/>
      <c r="K2459" s="15"/>
      <c r="L2459" s="15"/>
      <c r="M2459" s="36" t="str">
        <f t="array" ref="M2459">IF($A2459="","",IF($L2459="Atendido",IFERROR($I2459*INDEX(Config!$B:$B,MATCH($C2459,Config!$A:$A,0)),0),0))</f>
        <v/>
      </c>
      <c r="N2459" s="36" t="str">
        <f t="shared" si="2"/>
        <v/>
      </c>
      <c r="O2459" s="36" t="str">
        <f t="shared" si="3"/>
        <v/>
      </c>
      <c r="P2459" s="15"/>
      <c r="Q2459" s="37" t="str">
        <f t="shared" si="4"/>
        <v/>
      </c>
      <c r="R2459" s="37" t="str">
        <f t="shared" si="5"/>
        <v/>
      </c>
      <c r="S2459" s="32" t="str">
        <f t="shared" si="6"/>
        <v/>
      </c>
      <c r="T2459" s="37" t="str">
        <f t="shared" si="7"/>
        <v/>
      </c>
      <c r="U2459" s="37" t="str">
        <f t="array" ref="U2459">IF($F2459="","",IFERROR(INDEX(Config!$F:$F,MATCH($F2459,Config!$D:$D,0)),0))</f>
        <v/>
      </c>
    </row>
    <row r="2460" ht="15.0" customHeight="1">
      <c r="A2460" s="34"/>
      <c r="B2460" s="35"/>
      <c r="C2460" s="15"/>
      <c r="D2460" s="15"/>
      <c r="E2460" s="15"/>
      <c r="F2460" s="15"/>
      <c r="G2460" s="36" t="str">
        <f t="array" ref="G2460">IF($F2460="","",IFERROR(INDEX(Config!$E:$E,MATCH($F2460,Config!$D:$D,0)),0))</f>
        <v/>
      </c>
      <c r="H2460" s="16"/>
      <c r="I2460" s="36" t="str">
        <f t="shared" si="1"/>
        <v/>
      </c>
      <c r="J2460" s="16"/>
      <c r="K2460" s="15"/>
      <c r="L2460" s="15"/>
      <c r="M2460" s="36" t="str">
        <f t="array" ref="M2460">IF($A2460="","",IF($L2460="Atendido",IFERROR($I2460*INDEX(Config!$B:$B,MATCH($C2460,Config!$A:$A,0)),0),0))</f>
        <v/>
      </c>
      <c r="N2460" s="36" t="str">
        <f t="shared" si="2"/>
        <v/>
      </c>
      <c r="O2460" s="36" t="str">
        <f t="shared" si="3"/>
        <v/>
      </c>
      <c r="P2460" s="15"/>
      <c r="Q2460" s="37" t="str">
        <f t="shared" si="4"/>
        <v/>
      </c>
      <c r="R2460" s="37" t="str">
        <f t="shared" si="5"/>
        <v/>
      </c>
      <c r="S2460" s="32" t="str">
        <f t="shared" si="6"/>
        <v/>
      </c>
      <c r="T2460" s="37" t="str">
        <f t="shared" si="7"/>
        <v/>
      </c>
      <c r="U2460" s="37" t="str">
        <f t="array" ref="U2460">IF($F2460="","",IFERROR(INDEX(Config!$F:$F,MATCH($F2460,Config!$D:$D,0)),0))</f>
        <v/>
      </c>
    </row>
    <row r="2461" ht="15.0" customHeight="1">
      <c r="A2461" s="34"/>
      <c r="B2461" s="35"/>
      <c r="C2461" s="15"/>
      <c r="D2461" s="15"/>
      <c r="E2461" s="15"/>
      <c r="F2461" s="15"/>
      <c r="G2461" s="36" t="str">
        <f t="array" ref="G2461">IF($F2461="","",IFERROR(INDEX(Config!$E:$E,MATCH($F2461,Config!$D:$D,0)),0))</f>
        <v/>
      </c>
      <c r="H2461" s="16"/>
      <c r="I2461" s="36" t="str">
        <f t="shared" si="1"/>
        <v/>
      </c>
      <c r="J2461" s="16"/>
      <c r="K2461" s="15"/>
      <c r="L2461" s="15"/>
      <c r="M2461" s="36" t="str">
        <f t="array" ref="M2461">IF($A2461="","",IF($L2461="Atendido",IFERROR($I2461*INDEX(Config!$B:$B,MATCH($C2461,Config!$A:$A,0)),0),0))</f>
        <v/>
      </c>
      <c r="N2461" s="36" t="str">
        <f t="shared" si="2"/>
        <v/>
      </c>
      <c r="O2461" s="36" t="str">
        <f t="shared" si="3"/>
        <v/>
      </c>
      <c r="P2461" s="15"/>
      <c r="Q2461" s="37" t="str">
        <f t="shared" si="4"/>
        <v/>
      </c>
      <c r="R2461" s="37" t="str">
        <f t="shared" si="5"/>
        <v/>
      </c>
      <c r="S2461" s="32" t="str">
        <f t="shared" si="6"/>
        <v/>
      </c>
      <c r="T2461" s="37" t="str">
        <f t="shared" si="7"/>
        <v/>
      </c>
      <c r="U2461" s="37" t="str">
        <f t="array" ref="U2461">IF($F2461="","",IFERROR(INDEX(Config!$F:$F,MATCH($F2461,Config!$D:$D,0)),0))</f>
        <v/>
      </c>
    </row>
    <row r="2462" ht="15.0" customHeight="1">
      <c r="A2462" s="34"/>
      <c r="B2462" s="35"/>
      <c r="C2462" s="15"/>
      <c r="D2462" s="15"/>
      <c r="E2462" s="15"/>
      <c r="F2462" s="15"/>
      <c r="G2462" s="36" t="str">
        <f t="array" ref="G2462">IF($F2462="","",IFERROR(INDEX(Config!$E:$E,MATCH($F2462,Config!$D:$D,0)),0))</f>
        <v/>
      </c>
      <c r="H2462" s="16"/>
      <c r="I2462" s="36" t="str">
        <f t="shared" si="1"/>
        <v/>
      </c>
      <c r="J2462" s="16"/>
      <c r="K2462" s="15"/>
      <c r="L2462" s="15"/>
      <c r="M2462" s="36" t="str">
        <f t="array" ref="M2462">IF($A2462="","",IF($L2462="Atendido",IFERROR($I2462*INDEX(Config!$B:$B,MATCH($C2462,Config!$A:$A,0)),0),0))</f>
        <v/>
      </c>
      <c r="N2462" s="36" t="str">
        <f t="shared" si="2"/>
        <v/>
      </c>
      <c r="O2462" s="36" t="str">
        <f t="shared" si="3"/>
        <v/>
      </c>
      <c r="P2462" s="15"/>
      <c r="Q2462" s="37" t="str">
        <f t="shared" si="4"/>
        <v/>
      </c>
      <c r="R2462" s="37" t="str">
        <f t="shared" si="5"/>
        <v/>
      </c>
      <c r="S2462" s="32" t="str">
        <f t="shared" si="6"/>
        <v/>
      </c>
      <c r="T2462" s="37" t="str">
        <f t="shared" si="7"/>
        <v/>
      </c>
      <c r="U2462" s="37" t="str">
        <f t="array" ref="U2462">IF($F2462="","",IFERROR(INDEX(Config!$F:$F,MATCH($F2462,Config!$D:$D,0)),0))</f>
        <v/>
      </c>
    </row>
    <row r="2463" ht="15.0" customHeight="1">
      <c r="A2463" s="34"/>
      <c r="B2463" s="35"/>
      <c r="C2463" s="15"/>
      <c r="D2463" s="15"/>
      <c r="E2463" s="15"/>
      <c r="F2463" s="15"/>
      <c r="G2463" s="36" t="str">
        <f t="array" ref="G2463">IF($F2463="","",IFERROR(INDEX(Config!$E:$E,MATCH($F2463,Config!$D:$D,0)),0))</f>
        <v/>
      </c>
      <c r="H2463" s="16"/>
      <c r="I2463" s="36" t="str">
        <f t="shared" si="1"/>
        <v/>
      </c>
      <c r="J2463" s="16"/>
      <c r="K2463" s="15"/>
      <c r="L2463" s="15"/>
      <c r="M2463" s="36" t="str">
        <f t="array" ref="M2463">IF($A2463="","",IF($L2463="Atendido",IFERROR($I2463*INDEX(Config!$B:$B,MATCH($C2463,Config!$A:$A,0)),0),0))</f>
        <v/>
      </c>
      <c r="N2463" s="36" t="str">
        <f t="shared" si="2"/>
        <v/>
      </c>
      <c r="O2463" s="36" t="str">
        <f t="shared" si="3"/>
        <v/>
      </c>
      <c r="P2463" s="15"/>
      <c r="Q2463" s="37" t="str">
        <f t="shared" si="4"/>
        <v/>
      </c>
      <c r="R2463" s="37" t="str">
        <f t="shared" si="5"/>
        <v/>
      </c>
      <c r="S2463" s="32" t="str">
        <f t="shared" si="6"/>
        <v/>
      </c>
      <c r="T2463" s="37" t="str">
        <f t="shared" si="7"/>
        <v/>
      </c>
      <c r="U2463" s="37" t="str">
        <f t="array" ref="U2463">IF($F2463="","",IFERROR(INDEX(Config!$F:$F,MATCH($F2463,Config!$D:$D,0)),0))</f>
        <v/>
      </c>
    </row>
    <row r="2464" ht="15.0" customHeight="1">
      <c r="A2464" s="34"/>
      <c r="B2464" s="35"/>
      <c r="C2464" s="15"/>
      <c r="D2464" s="15"/>
      <c r="E2464" s="15"/>
      <c r="F2464" s="15"/>
      <c r="G2464" s="36" t="str">
        <f t="array" ref="G2464">IF($F2464="","",IFERROR(INDEX(Config!$E:$E,MATCH($F2464,Config!$D:$D,0)),0))</f>
        <v/>
      </c>
      <c r="H2464" s="16"/>
      <c r="I2464" s="36" t="str">
        <f t="shared" si="1"/>
        <v/>
      </c>
      <c r="J2464" s="16"/>
      <c r="K2464" s="15"/>
      <c r="L2464" s="15"/>
      <c r="M2464" s="36" t="str">
        <f t="array" ref="M2464">IF($A2464="","",IF($L2464="Atendido",IFERROR($I2464*INDEX(Config!$B:$B,MATCH($C2464,Config!$A:$A,0)),0),0))</f>
        <v/>
      </c>
      <c r="N2464" s="36" t="str">
        <f t="shared" si="2"/>
        <v/>
      </c>
      <c r="O2464" s="36" t="str">
        <f t="shared" si="3"/>
        <v/>
      </c>
      <c r="P2464" s="15"/>
      <c r="Q2464" s="37" t="str">
        <f t="shared" si="4"/>
        <v/>
      </c>
      <c r="R2464" s="37" t="str">
        <f t="shared" si="5"/>
        <v/>
      </c>
      <c r="S2464" s="32" t="str">
        <f t="shared" si="6"/>
        <v/>
      </c>
      <c r="T2464" s="37" t="str">
        <f t="shared" si="7"/>
        <v/>
      </c>
      <c r="U2464" s="37" t="str">
        <f t="array" ref="U2464">IF($F2464="","",IFERROR(INDEX(Config!$F:$F,MATCH($F2464,Config!$D:$D,0)),0))</f>
        <v/>
      </c>
    </row>
    <row r="2465" ht="15.0" customHeight="1">
      <c r="A2465" s="34"/>
      <c r="B2465" s="35"/>
      <c r="C2465" s="15"/>
      <c r="D2465" s="15"/>
      <c r="E2465" s="15"/>
      <c r="F2465" s="15"/>
      <c r="G2465" s="36" t="str">
        <f t="array" ref="G2465">IF($F2465="","",IFERROR(INDEX(Config!$E:$E,MATCH($F2465,Config!$D:$D,0)),0))</f>
        <v/>
      </c>
      <c r="H2465" s="16"/>
      <c r="I2465" s="36" t="str">
        <f t="shared" si="1"/>
        <v/>
      </c>
      <c r="J2465" s="16"/>
      <c r="K2465" s="15"/>
      <c r="L2465" s="15"/>
      <c r="M2465" s="36" t="str">
        <f t="array" ref="M2465">IF($A2465="","",IF($L2465="Atendido",IFERROR($I2465*INDEX(Config!$B:$B,MATCH($C2465,Config!$A:$A,0)),0),0))</f>
        <v/>
      </c>
      <c r="N2465" s="36" t="str">
        <f t="shared" si="2"/>
        <v/>
      </c>
      <c r="O2465" s="36" t="str">
        <f t="shared" si="3"/>
        <v/>
      </c>
      <c r="P2465" s="15"/>
      <c r="Q2465" s="37" t="str">
        <f t="shared" si="4"/>
        <v/>
      </c>
      <c r="R2465" s="37" t="str">
        <f t="shared" si="5"/>
        <v/>
      </c>
      <c r="S2465" s="32" t="str">
        <f t="shared" si="6"/>
        <v/>
      </c>
      <c r="T2465" s="37" t="str">
        <f t="shared" si="7"/>
        <v/>
      </c>
      <c r="U2465" s="37" t="str">
        <f t="array" ref="U2465">IF($F2465="","",IFERROR(INDEX(Config!$F:$F,MATCH($F2465,Config!$D:$D,0)),0))</f>
        <v/>
      </c>
    </row>
    <row r="2466" ht="15.0" customHeight="1">
      <c r="A2466" s="34"/>
      <c r="B2466" s="35"/>
      <c r="C2466" s="15"/>
      <c r="D2466" s="15"/>
      <c r="E2466" s="15"/>
      <c r="F2466" s="15"/>
      <c r="G2466" s="36" t="str">
        <f t="array" ref="G2466">IF($F2466="","",IFERROR(INDEX(Config!$E:$E,MATCH($F2466,Config!$D:$D,0)),0))</f>
        <v/>
      </c>
      <c r="H2466" s="16"/>
      <c r="I2466" s="36" t="str">
        <f t="shared" si="1"/>
        <v/>
      </c>
      <c r="J2466" s="16"/>
      <c r="K2466" s="15"/>
      <c r="L2466" s="15"/>
      <c r="M2466" s="36" t="str">
        <f t="array" ref="M2466">IF($A2466="","",IF($L2466="Atendido",IFERROR($I2466*INDEX(Config!$B:$B,MATCH($C2466,Config!$A:$A,0)),0),0))</f>
        <v/>
      </c>
      <c r="N2466" s="36" t="str">
        <f t="shared" si="2"/>
        <v/>
      </c>
      <c r="O2466" s="36" t="str">
        <f t="shared" si="3"/>
        <v/>
      </c>
      <c r="P2466" s="15"/>
      <c r="Q2466" s="37" t="str">
        <f t="shared" si="4"/>
        <v/>
      </c>
      <c r="R2466" s="37" t="str">
        <f t="shared" si="5"/>
        <v/>
      </c>
      <c r="S2466" s="32" t="str">
        <f t="shared" si="6"/>
        <v/>
      </c>
      <c r="T2466" s="37" t="str">
        <f t="shared" si="7"/>
        <v/>
      </c>
      <c r="U2466" s="37" t="str">
        <f t="array" ref="U2466">IF($F2466="","",IFERROR(INDEX(Config!$F:$F,MATCH($F2466,Config!$D:$D,0)),0))</f>
        <v/>
      </c>
    </row>
    <row r="2467" ht="15.0" customHeight="1">
      <c r="A2467" s="34"/>
      <c r="B2467" s="35"/>
      <c r="C2467" s="15"/>
      <c r="D2467" s="15"/>
      <c r="E2467" s="15"/>
      <c r="F2467" s="15"/>
      <c r="G2467" s="36" t="str">
        <f t="array" ref="G2467">IF($F2467="","",IFERROR(INDEX(Config!$E:$E,MATCH($F2467,Config!$D:$D,0)),0))</f>
        <v/>
      </c>
      <c r="H2467" s="16"/>
      <c r="I2467" s="36" t="str">
        <f t="shared" si="1"/>
        <v/>
      </c>
      <c r="J2467" s="16"/>
      <c r="K2467" s="15"/>
      <c r="L2467" s="15"/>
      <c r="M2467" s="36" t="str">
        <f t="array" ref="M2467">IF($A2467="","",IF($L2467="Atendido",IFERROR($I2467*INDEX(Config!$B:$B,MATCH($C2467,Config!$A:$A,0)),0),0))</f>
        <v/>
      </c>
      <c r="N2467" s="36" t="str">
        <f t="shared" si="2"/>
        <v/>
      </c>
      <c r="O2467" s="36" t="str">
        <f t="shared" si="3"/>
        <v/>
      </c>
      <c r="P2467" s="15"/>
      <c r="Q2467" s="37" t="str">
        <f t="shared" si="4"/>
        <v/>
      </c>
      <c r="R2467" s="37" t="str">
        <f t="shared" si="5"/>
        <v/>
      </c>
      <c r="S2467" s="32" t="str">
        <f t="shared" si="6"/>
        <v/>
      </c>
      <c r="T2467" s="37" t="str">
        <f t="shared" si="7"/>
        <v/>
      </c>
      <c r="U2467" s="37" t="str">
        <f t="array" ref="U2467">IF($F2467="","",IFERROR(INDEX(Config!$F:$F,MATCH($F2467,Config!$D:$D,0)),0))</f>
        <v/>
      </c>
    </row>
    <row r="2468" ht="15.0" customHeight="1">
      <c r="A2468" s="34"/>
      <c r="B2468" s="35"/>
      <c r="C2468" s="15"/>
      <c r="D2468" s="15"/>
      <c r="E2468" s="15"/>
      <c r="F2468" s="15"/>
      <c r="G2468" s="36" t="str">
        <f t="array" ref="G2468">IF($F2468="","",IFERROR(INDEX(Config!$E:$E,MATCH($F2468,Config!$D:$D,0)),0))</f>
        <v/>
      </c>
      <c r="H2468" s="16"/>
      <c r="I2468" s="36" t="str">
        <f t="shared" si="1"/>
        <v/>
      </c>
      <c r="J2468" s="16"/>
      <c r="K2468" s="15"/>
      <c r="L2468" s="15"/>
      <c r="M2468" s="36" t="str">
        <f t="array" ref="M2468">IF($A2468="","",IF($L2468="Atendido",IFERROR($I2468*INDEX(Config!$B:$B,MATCH($C2468,Config!$A:$A,0)),0),0))</f>
        <v/>
      </c>
      <c r="N2468" s="36" t="str">
        <f t="shared" si="2"/>
        <v/>
      </c>
      <c r="O2468" s="36" t="str">
        <f t="shared" si="3"/>
        <v/>
      </c>
      <c r="P2468" s="15"/>
      <c r="Q2468" s="37" t="str">
        <f t="shared" si="4"/>
        <v/>
      </c>
      <c r="R2468" s="37" t="str">
        <f t="shared" si="5"/>
        <v/>
      </c>
      <c r="S2468" s="32" t="str">
        <f t="shared" si="6"/>
        <v/>
      </c>
      <c r="T2468" s="37" t="str">
        <f t="shared" si="7"/>
        <v/>
      </c>
      <c r="U2468" s="37" t="str">
        <f t="array" ref="U2468">IF($F2468="","",IFERROR(INDEX(Config!$F:$F,MATCH($F2468,Config!$D:$D,0)),0))</f>
        <v/>
      </c>
    </row>
    <row r="2469" ht="15.0" customHeight="1">
      <c r="A2469" s="34"/>
      <c r="B2469" s="35"/>
      <c r="C2469" s="15"/>
      <c r="D2469" s="15"/>
      <c r="E2469" s="15"/>
      <c r="F2469" s="15"/>
      <c r="G2469" s="36" t="str">
        <f t="array" ref="G2469">IF($F2469="","",IFERROR(INDEX(Config!$E:$E,MATCH($F2469,Config!$D:$D,0)),0))</f>
        <v/>
      </c>
      <c r="H2469" s="16"/>
      <c r="I2469" s="36" t="str">
        <f t="shared" si="1"/>
        <v/>
      </c>
      <c r="J2469" s="16"/>
      <c r="K2469" s="15"/>
      <c r="L2469" s="15"/>
      <c r="M2469" s="36" t="str">
        <f t="array" ref="M2469">IF($A2469="","",IF($L2469="Atendido",IFERROR($I2469*INDEX(Config!$B:$B,MATCH($C2469,Config!$A:$A,0)),0),0))</f>
        <v/>
      </c>
      <c r="N2469" s="36" t="str">
        <f t="shared" si="2"/>
        <v/>
      </c>
      <c r="O2469" s="36" t="str">
        <f t="shared" si="3"/>
        <v/>
      </c>
      <c r="P2469" s="15"/>
      <c r="Q2469" s="37" t="str">
        <f t="shared" si="4"/>
        <v/>
      </c>
      <c r="R2469" s="37" t="str">
        <f t="shared" si="5"/>
        <v/>
      </c>
      <c r="S2469" s="32" t="str">
        <f t="shared" si="6"/>
        <v/>
      </c>
      <c r="T2469" s="37" t="str">
        <f t="shared" si="7"/>
        <v/>
      </c>
      <c r="U2469" s="37" t="str">
        <f t="array" ref="U2469">IF($F2469="","",IFERROR(INDEX(Config!$F:$F,MATCH($F2469,Config!$D:$D,0)),0))</f>
        <v/>
      </c>
    </row>
    <row r="2470" ht="15.0" customHeight="1">
      <c r="A2470" s="34"/>
      <c r="B2470" s="35"/>
      <c r="C2470" s="15"/>
      <c r="D2470" s="15"/>
      <c r="E2470" s="15"/>
      <c r="F2470" s="15"/>
      <c r="G2470" s="36" t="str">
        <f t="array" ref="G2470">IF($F2470="","",IFERROR(INDEX(Config!$E:$E,MATCH($F2470,Config!$D:$D,0)),0))</f>
        <v/>
      </c>
      <c r="H2470" s="16"/>
      <c r="I2470" s="36" t="str">
        <f t="shared" si="1"/>
        <v/>
      </c>
      <c r="J2470" s="16"/>
      <c r="K2470" s="15"/>
      <c r="L2470" s="15"/>
      <c r="M2470" s="36" t="str">
        <f t="array" ref="M2470">IF($A2470="","",IF($L2470="Atendido",IFERROR($I2470*INDEX(Config!$B:$B,MATCH($C2470,Config!$A:$A,0)),0),0))</f>
        <v/>
      </c>
      <c r="N2470" s="36" t="str">
        <f t="shared" si="2"/>
        <v/>
      </c>
      <c r="O2470" s="36" t="str">
        <f t="shared" si="3"/>
        <v/>
      </c>
      <c r="P2470" s="15"/>
      <c r="Q2470" s="37" t="str">
        <f t="shared" si="4"/>
        <v/>
      </c>
      <c r="R2470" s="37" t="str">
        <f t="shared" si="5"/>
        <v/>
      </c>
      <c r="S2470" s="32" t="str">
        <f t="shared" si="6"/>
        <v/>
      </c>
      <c r="T2470" s="37" t="str">
        <f t="shared" si="7"/>
        <v/>
      </c>
      <c r="U2470" s="37" t="str">
        <f t="array" ref="U2470">IF($F2470="","",IFERROR(INDEX(Config!$F:$F,MATCH($F2470,Config!$D:$D,0)),0))</f>
        <v/>
      </c>
    </row>
    <row r="2471" ht="15.0" customHeight="1">
      <c r="A2471" s="34"/>
      <c r="B2471" s="35"/>
      <c r="C2471" s="15"/>
      <c r="D2471" s="15"/>
      <c r="E2471" s="15"/>
      <c r="F2471" s="15"/>
      <c r="G2471" s="36" t="str">
        <f t="array" ref="G2471">IF($F2471="","",IFERROR(INDEX(Config!$E:$E,MATCH($F2471,Config!$D:$D,0)),0))</f>
        <v/>
      </c>
      <c r="H2471" s="16"/>
      <c r="I2471" s="36" t="str">
        <f t="shared" si="1"/>
        <v/>
      </c>
      <c r="J2471" s="16"/>
      <c r="K2471" s="15"/>
      <c r="L2471" s="15"/>
      <c r="M2471" s="36" t="str">
        <f t="array" ref="M2471">IF($A2471="","",IF($L2471="Atendido",IFERROR($I2471*INDEX(Config!$B:$B,MATCH($C2471,Config!$A:$A,0)),0),0))</f>
        <v/>
      </c>
      <c r="N2471" s="36" t="str">
        <f t="shared" si="2"/>
        <v/>
      </c>
      <c r="O2471" s="36" t="str">
        <f t="shared" si="3"/>
        <v/>
      </c>
      <c r="P2471" s="15"/>
      <c r="Q2471" s="37" t="str">
        <f t="shared" si="4"/>
        <v/>
      </c>
      <c r="R2471" s="37" t="str">
        <f t="shared" si="5"/>
        <v/>
      </c>
      <c r="S2471" s="32" t="str">
        <f t="shared" si="6"/>
        <v/>
      </c>
      <c r="T2471" s="37" t="str">
        <f t="shared" si="7"/>
        <v/>
      </c>
      <c r="U2471" s="37" t="str">
        <f t="array" ref="U2471">IF($F2471="","",IFERROR(INDEX(Config!$F:$F,MATCH($F2471,Config!$D:$D,0)),0))</f>
        <v/>
      </c>
    </row>
    <row r="2472" ht="15.0" customHeight="1">
      <c r="A2472" s="34"/>
      <c r="B2472" s="35"/>
      <c r="C2472" s="15"/>
      <c r="D2472" s="15"/>
      <c r="E2472" s="15"/>
      <c r="F2472" s="15"/>
      <c r="G2472" s="36" t="str">
        <f t="array" ref="G2472">IF($F2472="","",IFERROR(INDEX(Config!$E:$E,MATCH($F2472,Config!$D:$D,0)),0))</f>
        <v/>
      </c>
      <c r="H2472" s="16"/>
      <c r="I2472" s="36" t="str">
        <f t="shared" si="1"/>
        <v/>
      </c>
      <c r="J2472" s="16"/>
      <c r="K2472" s="15"/>
      <c r="L2472" s="15"/>
      <c r="M2472" s="36" t="str">
        <f t="array" ref="M2472">IF($A2472="","",IF($L2472="Atendido",IFERROR($I2472*INDEX(Config!$B:$B,MATCH($C2472,Config!$A:$A,0)),0),0))</f>
        <v/>
      </c>
      <c r="N2472" s="36" t="str">
        <f t="shared" si="2"/>
        <v/>
      </c>
      <c r="O2472" s="36" t="str">
        <f t="shared" si="3"/>
        <v/>
      </c>
      <c r="P2472" s="15"/>
      <c r="Q2472" s="37" t="str">
        <f t="shared" si="4"/>
        <v/>
      </c>
      <c r="R2472" s="37" t="str">
        <f t="shared" si="5"/>
        <v/>
      </c>
      <c r="S2472" s="32" t="str">
        <f t="shared" si="6"/>
        <v/>
      </c>
      <c r="T2472" s="37" t="str">
        <f t="shared" si="7"/>
        <v/>
      </c>
      <c r="U2472" s="37" t="str">
        <f t="array" ref="U2472">IF($F2472="","",IFERROR(INDEX(Config!$F:$F,MATCH($F2472,Config!$D:$D,0)),0))</f>
        <v/>
      </c>
    </row>
    <row r="2473" ht="15.0" customHeight="1">
      <c r="A2473" s="34"/>
      <c r="B2473" s="35"/>
      <c r="C2473" s="15"/>
      <c r="D2473" s="15"/>
      <c r="E2473" s="15"/>
      <c r="F2473" s="15"/>
      <c r="G2473" s="36" t="str">
        <f t="array" ref="G2473">IF($F2473="","",IFERROR(INDEX(Config!$E:$E,MATCH($F2473,Config!$D:$D,0)),0))</f>
        <v/>
      </c>
      <c r="H2473" s="16"/>
      <c r="I2473" s="36" t="str">
        <f t="shared" si="1"/>
        <v/>
      </c>
      <c r="J2473" s="16"/>
      <c r="K2473" s="15"/>
      <c r="L2473" s="15"/>
      <c r="M2473" s="36" t="str">
        <f t="array" ref="M2473">IF($A2473="","",IF($L2473="Atendido",IFERROR($I2473*INDEX(Config!$B:$B,MATCH($C2473,Config!$A:$A,0)),0),0))</f>
        <v/>
      </c>
      <c r="N2473" s="36" t="str">
        <f t="shared" si="2"/>
        <v/>
      </c>
      <c r="O2473" s="36" t="str">
        <f t="shared" si="3"/>
        <v/>
      </c>
      <c r="P2473" s="15"/>
      <c r="Q2473" s="37" t="str">
        <f t="shared" si="4"/>
        <v/>
      </c>
      <c r="R2473" s="37" t="str">
        <f t="shared" si="5"/>
        <v/>
      </c>
      <c r="S2473" s="32" t="str">
        <f t="shared" si="6"/>
        <v/>
      </c>
      <c r="T2473" s="37" t="str">
        <f t="shared" si="7"/>
        <v/>
      </c>
      <c r="U2473" s="37" t="str">
        <f t="array" ref="U2473">IF($F2473="","",IFERROR(INDEX(Config!$F:$F,MATCH($F2473,Config!$D:$D,0)),0))</f>
        <v/>
      </c>
    </row>
    <row r="2474" ht="15.0" customHeight="1">
      <c r="A2474" s="34"/>
      <c r="B2474" s="35"/>
      <c r="C2474" s="15"/>
      <c r="D2474" s="15"/>
      <c r="E2474" s="15"/>
      <c r="F2474" s="15"/>
      <c r="G2474" s="36" t="str">
        <f t="array" ref="G2474">IF($F2474="","",IFERROR(INDEX(Config!$E:$E,MATCH($F2474,Config!$D:$D,0)),0))</f>
        <v/>
      </c>
      <c r="H2474" s="16"/>
      <c r="I2474" s="36" t="str">
        <f t="shared" si="1"/>
        <v/>
      </c>
      <c r="J2474" s="16"/>
      <c r="K2474" s="15"/>
      <c r="L2474" s="15"/>
      <c r="M2474" s="36" t="str">
        <f t="array" ref="M2474">IF($A2474="","",IF($L2474="Atendido",IFERROR($I2474*INDEX(Config!$B:$B,MATCH($C2474,Config!$A:$A,0)),0),0))</f>
        <v/>
      </c>
      <c r="N2474" s="36" t="str">
        <f t="shared" si="2"/>
        <v/>
      </c>
      <c r="O2474" s="36" t="str">
        <f t="shared" si="3"/>
        <v/>
      </c>
      <c r="P2474" s="15"/>
      <c r="Q2474" s="37" t="str">
        <f t="shared" si="4"/>
        <v/>
      </c>
      <c r="R2474" s="37" t="str">
        <f t="shared" si="5"/>
        <v/>
      </c>
      <c r="S2474" s="32" t="str">
        <f t="shared" si="6"/>
        <v/>
      </c>
      <c r="T2474" s="37" t="str">
        <f t="shared" si="7"/>
        <v/>
      </c>
      <c r="U2474" s="37" t="str">
        <f t="array" ref="U2474">IF($F2474="","",IFERROR(INDEX(Config!$F:$F,MATCH($F2474,Config!$D:$D,0)),0))</f>
        <v/>
      </c>
    </row>
    <row r="2475" ht="15.0" customHeight="1">
      <c r="A2475" s="34"/>
      <c r="B2475" s="35"/>
      <c r="C2475" s="15"/>
      <c r="D2475" s="15"/>
      <c r="E2475" s="15"/>
      <c r="F2475" s="15"/>
      <c r="G2475" s="36" t="str">
        <f t="array" ref="G2475">IF($F2475="","",IFERROR(INDEX(Config!$E:$E,MATCH($F2475,Config!$D:$D,0)),0))</f>
        <v/>
      </c>
      <c r="H2475" s="16"/>
      <c r="I2475" s="36" t="str">
        <f t="shared" si="1"/>
        <v/>
      </c>
      <c r="J2475" s="16"/>
      <c r="K2475" s="15"/>
      <c r="L2475" s="15"/>
      <c r="M2475" s="36" t="str">
        <f t="array" ref="M2475">IF($A2475="","",IF($L2475="Atendido",IFERROR($I2475*INDEX(Config!$B:$B,MATCH($C2475,Config!$A:$A,0)),0),0))</f>
        <v/>
      </c>
      <c r="N2475" s="36" t="str">
        <f t="shared" si="2"/>
        <v/>
      </c>
      <c r="O2475" s="36" t="str">
        <f t="shared" si="3"/>
        <v/>
      </c>
      <c r="P2475" s="15"/>
      <c r="Q2475" s="37" t="str">
        <f t="shared" si="4"/>
        <v/>
      </c>
      <c r="R2475" s="37" t="str">
        <f t="shared" si="5"/>
        <v/>
      </c>
      <c r="S2475" s="32" t="str">
        <f t="shared" si="6"/>
        <v/>
      </c>
      <c r="T2475" s="37" t="str">
        <f t="shared" si="7"/>
        <v/>
      </c>
      <c r="U2475" s="37" t="str">
        <f t="array" ref="U2475">IF($F2475="","",IFERROR(INDEX(Config!$F:$F,MATCH($F2475,Config!$D:$D,0)),0))</f>
        <v/>
      </c>
    </row>
    <row r="2476" ht="15.0" customHeight="1">
      <c r="A2476" s="34"/>
      <c r="B2476" s="35"/>
      <c r="C2476" s="15"/>
      <c r="D2476" s="15"/>
      <c r="E2476" s="15"/>
      <c r="F2476" s="15"/>
      <c r="G2476" s="36" t="str">
        <f t="array" ref="G2476">IF($F2476="","",IFERROR(INDEX(Config!$E:$E,MATCH($F2476,Config!$D:$D,0)),0))</f>
        <v/>
      </c>
      <c r="H2476" s="16"/>
      <c r="I2476" s="36" t="str">
        <f t="shared" si="1"/>
        <v/>
      </c>
      <c r="J2476" s="16"/>
      <c r="K2476" s="15"/>
      <c r="L2476" s="15"/>
      <c r="M2476" s="36" t="str">
        <f t="array" ref="M2476">IF($A2476="","",IF($L2476="Atendido",IFERROR($I2476*INDEX(Config!$B:$B,MATCH($C2476,Config!$A:$A,0)),0),0))</f>
        <v/>
      </c>
      <c r="N2476" s="36" t="str">
        <f t="shared" si="2"/>
        <v/>
      </c>
      <c r="O2476" s="36" t="str">
        <f t="shared" si="3"/>
        <v/>
      </c>
      <c r="P2476" s="15"/>
      <c r="Q2476" s="37" t="str">
        <f t="shared" si="4"/>
        <v/>
      </c>
      <c r="R2476" s="37" t="str">
        <f t="shared" si="5"/>
        <v/>
      </c>
      <c r="S2476" s="32" t="str">
        <f t="shared" si="6"/>
        <v/>
      </c>
      <c r="T2476" s="37" t="str">
        <f t="shared" si="7"/>
        <v/>
      </c>
      <c r="U2476" s="37" t="str">
        <f t="array" ref="U2476">IF($F2476="","",IFERROR(INDEX(Config!$F:$F,MATCH($F2476,Config!$D:$D,0)),0))</f>
        <v/>
      </c>
    </row>
    <row r="2477" ht="15.0" customHeight="1">
      <c r="A2477" s="34"/>
      <c r="B2477" s="35"/>
      <c r="C2477" s="15"/>
      <c r="D2477" s="15"/>
      <c r="E2477" s="15"/>
      <c r="F2477" s="15"/>
      <c r="G2477" s="36" t="str">
        <f t="array" ref="G2477">IF($F2477="","",IFERROR(INDEX(Config!$E:$E,MATCH($F2477,Config!$D:$D,0)),0))</f>
        <v/>
      </c>
      <c r="H2477" s="16"/>
      <c r="I2477" s="36" t="str">
        <f t="shared" si="1"/>
        <v/>
      </c>
      <c r="J2477" s="16"/>
      <c r="K2477" s="15"/>
      <c r="L2477" s="15"/>
      <c r="M2477" s="36" t="str">
        <f t="array" ref="M2477">IF($A2477="","",IF($L2477="Atendido",IFERROR($I2477*INDEX(Config!$B:$B,MATCH($C2477,Config!$A:$A,0)),0),0))</f>
        <v/>
      </c>
      <c r="N2477" s="36" t="str">
        <f t="shared" si="2"/>
        <v/>
      </c>
      <c r="O2477" s="36" t="str">
        <f t="shared" si="3"/>
        <v/>
      </c>
      <c r="P2477" s="15"/>
      <c r="Q2477" s="37" t="str">
        <f t="shared" si="4"/>
        <v/>
      </c>
      <c r="R2477" s="37" t="str">
        <f t="shared" si="5"/>
        <v/>
      </c>
      <c r="S2477" s="32" t="str">
        <f t="shared" si="6"/>
        <v/>
      </c>
      <c r="T2477" s="37" t="str">
        <f t="shared" si="7"/>
        <v/>
      </c>
      <c r="U2477" s="37" t="str">
        <f t="array" ref="U2477">IF($F2477="","",IFERROR(INDEX(Config!$F:$F,MATCH($F2477,Config!$D:$D,0)),0))</f>
        <v/>
      </c>
    </row>
    <row r="2478" ht="15.0" customHeight="1">
      <c r="A2478" s="34"/>
      <c r="B2478" s="35"/>
      <c r="C2478" s="15"/>
      <c r="D2478" s="15"/>
      <c r="E2478" s="15"/>
      <c r="F2478" s="15"/>
      <c r="G2478" s="36" t="str">
        <f t="array" ref="G2478">IF($F2478="","",IFERROR(INDEX(Config!$E:$E,MATCH($F2478,Config!$D:$D,0)),0))</f>
        <v/>
      </c>
      <c r="H2478" s="16"/>
      <c r="I2478" s="36" t="str">
        <f t="shared" si="1"/>
        <v/>
      </c>
      <c r="J2478" s="16"/>
      <c r="K2478" s="15"/>
      <c r="L2478" s="15"/>
      <c r="M2478" s="36" t="str">
        <f t="array" ref="M2478">IF($A2478="","",IF($L2478="Atendido",IFERROR($I2478*INDEX(Config!$B:$B,MATCH($C2478,Config!$A:$A,0)),0),0))</f>
        <v/>
      </c>
      <c r="N2478" s="36" t="str">
        <f t="shared" si="2"/>
        <v/>
      </c>
      <c r="O2478" s="36" t="str">
        <f t="shared" si="3"/>
        <v/>
      </c>
      <c r="P2478" s="15"/>
      <c r="Q2478" s="37" t="str">
        <f t="shared" si="4"/>
        <v/>
      </c>
      <c r="R2478" s="37" t="str">
        <f t="shared" si="5"/>
        <v/>
      </c>
      <c r="S2478" s="32" t="str">
        <f t="shared" si="6"/>
        <v/>
      </c>
      <c r="T2478" s="37" t="str">
        <f t="shared" si="7"/>
        <v/>
      </c>
      <c r="U2478" s="37" t="str">
        <f t="array" ref="U2478">IF($F2478="","",IFERROR(INDEX(Config!$F:$F,MATCH($F2478,Config!$D:$D,0)),0))</f>
        <v/>
      </c>
    </row>
    <row r="2479" ht="15.0" customHeight="1">
      <c r="A2479" s="34"/>
      <c r="B2479" s="35"/>
      <c r="C2479" s="15"/>
      <c r="D2479" s="15"/>
      <c r="E2479" s="15"/>
      <c r="F2479" s="15"/>
      <c r="G2479" s="36" t="str">
        <f t="array" ref="G2479">IF($F2479="","",IFERROR(INDEX(Config!$E:$E,MATCH($F2479,Config!$D:$D,0)),0))</f>
        <v/>
      </c>
      <c r="H2479" s="16"/>
      <c r="I2479" s="36" t="str">
        <f t="shared" si="1"/>
        <v/>
      </c>
      <c r="J2479" s="16"/>
      <c r="K2479" s="15"/>
      <c r="L2479" s="15"/>
      <c r="M2479" s="36" t="str">
        <f t="array" ref="M2479">IF($A2479="","",IF($L2479="Atendido",IFERROR($I2479*INDEX(Config!$B:$B,MATCH($C2479,Config!$A:$A,0)),0),0))</f>
        <v/>
      </c>
      <c r="N2479" s="36" t="str">
        <f t="shared" si="2"/>
        <v/>
      </c>
      <c r="O2479" s="36" t="str">
        <f t="shared" si="3"/>
        <v/>
      </c>
      <c r="P2479" s="15"/>
      <c r="Q2479" s="37" t="str">
        <f t="shared" si="4"/>
        <v/>
      </c>
      <c r="R2479" s="37" t="str">
        <f t="shared" si="5"/>
        <v/>
      </c>
      <c r="S2479" s="32" t="str">
        <f t="shared" si="6"/>
        <v/>
      </c>
      <c r="T2479" s="37" t="str">
        <f t="shared" si="7"/>
        <v/>
      </c>
      <c r="U2479" s="37" t="str">
        <f t="array" ref="U2479">IF($F2479="","",IFERROR(INDEX(Config!$F:$F,MATCH($F2479,Config!$D:$D,0)),0))</f>
        <v/>
      </c>
    </row>
    <row r="2480" ht="15.0" customHeight="1">
      <c r="A2480" s="34"/>
      <c r="B2480" s="35"/>
      <c r="C2480" s="15"/>
      <c r="D2480" s="15"/>
      <c r="E2480" s="15"/>
      <c r="F2480" s="15"/>
      <c r="G2480" s="36" t="str">
        <f t="array" ref="G2480">IF($F2480="","",IFERROR(INDEX(Config!$E:$E,MATCH($F2480,Config!$D:$D,0)),0))</f>
        <v/>
      </c>
      <c r="H2480" s="16"/>
      <c r="I2480" s="36" t="str">
        <f t="shared" si="1"/>
        <v/>
      </c>
      <c r="J2480" s="16"/>
      <c r="K2480" s="15"/>
      <c r="L2480" s="15"/>
      <c r="M2480" s="36" t="str">
        <f t="array" ref="M2480">IF($A2480="","",IF($L2480="Atendido",IFERROR($I2480*INDEX(Config!$B:$B,MATCH($C2480,Config!$A:$A,0)),0),0))</f>
        <v/>
      </c>
      <c r="N2480" s="36" t="str">
        <f t="shared" si="2"/>
        <v/>
      </c>
      <c r="O2480" s="36" t="str">
        <f t="shared" si="3"/>
        <v/>
      </c>
      <c r="P2480" s="15"/>
      <c r="Q2480" s="37" t="str">
        <f t="shared" si="4"/>
        <v/>
      </c>
      <c r="R2480" s="37" t="str">
        <f t="shared" si="5"/>
        <v/>
      </c>
      <c r="S2480" s="32" t="str">
        <f t="shared" si="6"/>
        <v/>
      </c>
      <c r="T2480" s="37" t="str">
        <f t="shared" si="7"/>
        <v/>
      </c>
      <c r="U2480" s="37" t="str">
        <f t="array" ref="U2480">IF($F2480="","",IFERROR(INDEX(Config!$F:$F,MATCH($F2480,Config!$D:$D,0)),0))</f>
        <v/>
      </c>
    </row>
    <row r="2481" ht="15.0" customHeight="1">
      <c r="A2481" s="34"/>
      <c r="B2481" s="35"/>
      <c r="C2481" s="15"/>
      <c r="D2481" s="15"/>
      <c r="E2481" s="15"/>
      <c r="F2481" s="15"/>
      <c r="G2481" s="36" t="str">
        <f t="array" ref="G2481">IF($F2481="","",IFERROR(INDEX(Config!$E:$E,MATCH($F2481,Config!$D:$D,0)),0))</f>
        <v/>
      </c>
      <c r="H2481" s="16"/>
      <c r="I2481" s="36" t="str">
        <f t="shared" si="1"/>
        <v/>
      </c>
      <c r="J2481" s="16"/>
      <c r="K2481" s="15"/>
      <c r="L2481" s="15"/>
      <c r="M2481" s="36" t="str">
        <f t="array" ref="M2481">IF($A2481="","",IF($L2481="Atendido",IFERROR($I2481*INDEX(Config!$B:$B,MATCH($C2481,Config!$A:$A,0)),0),0))</f>
        <v/>
      </c>
      <c r="N2481" s="36" t="str">
        <f t="shared" si="2"/>
        <v/>
      </c>
      <c r="O2481" s="36" t="str">
        <f t="shared" si="3"/>
        <v/>
      </c>
      <c r="P2481" s="15"/>
      <c r="Q2481" s="37" t="str">
        <f t="shared" si="4"/>
        <v/>
      </c>
      <c r="R2481" s="37" t="str">
        <f t="shared" si="5"/>
        <v/>
      </c>
      <c r="S2481" s="32" t="str">
        <f t="shared" si="6"/>
        <v/>
      </c>
      <c r="T2481" s="37" t="str">
        <f t="shared" si="7"/>
        <v/>
      </c>
      <c r="U2481" s="37" t="str">
        <f t="array" ref="U2481">IF($F2481="","",IFERROR(INDEX(Config!$F:$F,MATCH($F2481,Config!$D:$D,0)),0))</f>
        <v/>
      </c>
    </row>
    <row r="2482" ht="15.0" customHeight="1">
      <c r="A2482" s="34"/>
      <c r="B2482" s="35"/>
      <c r="C2482" s="15"/>
      <c r="D2482" s="15"/>
      <c r="E2482" s="15"/>
      <c r="F2482" s="15"/>
      <c r="G2482" s="36" t="str">
        <f t="array" ref="G2482">IF($F2482="","",IFERROR(INDEX(Config!$E:$E,MATCH($F2482,Config!$D:$D,0)),0))</f>
        <v/>
      </c>
      <c r="H2482" s="16"/>
      <c r="I2482" s="36" t="str">
        <f t="shared" si="1"/>
        <v/>
      </c>
      <c r="J2482" s="16"/>
      <c r="K2482" s="15"/>
      <c r="L2482" s="15"/>
      <c r="M2482" s="36" t="str">
        <f t="array" ref="M2482">IF($A2482="","",IF($L2482="Atendido",IFERROR($I2482*INDEX(Config!$B:$B,MATCH($C2482,Config!$A:$A,0)),0),0))</f>
        <v/>
      </c>
      <c r="N2482" s="36" t="str">
        <f t="shared" si="2"/>
        <v/>
      </c>
      <c r="O2482" s="36" t="str">
        <f t="shared" si="3"/>
        <v/>
      </c>
      <c r="P2482" s="15"/>
      <c r="Q2482" s="37" t="str">
        <f t="shared" si="4"/>
        <v/>
      </c>
      <c r="R2482" s="37" t="str">
        <f t="shared" si="5"/>
        <v/>
      </c>
      <c r="S2482" s="32" t="str">
        <f t="shared" si="6"/>
        <v/>
      </c>
      <c r="T2482" s="37" t="str">
        <f t="shared" si="7"/>
        <v/>
      </c>
      <c r="U2482" s="37" t="str">
        <f t="array" ref="U2482">IF($F2482="","",IFERROR(INDEX(Config!$F:$F,MATCH($F2482,Config!$D:$D,0)),0))</f>
        <v/>
      </c>
    </row>
    <row r="2483" ht="15.0" customHeight="1">
      <c r="A2483" s="34"/>
      <c r="B2483" s="35"/>
      <c r="C2483" s="15"/>
      <c r="D2483" s="15"/>
      <c r="E2483" s="15"/>
      <c r="F2483" s="15"/>
      <c r="G2483" s="36" t="str">
        <f t="array" ref="G2483">IF($F2483="","",IFERROR(INDEX(Config!$E:$E,MATCH($F2483,Config!$D:$D,0)),0))</f>
        <v/>
      </c>
      <c r="H2483" s="16"/>
      <c r="I2483" s="36" t="str">
        <f t="shared" si="1"/>
        <v/>
      </c>
      <c r="J2483" s="16"/>
      <c r="K2483" s="15"/>
      <c r="L2483" s="15"/>
      <c r="M2483" s="36" t="str">
        <f t="array" ref="M2483">IF($A2483="","",IF($L2483="Atendido",IFERROR($I2483*INDEX(Config!$B:$B,MATCH($C2483,Config!$A:$A,0)),0),0))</f>
        <v/>
      </c>
      <c r="N2483" s="36" t="str">
        <f t="shared" si="2"/>
        <v/>
      </c>
      <c r="O2483" s="36" t="str">
        <f t="shared" si="3"/>
        <v/>
      </c>
      <c r="P2483" s="15"/>
      <c r="Q2483" s="37" t="str">
        <f t="shared" si="4"/>
        <v/>
      </c>
      <c r="R2483" s="37" t="str">
        <f t="shared" si="5"/>
        <v/>
      </c>
      <c r="S2483" s="32" t="str">
        <f t="shared" si="6"/>
        <v/>
      </c>
      <c r="T2483" s="37" t="str">
        <f t="shared" si="7"/>
        <v/>
      </c>
      <c r="U2483" s="37" t="str">
        <f t="array" ref="U2483">IF($F2483="","",IFERROR(INDEX(Config!$F:$F,MATCH($F2483,Config!$D:$D,0)),0))</f>
        <v/>
      </c>
    </row>
    <row r="2484" ht="15.0" customHeight="1">
      <c r="A2484" s="34"/>
      <c r="B2484" s="35"/>
      <c r="C2484" s="15"/>
      <c r="D2484" s="15"/>
      <c r="E2484" s="15"/>
      <c r="F2484" s="15"/>
      <c r="G2484" s="36" t="str">
        <f t="array" ref="G2484">IF($F2484="","",IFERROR(INDEX(Config!$E:$E,MATCH($F2484,Config!$D:$D,0)),0))</f>
        <v/>
      </c>
      <c r="H2484" s="16"/>
      <c r="I2484" s="36" t="str">
        <f t="shared" si="1"/>
        <v/>
      </c>
      <c r="J2484" s="16"/>
      <c r="K2484" s="15"/>
      <c r="L2484" s="15"/>
      <c r="M2484" s="36" t="str">
        <f t="array" ref="M2484">IF($A2484="","",IF($L2484="Atendido",IFERROR($I2484*INDEX(Config!$B:$B,MATCH($C2484,Config!$A:$A,0)),0),0))</f>
        <v/>
      </c>
      <c r="N2484" s="36" t="str">
        <f t="shared" si="2"/>
        <v/>
      </c>
      <c r="O2484" s="36" t="str">
        <f t="shared" si="3"/>
        <v/>
      </c>
      <c r="P2484" s="15"/>
      <c r="Q2484" s="37" t="str">
        <f t="shared" si="4"/>
        <v/>
      </c>
      <c r="R2484" s="37" t="str">
        <f t="shared" si="5"/>
        <v/>
      </c>
      <c r="S2484" s="32" t="str">
        <f t="shared" si="6"/>
        <v/>
      </c>
      <c r="T2484" s="37" t="str">
        <f t="shared" si="7"/>
        <v/>
      </c>
      <c r="U2484" s="37" t="str">
        <f t="array" ref="U2484">IF($F2484="","",IFERROR(INDEX(Config!$F:$F,MATCH($F2484,Config!$D:$D,0)),0))</f>
        <v/>
      </c>
    </row>
    <row r="2485" ht="15.0" customHeight="1">
      <c r="A2485" s="34"/>
      <c r="B2485" s="35"/>
      <c r="C2485" s="15"/>
      <c r="D2485" s="15"/>
      <c r="E2485" s="15"/>
      <c r="F2485" s="15"/>
      <c r="G2485" s="36" t="str">
        <f t="array" ref="G2485">IF($F2485="","",IFERROR(INDEX(Config!$E:$E,MATCH($F2485,Config!$D:$D,0)),0))</f>
        <v/>
      </c>
      <c r="H2485" s="16"/>
      <c r="I2485" s="36" t="str">
        <f t="shared" si="1"/>
        <v/>
      </c>
      <c r="J2485" s="16"/>
      <c r="K2485" s="15"/>
      <c r="L2485" s="15"/>
      <c r="M2485" s="36" t="str">
        <f t="array" ref="M2485">IF($A2485="","",IF($L2485="Atendido",IFERROR($I2485*INDEX(Config!$B:$B,MATCH($C2485,Config!$A:$A,0)),0),0))</f>
        <v/>
      </c>
      <c r="N2485" s="36" t="str">
        <f t="shared" si="2"/>
        <v/>
      </c>
      <c r="O2485" s="36" t="str">
        <f t="shared" si="3"/>
        <v/>
      </c>
      <c r="P2485" s="15"/>
      <c r="Q2485" s="37" t="str">
        <f t="shared" si="4"/>
        <v/>
      </c>
      <c r="R2485" s="37" t="str">
        <f t="shared" si="5"/>
        <v/>
      </c>
      <c r="S2485" s="32" t="str">
        <f t="shared" si="6"/>
        <v/>
      </c>
      <c r="T2485" s="37" t="str">
        <f t="shared" si="7"/>
        <v/>
      </c>
      <c r="U2485" s="37" t="str">
        <f t="array" ref="U2485">IF($F2485="","",IFERROR(INDEX(Config!$F:$F,MATCH($F2485,Config!$D:$D,0)),0))</f>
        <v/>
      </c>
    </row>
    <row r="2486" ht="15.0" customHeight="1">
      <c r="A2486" s="34"/>
      <c r="B2486" s="35"/>
      <c r="C2486" s="15"/>
      <c r="D2486" s="15"/>
      <c r="E2486" s="15"/>
      <c r="F2486" s="15"/>
      <c r="G2486" s="36" t="str">
        <f t="array" ref="G2486">IF($F2486="","",IFERROR(INDEX(Config!$E:$E,MATCH($F2486,Config!$D:$D,0)),0))</f>
        <v/>
      </c>
      <c r="H2486" s="16"/>
      <c r="I2486" s="36" t="str">
        <f t="shared" si="1"/>
        <v/>
      </c>
      <c r="J2486" s="16"/>
      <c r="K2486" s="15"/>
      <c r="L2486" s="15"/>
      <c r="M2486" s="36" t="str">
        <f t="array" ref="M2486">IF($A2486="","",IF($L2486="Atendido",IFERROR($I2486*INDEX(Config!$B:$B,MATCH($C2486,Config!$A:$A,0)),0),0))</f>
        <v/>
      </c>
      <c r="N2486" s="36" t="str">
        <f t="shared" si="2"/>
        <v/>
      </c>
      <c r="O2486" s="36" t="str">
        <f t="shared" si="3"/>
        <v/>
      </c>
      <c r="P2486" s="15"/>
      <c r="Q2486" s="37" t="str">
        <f t="shared" si="4"/>
        <v/>
      </c>
      <c r="R2486" s="37" t="str">
        <f t="shared" si="5"/>
        <v/>
      </c>
      <c r="S2486" s="32" t="str">
        <f t="shared" si="6"/>
        <v/>
      </c>
      <c r="T2486" s="37" t="str">
        <f t="shared" si="7"/>
        <v/>
      </c>
      <c r="U2486" s="37" t="str">
        <f t="array" ref="U2486">IF($F2486="","",IFERROR(INDEX(Config!$F:$F,MATCH($F2486,Config!$D:$D,0)),0))</f>
        <v/>
      </c>
    </row>
    <row r="2487" ht="15.0" customHeight="1">
      <c r="A2487" s="34"/>
      <c r="B2487" s="35"/>
      <c r="C2487" s="15"/>
      <c r="D2487" s="15"/>
      <c r="E2487" s="15"/>
      <c r="F2487" s="15"/>
      <c r="G2487" s="36" t="str">
        <f t="array" ref="G2487">IF($F2487="","",IFERROR(INDEX(Config!$E:$E,MATCH($F2487,Config!$D:$D,0)),0))</f>
        <v/>
      </c>
      <c r="H2487" s="16"/>
      <c r="I2487" s="36" t="str">
        <f t="shared" si="1"/>
        <v/>
      </c>
      <c r="J2487" s="16"/>
      <c r="K2487" s="15"/>
      <c r="L2487" s="15"/>
      <c r="M2487" s="36" t="str">
        <f t="array" ref="M2487">IF($A2487="","",IF($L2487="Atendido",IFERROR($I2487*INDEX(Config!$B:$B,MATCH($C2487,Config!$A:$A,0)),0),0))</f>
        <v/>
      </c>
      <c r="N2487" s="36" t="str">
        <f t="shared" si="2"/>
        <v/>
      </c>
      <c r="O2487" s="36" t="str">
        <f t="shared" si="3"/>
        <v/>
      </c>
      <c r="P2487" s="15"/>
      <c r="Q2487" s="37" t="str">
        <f t="shared" si="4"/>
        <v/>
      </c>
      <c r="R2487" s="37" t="str">
        <f t="shared" si="5"/>
        <v/>
      </c>
      <c r="S2487" s="32" t="str">
        <f t="shared" si="6"/>
        <v/>
      </c>
      <c r="T2487" s="37" t="str">
        <f t="shared" si="7"/>
        <v/>
      </c>
      <c r="U2487" s="37" t="str">
        <f t="array" ref="U2487">IF($F2487="","",IFERROR(INDEX(Config!$F:$F,MATCH($F2487,Config!$D:$D,0)),0))</f>
        <v/>
      </c>
    </row>
    <row r="2488" ht="15.0" customHeight="1">
      <c r="A2488" s="34"/>
      <c r="B2488" s="35"/>
      <c r="C2488" s="15"/>
      <c r="D2488" s="15"/>
      <c r="E2488" s="15"/>
      <c r="F2488" s="15"/>
      <c r="G2488" s="36" t="str">
        <f t="array" ref="G2488">IF($F2488="","",IFERROR(INDEX(Config!$E:$E,MATCH($F2488,Config!$D:$D,0)),0))</f>
        <v/>
      </c>
      <c r="H2488" s="16"/>
      <c r="I2488" s="36" t="str">
        <f t="shared" si="1"/>
        <v/>
      </c>
      <c r="J2488" s="16"/>
      <c r="K2488" s="15"/>
      <c r="L2488" s="15"/>
      <c r="M2488" s="36" t="str">
        <f t="array" ref="M2488">IF($A2488="","",IF($L2488="Atendido",IFERROR($I2488*INDEX(Config!$B:$B,MATCH($C2488,Config!$A:$A,0)),0),0))</f>
        <v/>
      </c>
      <c r="N2488" s="36" t="str">
        <f t="shared" si="2"/>
        <v/>
      </c>
      <c r="O2488" s="36" t="str">
        <f t="shared" si="3"/>
        <v/>
      </c>
      <c r="P2488" s="15"/>
      <c r="Q2488" s="37" t="str">
        <f t="shared" si="4"/>
        <v/>
      </c>
      <c r="R2488" s="37" t="str">
        <f t="shared" si="5"/>
        <v/>
      </c>
      <c r="S2488" s="32" t="str">
        <f t="shared" si="6"/>
        <v/>
      </c>
      <c r="T2488" s="37" t="str">
        <f t="shared" si="7"/>
        <v/>
      </c>
      <c r="U2488" s="37" t="str">
        <f t="array" ref="U2488">IF($F2488="","",IFERROR(INDEX(Config!$F:$F,MATCH($F2488,Config!$D:$D,0)),0))</f>
        <v/>
      </c>
    </row>
    <row r="2489" ht="15.0" customHeight="1">
      <c r="A2489" s="34"/>
      <c r="B2489" s="35"/>
      <c r="C2489" s="15"/>
      <c r="D2489" s="15"/>
      <c r="E2489" s="15"/>
      <c r="F2489" s="15"/>
      <c r="G2489" s="36" t="str">
        <f t="array" ref="G2489">IF($F2489="","",IFERROR(INDEX(Config!$E:$E,MATCH($F2489,Config!$D:$D,0)),0))</f>
        <v/>
      </c>
      <c r="H2489" s="16"/>
      <c r="I2489" s="36" t="str">
        <f t="shared" si="1"/>
        <v/>
      </c>
      <c r="J2489" s="16"/>
      <c r="K2489" s="15"/>
      <c r="L2489" s="15"/>
      <c r="M2489" s="36" t="str">
        <f t="array" ref="M2489">IF($A2489="","",IF($L2489="Atendido",IFERROR($I2489*INDEX(Config!$B:$B,MATCH($C2489,Config!$A:$A,0)),0),0))</f>
        <v/>
      </c>
      <c r="N2489" s="36" t="str">
        <f t="shared" si="2"/>
        <v/>
      </c>
      <c r="O2489" s="36" t="str">
        <f t="shared" si="3"/>
        <v/>
      </c>
      <c r="P2489" s="15"/>
      <c r="Q2489" s="37" t="str">
        <f t="shared" si="4"/>
        <v/>
      </c>
      <c r="R2489" s="37" t="str">
        <f t="shared" si="5"/>
        <v/>
      </c>
      <c r="S2489" s="32" t="str">
        <f t="shared" si="6"/>
        <v/>
      </c>
      <c r="T2489" s="37" t="str">
        <f t="shared" si="7"/>
        <v/>
      </c>
      <c r="U2489" s="37" t="str">
        <f t="array" ref="U2489">IF($F2489="","",IFERROR(INDEX(Config!$F:$F,MATCH($F2489,Config!$D:$D,0)),0))</f>
        <v/>
      </c>
    </row>
    <row r="2490" ht="15.0" customHeight="1">
      <c r="A2490" s="34"/>
      <c r="B2490" s="35"/>
      <c r="C2490" s="15"/>
      <c r="D2490" s="15"/>
      <c r="E2490" s="15"/>
      <c r="F2490" s="15"/>
      <c r="G2490" s="36" t="str">
        <f t="array" ref="G2490">IF($F2490="","",IFERROR(INDEX(Config!$E:$E,MATCH($F2490,Config!$D:$D,0)),0))</f>
        <v/>
      </c>
      <c r="H2490" s="16"/>
      <c r="I2490" s="36" t="str">
        <f t="shared" si="1"/>
        <v/>
      </c>
      <c r="J2490" s="16"/>
      <c r="K2490" s="15"/>
      <c r="L2490" s="15"/>
      <c r="M2490" s="36" t="str">
        <f t="array" ref="M2490">IF($A2490="","",IF($L2490="Atendido",IFERROR($I2490*INDEX(Config!$B:$B,MATCH($C2490,Config!$A:$A,0)),0),0))</f>
        <v/>
      </c>
      <c r="N2490" s="36" t="str">
        <f t="shared" si="2"/>
        <v/>
      </c>
      <c r="O2490" s="36" t="str">
        <f t="shared" si="3"/>
        <v/>
      </c>
      <c r="P2490" s="15"/>
      <c r="Q2490" s="37" t="str">
        <f t="shared" si="4"/>
        <v/>
      </c>
      <c r="R2490" s="37" t="str">
        <f t="shared" si="5"/>
        <v/>
      </c>
      <c r="S2490" s="32" t="str">
        <f t="shared" si="6"/>
        <v/>
      </c>
      <c r="T2490" s="37" t="str">
        <f t="shared" si="7"/>
        <v/>
      </c>
      <c r="U2490" s="37" t="str">
        <f t="array" ref="U2490">IF($F2490="","",IFERROR(INDEX(Config!$F:$F,MATCH($F2490,Config!$D:$D,0)),0))</f>
        <v/>
      </c>
    </row>
    <row r="2491" ht="15.0" customHeight="1">
      <c r="A2491" s="34"/>
      <c r="B2491" s="35"/>
      <c r="C2491" s="15"/>
      <c r="D2491" s="15"/>
      <c r="E2491" s="15"/>
      <c r="F2491" s="15"/>
      <c r="G2491" s="36" t="str">
        <f t="array" ref="G2491">IF($F2491="","",IFERROR(INDEX(Config!$E:$E,MATCH($F2491,Config!$D:$D,0)),0))</f>
        <v/>
      </c>
      <c r="H2491" s="16"/>
      <c r="I2491" s="36" t="str">
        <f t="shared" si="1"/>
        <v/>
      </c>
      <c r="J2491" s="16"/>
      <c r="K2491" s="15"/>
      <c r="L2491" s="15"/>
      <c r="M2491" s="36" t="str">
        <f t="array" ref="M2491">IF($A2491="","",IF($L2491="Atendido",IFERROR($I2491*INDEX(Config!$B:$B,MATCH($C2491,Config!$A:$A,0)),0),0))</f>
        <v/>
      </c>
      <c r="N2491" s="36" t="str">
        <f t="shared" si="2"/>
        <v/>
      </c>
      <c r="O2491" s="36" t="str">
        <f t="shared" si="3"/>
        <v/>
      </c>
      <c r="P2491" s="15"/>
      <c r="Q2491" s="37" t="str">
        <f t="shared" si="4"/>
        <v/>
      </c>
      <c r="R2491" s="37" t="str">
        <f t="shared" si="5"/>
        <v/>
      </c>
      <c r="S2491" s="32" t="str">
        <f t="shared" si="6"/>
        <v/>
      </c>
      <c r="T2491" s="37" t="str">
        <f t="shared" si="7"/>
        <v/>
      </c>
      <c r="U2491" s="37" t="str">
        <f t="array" ref="U2491">IF($F2491="","",IFERROR(INDEX(Config!$F:$F,MATCH($F2491,Config!$D:$D,0)),0))</f>
        <v/>
      </c>
    </row>
    <row r="2492" ht="15.0" customHeight="1">
      <c r="A2492" s="34"/>
      <c r="B2492" s="35"/>
      <c r="C2492" s="15"/>
      <c r="D2492" s="15"/>
      <c r="E2492" s="15"/>
      <c r="F2492" s="15"/>
      <c r="G2492" s="36" t="str">
        <f t="array" ref="G2492">IF($F2492="","",IFERROR(INDEX(Config!$E:$E,MATCH($F2492,Config!$D:$D,0)),0))</f>
        <v/>
      </c>
      <c r="H2492" s="16"/>
      <c r="I2492" s="36" t="str">
        <f t="shared" si="1"/>
        <v/>
      </c>
      <c r="J2492" s="16"/>
      <c r="K2492" s="15"/>
      <c r="L2492" s="15"/>
      <c r="M2492" s="36" t="str">
        <f t="array" ref="M2492">IF($A2492="","",IF($L2492="Atendido",IFERROR($I2492*INDEX(Config!$B:$B,MATCH($C2492,Config!$A:$A,0)),0),0))</f>
        <v/>
      </c>
      <c r="N2492" s="36" t="str">
        <f t="shared" si="2"/>
        <v/>
      </c>
      <c r="O2492" s="36" t="str">
        <f t="shared" si="3"/>
        <v/>
      </c>
      <c r="P2492" s="15"/>
      <c r="Q2492" s="37" t="str">
        <f t="shared" si="4"/>
        <v/>
      </c>
      <c r="R2492" s="37" t="str">
        <f t="shared" si="5"/>
        <v/>
      </c>
      <c r="S2492" s="32" t="str">
        <f t="shared" si="6"/>
        <v/>
      </c>
      <c r="T2492" s="37" t="str">
        <f t="shared" si="7"/>
        <v/>
      </c>
      <c r="U2492" s="37" t="str">
        <f t="array" ref="U2492">IF($F2492="","",IFERROR(INDEX(Config!$F:$F,MATCH($F2492,Config!$D:$D,0)),0))</f>
        <v/>
      </c>
    </row>
    <row r="2493" ht="15.0" customHeight="1">
      <c r="A2493" s="34"/>
      <c r="B2493" s="35"/>
      <c r="C2493" s="15"/>
      <c r="D2493" s="15"/>
      <c r="E2493" s="15"/>
      <c r="F2493" s="15"/>
      <c r="G2493" s="36" t="str">
        <f t="array" ref="G2493">IF($F2493="","",IFERROR(INDEX(Config!$E:$E,MATCH($F2493,Config!$D:$D,0)),0))</f>
        <v/>
      </c>
      <c r="H2493" s="16"/>
      <c r="I2493" s="36" t="str">
        <f t="shared" si="1"/>
        <v/>
      </c>
      <c r="J2493" s="16"/>
      <c r="K2493" s="15"/>
      <c r="L2493" s="15"/>
      <c r="M2493" s="36" t="str">
        <f t="array" ref="M2493">IF($A2493="","",IF($L2493="Atendido",IFERROR($I2493*INDEX(Config!$B:$B,MATCH($C2493,Config!$A:$A,0)),0),0))</f>
        <v/>
      </c>
      <c r="N2493" s="36" t="str">
        <f t="shared" si="2"/>
        <v/>
      </c>
      <c r="O2493" s="36" t="str">
        <f t="shared" si="3"/>
        <v/>
      </c>
      <c r="P2493" s="15"/>
      <c r="Q2493" s="37" t="str">
        <f t="shared" si="4"/>
        <v/>
      </c>
      <c r="R2493" s="37" t="str">
        <f t="shared" si="5"/>
        <v/>
      </c>
      <c r="S2493" s="32" t="str">
        <f t="shared" si="6"/>
        <v/>
      </c>
      <c r="T2493" s="37" t="str">
        <f t="shared" si="7"/>
        <v/>
      </c>
      <c r="U2493" s="37" t="str">
        <f t="array" ref="U2493">IF($F2493="","",IFERROR(INDEX(Config!$F:$F,MATCH($F2493,Config!$D:$D,0)),0))</f>
        <v/>
      </c>
    </row>
    <row r="2494" ht="15.0" customHeight="1">
      <c r="A2494" s="34"/>
      <c r="B2494" s="35"/>
      <c r="C2494" s="15"/>
      <c r="D2494" s="15"/>
      <c r="E2494" s="15"/>
      <c r="F2494" s="15"/>
      <c r="G2494" s="36" t="str">
        <f t="array" ref="G2494">IF($F2494="","",IFERROR(INDEX(Config!$E:$E,MATCH($F2494,Config!$D:$D,0)),0))</f>
        <v/>
      </c>
      <c r="H2494" s="16"/>
      <c r="I2494" s="36" t="str">
        <f t="shared" si="1"/>
        <v/>
      </c>
      <c r="J2494" s="16"/>
      <c r="K2494" s="15"/>
      <c r="L2494" s="15"/>
      <c r="M2494" s="36" t="str">
        <f t="array" ref="M2494">IF($A2494="","",IF($L2494="Atendido",IFERROR($I2494*INDEX(Config!$B:$B,MATCH($C2494,Config!$A:$A,0)),0),0))</f>
        <v/>
      </c>
      <c r="N2494" s="36" t="str">
        <f t="shared" si="2"/>
        <v/>
      </c>
      <c r="O2494" s="36" t="str">
        <f t="shared" si="3"/>
        <v/>
      </c>
      <c r="P2494" s="15"/>
      <c r="Q2494" s="37" t="str">
        <f t="shared" si="4"/>
        <v/>
      </c>
      <c r="R2494" s="37" t="str">
        <f t="shared" si="5"/>
        <v/>
      </c>
      <c r="S2494" s="32" t="str">
        <f t="shared" si="6"/>
        <v/>
      </c>
      <c r="T2494" s="37" t="str">
        <f t="shared" si="7"/>
        <v/>
      </c>
      <c r="U2494" s="37" t="str">
        <f t="array" ref="U2494">IF($F2494="","",IFERROR(INDEX(Config!$F:$F,MATCH($F2494,Config!$D:$D,0)),0))</f>
        <v/>
      </c>
    </row>
    <row r="2495" ht="15.0" customHeight="1">
      <c r="A2495" s="34"/>
      <c r="B2495" s="35"/>
      <c r="C2495" s="15"/>
      <c r="D2495" s="15"/>
      <c r="E2495" s="15"/>
      <c r="F2495" s="15"/>
      <c r="G2495" s="36" t="str">
        <f t="array" ref="G2495">IF($F2495="","",IFERROR(INDEX(Config!$E:$E,MATCH($F2495,Config!$D:$D,0)),0))</f>
        <v/>
      </c>
      <c r="H2495" s="16"/>
      <c r="I2495" s="36" t="str">
        <f t="shared" si="1"/>
        <v/>
      </c>
      <c r="J2495" s="16"/>
      <c r="K2495" s="15"/>
      <c r="L2495" s="15"/>
      <c r="M2495" s="36" t="str">
        <f t="array" ref="M2495">IF($A2495="","",IF($L2495="Atendido",IFERROR($I2495*INDEX(Config!$B:$B,MATCH($C2495,Config!$A:$A,0)),0),0))</f>
        <v/>
      </c>
      <c r="N2495" s="36" t="str">
        <f t="shared" si="2"/>
        <v/>
      </c>
      <c r="O2495" s="36" t="str">
        <f t="shared" si="3"/>
        <v/>
      </c>
      <c r="P2495" s="15"/>
      <c r="Q2495" s="37" t="str">
        <f t="shared" si="4"/>
        <v/>
      </c>
      <c r="R2495" s="37" t="str">
        <f t="shared" si="5"/>
        <v/>
      </c>
      <c r="S2495" s="32" t="str">
        <f t="shared" si="6"/>
        <v/>
      </c>
      <c r="T2495" s="37" t="str">
        <f t="shared" si="7"/>
        <v/>
      </c>
      <c r="U2495" s="37" t="str">
        <f t="array" ref="U2495">IF($F2495="","",IFERROR(INDEX(Config!$F:$F,MATCH($F2495,Config!$D:$D,0)),0))</f>
        <v/>
      </c>
    </row>
    <row r="2496" ht="15.0" customHeight="1">
      <c r="A2496" s="34"/>
      <c r="B2496" s="35"/>
      <c r="C2496" s="15"/>
      <c r="D2496" s="15"/>
      <c r="E2496" s="15"/>
      <c r="F2496" s="15"/>
      <c r="G2496" s="36" t="str">
        <f t="array" ref="G2496">IF($F2496="","",IFERROR(INDEX(Config!$E:$E,MATCH($F2496,Config!$D:$D,0)),0))</f>
        <v/>
      </c>
      <c r="H2496" s="16"/>
      <c r="I2496" s="36" t="str">
        <f t="shared" si="1"/>
        <v/>
      </c>
      <c r="J2496" s="16"/>
      <c r="K2496" s="15"/>
      <c r="L2496" s="15"/>
      <c r="M2496" s="36" t="str">
        <f t="array" ref="M2496">IF($A2496="","",IF($L2496="Atendido",IFERROR($I2496*INDEX(Config!$B:$B,MATCH($C2496,Config!$A:$A,0)),0),0))</f>
        <v/>
      </c>
      <c r="N2496" s="36" t="str">
        <f t="shared" si="2"/>
        <v/>
      </c>
      <c r="O2496" s="36" t="str">
        <f t="shared" si="3"/>
        <v/>
      </c>
      <c r="P2496" s="15"/>
      <c r="Q2496" s="37" t="str">
        <f t="shared" si="4"/>
        <v/>
      </c>
      <c r="R2496" s="37" t="str">
        <f t="shared" si="5"/>
        <v/>
      </c>
      <c r="S2496" s="32" t="str">
        <f t="shared" si="6"/>
        <v/>
      </c>
      <c r="T2496" s="37" t="str">
        <f t="shared" si="7"/>
        <v/>
      </c>
      <c r="U2496" s="37" t="str">
        <f t="array" ref="U2496">IF($F2496="","",IFERROR(INDEX(Config!$F:$F,MATCH($F2496,Config!$D:$D,0)),0))</f>
        <v/>
      </c>
    </row>
    <row r="2497" ht="15.0" customHeight="1">
      <c r="A2497" s="34"/>
      <c r="B2497" s="35"/>
      <c r="C2497" s="15"/>
      <c r="D2497" s="15"/>
      <c r="E2497" s="15"/>
      <c r="F2497" s="15"/>
      <c r="G2497" s="36" t="str">
        <f t="array" ref="G2497">IF($F2497="","",IFERROR(INDEX(Config!$E:$E,MATCH($F2497,Config!$D:$D,0)),0))</f>
        <v/>
      </c>
      <c r="H2497" s="16"/>
      <c r="I2497" s="36" t="str">
        <f t="shared" si="1"/>
        <v/>
      </c>
      <c r="J2497" s="16"/>
      <c r="K2497" s="15"/>
      <c r="L2497" s="15"/>
      <c r="M2497" s="36" t="str">
        <f t="array" ref="M2497">IF($A2497="","",IF($L2497="Atendido",IFERROR($I2497*INDEX(Config!$B:$B,MATCH($C2497,Config!$A:$A,0)),0),0))</f>
        <v/>
      </c>
      <c r="N2497" s="36" t="str">
        <f t="shared" si="2"/>
        <v/>
      </c>
      <c r="O2497" s="36" t="str">
        <f t="shared" si="3"/>
        <v/>
      </c>
      <c r="P2497" s="15"/>
      <c r="Q2497" s="37" t="str">
        <f t="shared" si="4"/>
        <v/>
      </c>
      <c r="R2497" s="37" t="str">
        <f t="shared" si="5"/>
        <v/>
      </c>
      <c r="S2497" s="32" t="str">
        <f t="shared" si="6"/>
        <v/>
      </c>
      <c r="T2497" s="37" t="str">
        <f t="shared" si="7"/>
        <v/>
      </c>
      <c r="U2497" s="37" t="str">
        <f t="array" ref="U2497">IF($F2497="","",IFERROR(INDEX(Config!$F:$F,MATCH($F2497,Config!$D:$D,0)),0))</f>
        <v/>
      </c>
    </row>
    <row r="2498" ht="15.0" customHeight="1">
      <c r="A2498" s="34"/>
      <c r="B2498" s="35"/>
      <c r="C2498" s="15"/>
      <c r="D2498" s="15"/>
      <c r="E2498" s="15"/>
      <c r="F2498" s="15"/>
      <c r="G2498" s="36" t="str">
        <f t="array" ref="G2498">IF($F2498="","",IFERROR(INDEX(Config!$E:$E,MATCH($F2498,Config!$D:$D,0)),0))</f>
        <v/>
      </c>
      <c r="H2498" s="16"/>
      <c r="I2498" s="36" t="str">
        <f t="shared" si="1"/>
        <v/>
      </c>
      <c r="J2498" s="16"/>
      <c r="K2498" s="15"/>
      <c r="L2498" s="15"/>
      <c r="M2498" s="36" t="str">
        <f t="array" ref="M2498">IF($A2498="","",IF($L2498="Atendido",IFERROR($I2498*INDEX(Config!$B:$B,MATCH($C2498,Config!$A:$A,0)),0),0))</f>
        <v/>
      </c>
      <c r="N2498" s="36" t="str">
        <f t="shared" si="2"/>
        <v/>
      </c>
      <c r="O2498" s="36" t="str">
        <f t="shared" si="3"/>
        <v/>
      </c>
      <c r="P2498" s="15"/>
      <c r="Q2498" s="37" t="str">
        <f t="shared" si="4"/>
        <v/>
      </c>
      <c r="R2498" s="37" t="str">
        <f t="shared" si="5"/>
        <v/>
      </c>
      <c r="S2498" s="32" t="str">
        <f t="shared" si="6"/>
        <v/>
      </c>
      <c r="T2498" s="37" t="str">
        <f t="shared" si="7"/>
        <v/>
      </c>
      <c r="U2498" s="37" t="str">
        <f t="array" ref="U2498">IF($F2498="","",IFERROR(INDEX(Config!$F:$F,MATCH($F2498,Config!$D:$D,0)),0))</f>
        <v/>
      </c>
    </row>
    <row r="2499" ht="15.0" customHeight="1">
      <c r="A2499" s="34"/>
      <c r="B2499" s="35"/>
      <c r="C2499" s="15"/>
      <c r="D2499" s="15"/>
      <c r="E2499" s="15"/>
      <c r="F2499" s="15"/>
      <c r="G2499" s="36" t="str">
        <f t="array" ref="G2499">IF($F2499="","",IFERROR(INDEX(Config!$E:$E,MATCH($F2499,Config!$D:$D,0)),0))</f>
        <v/>
      </c>
      <c r="H2499" s="16"/>
      <c r="I2499" s="36" t="str">
        <f t="shared" si="1"/>
        <v/>
      </c>
      <c r="J2499" s="16"/>
      <c r="K2499" s="15"/>
      <c r="L2499" s="15"/>
      <c r="M2499" s="36" t="str">
        <f t="array" ref="M2499">IF($A2499="","",IF($L2499="Atendido",IFERROR($I2499*INDEX(Config!$B:$B,MATCH($C2499,Config!$A:$A,0)),0),0))</f>
        <v/>
      </c>
      <c r="N2499" s="36" t="str">
        <f t="shared" si="2"/>
        <v/>
      </c>
      <c r="O2499" s="36" t="str">
        <f t="shared" si="3"/>
        <v/>
      </c>
      <c r="P2499" s="15"/>
      <c r="Q2499" s="37" t="str">
        <f t="shared" si="4"/>
        <v/>
      </c>
      <c r="R2499" s="37" t="str">
        <f t="shared" si="5"/>
        <v/>
      </c>
      <c r="S2499" s="32" t="str">
        <f t="shared" si="6"/>
        <v/>
      </c>
      <c r="T2499" s="37" t="str">
        <f t="shared" si="7"/>
        <v/>
      </c>
      <c r="U2499" s="37" t="str">
        <f t="array" ref="U2499">IF($F2499="","",IFERROR(INDEX(Config!$F:$F,MATCH($F2499,Config!$D:$D,0)),0))</f>
        <v/>
      </c>
    </row>
    <row r="2500" ht="15.0" customHeight="1">
      <c r="A2500" s="34"/>
      <c r="B2500" s="35"/>
      <c r="C2500" s="15"/>
      <c r="D2500" s="15"/>
      <c r="E2500" s="15"/>
      <c r="F2500" s="15"/>
      <c r="G2500" s="36" t="str">
        <f t="array" ref="G2500">IF($F2500="","",IFERROR(INDEX(Config!$E:$E,MATCH($F2500,Config!$D:$D,0)),0))</f>
        <v/>
      </c>
      <c r="H2500" s="16"/>
      <c r="I2500" s="36" t="str">
        <f t="shared" si="1"/>
        <v/>
      </c>
      <c r="J2500" s="16"/>
      <c r="K2500" s="15"/>
      <c r="L2500" s="15"/>
      <c r="M2500" s="36" t="str">
        <f t="array" ref="M2500">IF($A2500="","",IF($L2500="Atendido",IFERROR($I2500*INDEX(Config!$B:$B,MATCH($C2500,Config!$A:$A,0)),0),0))</f>
        <v/>
      </c>
      <c r="N2500" s="36" t="str">
        <f t="shared" si="2"/>
        <v/>
      </c>
      <c r="O2500" s="36" t="str">
        <f t="shared" si="3"/>
        <v/>
      </c>
      <c r="P2500" s="15"/>
      <c r="Q2500" s="37" t="str">
        <f t="shared" si="4"/>
        <v/>
      </c>
      <c r="R2500" s="37" t="str">
        <f t="shared" si="5"/>
        <v/>
      </c>
      <c r="S2500" s="32" t="str">
        <f t="shared" si="6"/>
        <v/>
      </c>
      <c r="T2500" s="37" t="str">
        <f t="shared" si="7"/>
        <v/>
      </c>
      <c r="U2500" s="37" t="str">
        <f t="array" ref="U2500">IF($F2500="","",IFERROR(INDEX(Config!$F:$F,MATCH($F2500,Config!$D:$D,0)),0))</f>
        <v/>
      </c>
    </row>
    <row r="2501" ht="15.0" customHeight="1">
      <c r="A2501" s="34"/>
      <c r="B2501" s="35"/>
      <c r="C2501" s="15"/>
      <c r="D2501" s="15"/>
      <c r="E2501" s="15"/>
      <c r="F2501" s="15"/>
      <c r="G2501" s="36" t="str">
        <f t="array" ref="G2501">IF($F2501="","",IFERROR(INDEX(Config!$E:$E,MATCH($F2501,Config!$D:$D,0)),0))</f>
        <v/>
      </c>
      <c r="H2501" s="16"/>
      <c r="I2501" s="36" t="str">
        <f t="shared" si="1"/>
        <v/>
      </c>
      <c r="J2501" s="16"/>
      <c r="K2501" s="15"/>
      <c r="L2501" s="15"/>
      <c r="M2501" s="36" t="str">
        <f t="array" ref="M2501">IF($A2501="","",IF($L2501="Atendido",IFERROR($I2501*INDEX(Config!$B:$B,MATCH($C2501,Config!$A:$A,0)),0),0))</f>
        <v/>
      </c>
      <c r="N2501" s="36" t="str">
        <f t="shared" si="2"/>
        <v/>
      </c>
      <c r="O2501" s="36" t="str">
        <f t="shared" si="3"/>
        <v/>
      </c>
      <c r="P2501" s="15"/>
      <c r="Q2501" s="37" t="str">
        <f t="shared" si="4"/>
        <v/>
      </c>
      <c r="R2501" s="37" t="str">
        <f t="shared" si="5"/>
        <v/>
      </c>
      <c r="S2501" s="32" t="str">
        <f t="shared" si="6"/>
        <v/>
      </c>
      <c r="T2501" s="37" t="str">
        <f t="shared" si="7"/>
        <v/>
      </c>
      <c r="U2501" s="37" t="str">
        <f t="array" ref="U2501">IF($F2501="","",IFERROR(INDEX(Config!$F:$F,MATCH($F2501,Config!$D:$D,0)),0))</f>
        <v/>
      </c>
    </row>
    <row r="2502" ht="15.0" customHeight="1">
      <c r="A2502" s="34"/>
      <c r="B2502" s="35"/>
      <c r="C2502" s="15"/>
      <c r="D2502" s="15"/>
      <c r="E2502" s="15"/>
      <c r="F2502" s="15"/>
      <c r="G2502" s="36" t="str">
        <f t="array" ref="G2502">IF($F2502="","",IFERROR(INDEX(Config!$E:$E,MATCH($F2502,Config!$D:$D,0)),0))</f>
        <v/>
      </c>
      <c r="H2502" s="16"/>
      <c r="I2502" s="36" t="str">
        <f t="shared" si="1"/>
        <v/>
      </c>
      <c r="J2502" s="16"/>
      <c r="K2502" s="15"/>
      <c r="L2502" s="15"/>
      <c r="M2502" s="36" t="str">
        <f t="array" ref="M2502">IF($A2502="","",IF($L2502="Atendido",IFERROR($I2502*INDEX(Config!$B:$B,MATCH($C2502,Config!$A:$A,0)),0),0))</f>
        <v/>
      </c>
      <c r="N2502" s="36" t="str">
        <f t="shared" si="2"/>
        <v/>
      </c>
      <c r="O2502" s="36" t="str">
        <f t="shared" si="3"/>
        <v/>
      </c>
      <c r="P2502" s="15"/>
      <c r="Q2502" s="37" t="str">
        <f t="shared" si="4"/>
        <v/>
      </c>
      <c r="R2502" s="37" t="str">
        <f t="shared" si="5"/>
        <v/>
      </c>
      <c r="S2502" s="32" t="str">
        <f t="shared" si="6"/>
        <v/>
      </c>
      <c r="T2502" s="37" t="str">
        <f t="shared" si="7"/>
        <v/>
      </c>
      <c r="U2502" s="37" t="str">
        <f t="array" ref="U2502">IF($F2502="","",IFERROR(INDEX(Config!$F:$F,MATCH($F2502,Config!$D:$D,0)),0))</f>
        <v/>
      </c>
    </row>
    <row r="2503" ht="15.0" customHeight="1">
      <c r="A2503" s="34"/>
      <c r="B2503" s="35"/>
      <c r="C2503" s="15"/>
      <c r="D2503" s="15"/>
      <c r="E2503" s="15"/>
      <c r="F2503" s="15"/>
      <c r="G2503" s="36" t="str">
        <f t="array" ref="G2503">IF($F2503="","",IFERROR(INDEX(Config!$E:$E,MATCH($F2503,Config!$D:$D,0)),0))</f>
        <v/>
      </c>
      <c r="H2503" s="16"/>
      <c r="I2503" s="36" t="str">
        <f t="shared" si="1"/>
        <v/>
      </c>
      <c r="J2503" s="16"/>
      <c r="K2503" s="15"/>
      <c r="L2503" s="15"/>
      <c r="M2503" s="36" t="str">
        <f t="array" ref="M2503">IF($A2503="","",IF($L2503="Atendido",IFERROR($I2503*INDEX(Config!$B:$B,MATCH($C2503,Config!$A:$A,0)),0),0))</f>
        <v/>
      </c>
      <c r="N2503" s="36" t="str">
        <f t="shared" si="2"/>
        <v/>
      </c>
      <c r="O2503" s="36" t="str">
        <f t="shared" si="3"/>
        <v/>
      </c>
      <c r="P2503" s="15"/>
      <c r="Q2503" s="37" t="str">
        <f t="shared" si="4"/>
        <v/>
      </c>
      <c r="R2503" s="37" t="str">
        <f t="shared" si="5"/>
        <v/>
      </c>
      <c r="S2503" s="32" t="str">
        <f t="shared" si="6"/>
        <v/>
      </c>
      <c r="T2503" s="37" t="str">
        <f t="shared" si="7"/>
        <v/>
      </c>
      <c r="U2503" s="37" t="str">
        <f t="array" ref="U2503">IF($F2503="","",IFERROR(INDEX(Config!$F:$F,MATCH($F2503,Config!$D:$D,0)),0))</f>
        <v/>
      </c>
    </row>
    <row r="2504" ht="15.0" customHeight="1">
      <c r="A2504" s="34"/>
      <c r="B2504" s="35"/>
      <c r="C2504" s="15"/>
      <c r="D2504" s="15"/>
      <c r="E2504" s="15"/>
      <c r="F2504" s="15"/>
      <c r="G2504" s="36" t="str">
        <f t="array" ref="G2504">IF($F2504="","",IFERROR(INDEX(Config!$E:$E,MATCH($F2504,Config!$D:$D,0)),0))</f>
        <v/>
      </c>
      <c r="H2504" s="16"/>
      <c r="I2504" s="36" t="str">
        <f t="shared" si="1"/>
        <v/>
      </c>
      <c r="J2504" s="16"/>
      <c r="K2504" s="15"/>
      <c r="L2504" s="15"/>
      <c r="M2504" s="36" t="str">
        <f t="array" ref="M2504">IF($A2504="","",IF($L2504="Atendido",IFERROR($I2504*INDEX(Config!$B:$B,MATCH($C2504,Config!$A:$A,0)),0),0))</f>
        <v/>
      </c>
      <c r="N2504" s="36" t="str">
        <f t="shared" si="2"/>
        <v/>
      </c>
      <c r="O2504" s="36" t="str">
        <f t="shared" si="3"/>
        <v/>
      </c>
      <c r="P2504" s="15"/>
      <c r="Q2504" s="37" t="str">
        <f t="shared" si="4"/>
        <v/>
      </c>
      <c r="R2504" s="37" t="str">
        <f t="shared" si="5"/>
        <v/>
      </c>
      <c r="S2504" s="32" t="str">
        <f t="shared" si="6"/>
        <v/>
      </c>
      <c r="T2504" s="37" t="str">
        <f t="shared" si="7"/>
        <v/>
      </c>
      <c r="U2504" s="37" t="str">
        <f t="array" ref="U2504">IF($F2504="","",IFERROR(INDEX(Config!$F:$F,MATCH($F2504,Config!$D:$D,0)),0))</f>
        <v/>
      </c>
    </row>
    <row r="2505" ht="15.0" customHeight="1">
      <c r="A2505" s="34"/>
      <c r="B2505" s="35"/>
      <c r="C2505" s="15"/>
      <c r="D2505" s="15"/>
      <c r="E2505" s="15"/>
      <c r="F2505" s="15"/>
      <c r="G2505" s="36" t="str">
        <f t="array" ref="G2505">IF($F2505="","",IFERROR(INDEX(Config!$E:$E,MATCH($F2505,Config!$D:$D,0)),0))</f>
        <v/>
      </c>
      <c r="H2505" s="16"/>
      <c r="I2505" s="36" t="str">
        <f t="shared" si="1"/>
        <v/>
      </c>
      <c r="J2505" s="16"/>
      <c r="K2505" s="15"/>
      <c r="L2505" s="15"/>
      <c r="M2505" s="36" t="str">
        <f t="array" ref="M2505">IF($A2505="","",IF($L2505="Atendido",IFERROR($I2505*INDEX(Config!$B:$B,MATCH($C2505,Config!$A:$A,0)),0),0))</f>
        <v/>
      </c>
      <c r="N2505" s="36" t="str">
        <f t="shared" si="2"/>
        <v/>
      </c>
      <c r="O2505" s="36" t="str">
        <f t="shared" si="3"/>
        <v/>
      </c>
      <c r="P2505" s="15"/>
      <c r="Q2505" s="37" t="str">
        <f t="shared" si="4"/>
        <v/>
      </c>
      <c r="R2505" s="37" t="str">
        <f t="shared" si="5"/>
        <v/>
      </c>
      <c r="S2505" s="32" t="str">
        <f t="shared" si="6"/>
        <v/>
      </c>
      <c r="T2505" s="37" t="str">
        <f t="shared" si="7"/>
        <v/>
      </c>
      <c r="U2505" s="37" t="str">
        <f t="array" ref="U2505">IF($F2505="","",IFERROR(INDEX(Config!$F:$F,MATCH($F2505,Config!$D:$D,0)),0))</f>
        <v/>
      </c>
    </row>
    <row r="2506" ht="15.0" customHeight="1">
      <c r="A2506" s="34"/>
      <c r="B2506" s="35"/>
      <c r="C2506" s="15"/>
      <c r="D2506" s="15"/>
      <c r="E2506" s="15"/>
      <c r="F2506" s="15"/>
      <c r="G2506" s="36" t="str">
        <f t="array" ref="G2506">IF($F2506="","",IFERROR(INDEX(Config!$E:$E,MATCH($F2506,Config!$D:$D,0)),0))</f>
        <v/>
      </c>
      <c r="H2506" s="16"/>
      <c r="I2506" s="36" t="str">
        <f t="shared" si="1"/>
        <v/>
      </c>
      <c r="J2506" s="16"/>
      <c r="K2506" s="15"/>
      <c r="L2506" s="15"/>
      <c r="M2506" s="36" t="str">
        <f t="array" ref="M2506">IF($A2506="","",IF($L2506="Atendido",IFERROR($I2506*INDEX(Config!$B:$B,MATCH($C2506,Config!$A:$A,0)),0),0))</f>
        <v/>
      </c>
      <c r="N2506" s="36" t="str">
        <f t="shared" si="2"/>
        <v/>
      </c>
      <c r="O2506" s="36" t="str">
        <f t="shared" si="3"/>
        <v/>
      </c>
      <c r="P2506" s="15"/>
      <c r="Q2506" s="37" t="str">
        <f t="shared" si="4"/>
        <v/>
      </c>
      <c r="R2506" s="37" t="str">
        <f t="shared" si="5"/>
        <v/>
      </c>
      <c r="S2506" s="32" t="str">
        <f t="shared" si="6"/>
        <v/>
      </c>
      <c r="T2506" s="37" t="str">
        <f t="shared" si="7"/>
        <v/>
      </c>
      <c r="U2506" s="37" t="str">
        <f t="array" ref="U2506">IF($F2506="","",IFERROR(INDEX(Config!$F:$F,MATCH($F2506,Config!$D:$D,0)),0))</f>
        <v/>
      </c>
    </row>
    <row r="2507" ht="15.0" customHeight="1">
      <c r="A2507" s="34"/>
      <c r="B2507" s="35"/>
      <c r="C2507" s="15"/>
      <c r="D2507" s="15"/>
      <c r="E2507" s="15"/>
      <c r="F2507" s="15"/>
      <c r="G2507" s="36" t="str">
        <f t="array" ref="G2507">IF($F2507="","",IFERROR(INDEX(Config!$E:$E,MATCH($F2507,Config!$D:$D,0)),0))</f>
        <v/>
      </c>
      <c r="H2507" s="16"/>
      <c r="I2507" s="36" t="str">
        <f t="shared" si="1"/>
        <v/>
      </c>
      <c r="J2507" s="16"/>
      <c r="K2507" s="15"/>
      <c r="L2507" s="15"/>
      <c r="M2507" s="36" t="str">
        <f t="array" ref="M2507">IF($A2507="","",IF($L2507="Atendido",IFERROR($I2507*INDEX(Config!$B:$B,MATCH($C2507,Config!$A:$A,0)),0),0))</f>
        <v/>
      </c>
      <c r="N2507" s="36" t="str">
        <f t="shared" si="2"/>
        <v/>
      </c>
      <c r="O2507" s="36" t="str">
        <f t="shared" si="3"/>
        <v/>
      </c>
      <c r="P2507" s="15"/>
      <c r="Q2507" s="37" t="str">
        <f t="shared" si="4"/>
        <v/>
      </c>
      <c r="R2507" s="37" t="str">
        <f t="shared" si="5"/>
        <v/>
      </c>
      <c r="S2507" s="32" t="str">
        <f t="shared" si="6"/>
        <v/>
      </c>
      <c r="T2507" s="37" t="str">
        <f t="shared" si="7"/>
        <v/>
      </c>
      <c r="U2507" s="37" t="str">
        <f t="array" ref="U2507">IF($F2507="","",IFERROR(INDEX(Config!$F:$F,MATCH($F2507,Config!$D:$D,0)),0))</f>
        <v/>
      </c>
    </row>
    <row r="2508" ht="15.0" customHeight="1">
      <c r="A2508" s="34"/>
      <c r="B2508" s="35"/>
      <c r="C2508" s="15"/>
      <c r="D2508" s="15"/>
      <c r="E2508" s="15"/>
      <c r="F2508" s="15"/>
      <c r="G2508" s="36" t="str">
        <f t="array" ref="G2508">IF($F2508="","",IFERROR(INDEX(Config!$E:$E,MATCH($F2508,Config!$D:$D,0)),0))</f>
        <v/>
      </c>
      <c r="H2508" s="16"/>
      <c r="I2508" s="36" t="str">
        <f t="shared" si="1"/>
        <v/>
      </c>
      <c r="J2508" s="16"/>
      <c r="K2508" s="15"/>
      <c r="L2508" s="15"/>
      <c r="M2508" s="36" t="str">
        <f t="array" ref="M2508">IF($A2508="","",IF($L2508="Atendido",IFERROR($I2508*INDEX(Config!$B:$B,MATCH($C2508,Config!$A:$A,0)),0),0))</f>
        <v/>
      </c>
      <c r="N2508" s="36" t="str">
        <f t="shared" si="2"/>
        <v/>
      </c>
      <c r="O2508" s="36" t="str">
        <f t="shared" si="3"/>
        <v/>
      </c>
      <c r="P2508" s="15"/>
      <c r="Q2508" s="37" t="str">
        <f t="shared" si="4"/>
        <v/>
      </c>
      <c r="R2508" s="37" t="str">
        <f t="shared" si="5"/>
        <v/>
      </c>
      <c r="S2508" s="32" t="str">
        <f t="shared" si="6"/>
        <v/>
      </c>
      <c r="T2508" s="37" t="str">
        <f t="shared" si="7"/>
        <v/>
      </c>
      <c r="U2508" s="37" t="str">
        <f t="array" ref="U2508">IF($F2508="","",IFERROR(INDEX(Config!$F:$F,MATCH($F2508,Config!$D:$D,0)),0))</f>
        <v/>
      </c>
    </row>
    <row r="2509" ht="15.0" customHeight="1">
      <c r="A2509" s="34"/>
      <c r="B2509" s="35"/>
      <c r="C2509" s="15"/>
      <c r="D2509" s="15"/>
      <c r="E2509" s="15"/>
      <c r="F2509" s="15"/>
      <c r="G2509" s="36" t="str">
        <f t="array" ref="G2509">IF($F2509="","",IFERROR(INDEX(Config!$E:$E,MATCH($F2509,Config!$D:$D,0)),0))</f>
        <v/>
      </c>
      <c r="H2509" s="16"/>
      <c r="I2509" s="36" t="str">
        <f t="shared" si="1"/>
        <v/>
      </c>
      <c r="J2509" s="16"/>
      <c r="K2509" s="15"/>
      <c r="L2509" s="15"/>
      <c r="M2509" s="36" t="str">
        <f t="array" ref="M2509">IF($A2509="","",IF($L2509="Atendido",IFERROR($I2509*INDEX(Config!$B:$B,MATCH($C2509,Config!$A:$A,0)),0),0))</f>
        <v/>
      </c>
      <c r="N2509" s="36" t="str">
        <f t="shared" si="2"/>
        <v/>
      </c>
      <c r="O2509" s="36" t="str">
        <f t="shared" si="3"/>
        <v/>
      </c>
      <c r="P2509" s="15"/>
      <c r="Q2509" s="37" t="str">
        <f t="shared" si="4"/>
        <v/>
      </c>
      <c r="R2509" s="37" t="str">
        <f t="shared" si="5"/>
        <v/>
      </c>
      <c r="S2509" s="32" t="str">
        <f t="shared" si="6"/>
        <v/>
      </c>
      <c r="T2509" s="37" t="str">
        <f t="shared" si="7"/>
        <v/>
      </c>
      <c r="U2509" s="37" t="str">
        <f t="array" ref="U2509">IF($F2509="","",IFERROR(INDEX(Config!$F:$F,MATCH($F2509,Config!$D:$D,0)),0))</f>
        <v/>
      </c>
    </row>
    <row r="2510" ht="15.0" customHeight="1">
      <c r="A2510" s="34"/>
      <c r="B2510" s="35"/>
      <c r="C2510" s="15"/>
      <c r="D2510" s="15"/>
      <c r="E2510" s="15"/>
      <c r="F2510" s="15"/>
      <c r="G2510" s="36" t="str">
        <f t="array" ref="G2510">IF($F2510="","",IFERROR(INDEX(Config!$E:$E,MATCH($F2510,Config!$D:$D,0)),0))</f>
        <v/>
      </c>
      <c r="H2510" s="16"/>
      <c r="I2510" s="36" t="str">
        <f t="shared" si="1"/>
        <v/>
      </c>
      <c r="J2510" s="16"/>
      <c r="K2510" s="15"/>
      <c r="L2510" s="15"/>
      <c r="M2510" s="36" t="str">
        <f t="array" ref="M2510">IF($A2510="","",IF($L2510="Atendido",IFERROR($I2510*INDEX(Config!$B:$B,MATCH($C2510,Config!$A:$A,0)),0),0))</f>
        <v/>
      </c>
      <c r="N2510" s="36" t="str">
        <f t="shared" si="2"/>
        <v/>
      </c>
      <c r="O2510" s="36" t="str">
        <f t="shared" si="3"/>
        <v/>
      </c>
      <c r="P2510" s="15"/>
      <c r="Q2510" s="37" t="str">
        <f t="shared" si="4"/>
        <v/>
      </c>
      <c r="R2510" s="37" t="str">
        <f t="shared" si="5"/>
        <v/>
      </c>
      <c r="S2510" s="32" t="str">
        <f t="shared" si="6"/>
        <v/>
      </c>
      <c r="T2510" s="37" t="str">
        <f t="shared" si="7"/>
        <v/>
      </c>
      <c r="U2510" s="37" t="str">
        <f t="array" ref="U2510">IF($F2510="","",IFERROR(INDEX(Config!$F:$F,MATCH($F2510,Config!$D:$D,0)),0))</f>
        <v/>
      </c>
    </row>
    <row r="2511" ht="15.0" customHeight="1">
      <c r="A2511" s="34"/>
      <c r="B2511" s="35"/>
      <c r="C2511" s="15"/>
      <c r="D2511" s="15"/>
      <c r="E2511" s="15"/>
      <c r="F2511" s="15"/>
      <c r="G2511" s="36" t="str">
        <f t="array" ref="G2511">IF($F2511="","",IFERROR(INDEX(Config!$E:$E,MATCH($F2511,Config!$D:$D,0)),0))</f>
        <v/>
      </c>
      <c r="H2511" s="16"/>
      <c r="I2511" s="36" t="str">
        <f t="shared" si="1"/>
        <v/>
      </c>
      <c r="J2511" s="16"/>
      <c r="K2511" s="15"/>
      <c r="L2511" s="15"/>
      <c r="M2511" s="36" t="str">
        <f t="array" ref="M2511">IF($A2511="","",IF($L2511="Atendido",IFERROR($I2511*INDEX(Config!$B:$B,MATCH($C2511,Config!$A:$A,0)),0),0))</f>
        <v/>
      </c>
      <c r="N2511" s="36" t="str">
        <f t="shared" si="2"/>
        <v/>
      </c>
      <c r="O2511" s="36" t="str">
        <f t="shared" si="3"/>
        <v/>
      </c>
      <c r="P2511" s="15"/>
      <c r="Q2511" s="37" t="str">
        <f t="shared" si="4"/>
        <v/>
      </c>
      <c r="R2511" s="37" t="str">
        <f t="shared" si="5"/>
        <v/>
      </c>
      <c r="S2511" s="32" t="str">
        <f t="shared" si="6"/>
        <v/>
      </c>
      <c r="T2511" s="37" t="str">
        <f t="shared" si="7"/>
        <v/>
      </c>
      <c r="U2511" s="37" t="str">
        <f t="array" ref="U2511">IF($F2511="","",IFERROR(INDEX(Config!$F:$F,MATCH($F2511,Config!$D:$D,0)),0))</f>
        <v/>
      </c>
    </row>
    <row r="2512" ht="15.0" customHeight="1">
      <c r="A2512" s="34"/>
      <c r="B2512" s="35"/>
      <c r="C2512" s="15"/>
      <c r="D2512" s="15"/>
      <c r="E2512" s="15"/>
      <c r="F2512" s="15"/>
      <c r="G2512" s="36" t="str">
        <f t="array" ref="G2512">IF($F2512="","",IFERROR(INDEX(Config!$E:$E,MATCH($F2512,Config!$D:$D,0)),0))</f>
        <v/>
      </c>
      <c r="H2512" s="16"/>
      <c r="I2512" s="36" t="str">
        <f t="shared" si="1"/>
        <v/>
      </c>
      <c r="J2512" s="16"/>
      <c r="K2512" s="15"/>
      <c r="L2512" s="15"/>
      <c r="M2512" s="36" t="str">
        <f t="array" ref="M2512">IF($A2512="","",IF($L2512="Atendido",IFERROR($I2512*INDEX(Config!$B:$B,MATCH($C2512,Config!$A:$A,0)),0),0))</f>
        <v/>
      </c>
      <c r="N2512" s="36" t="str">
        <f t="shared" si="2"/>
        <v/>
      </c>
      <c r="O2512" s="36" t="str">
        <f t="shared" si="3"/>
        <v/>
      </c>
      <c r="P2512" s="15"/>
      <c r="Q2512" s="37" t="str">
        <f t="shared" si="4"/>
        <v/>
      </c>
      <c r="R2512" s="37" t="str">
        <f t="shared" si="5"/>
        <v/>
      </c>
      <c r="S2512" s="32" t="str">
        <f t="shared" si="6"/>
        <v/>
      </c>
      <c r="T2512" s="37" t="str">
        <f t="shared" si="7"/>
        <v/>
      </c>
      <c r="U2512" s="37" t="str">
        <f t="array" ref="U2512">IF($F2512="","",IFERROR(INDEX(Config!$F:$F,MATCH($F2512,Config!$D:$D,0)),0))</f>
        <v/>
      </c>
    </row>
    <row r="2513" ht="15.0" customHeight="1">
      <c r="A2513" s="34"/>
      <c r="B2513" s="35"/>
      <c r="C2513" s="15"/>
      <c r="D2513" s="15"/>
      <c r="E2513" s="15"/>
      <c r="F2513" s="15"/>
      <c r="G2513" s="36" t="str">
        <f t="array" ref="G2513">IF($F2513="","",IFERROR(INDEX(Config!$E:$E,MATCH($F2513,Config!$D:$D,0)),0))</f>
        <v/>
      </c>
      <c r="H2513" s="16"/>
      <c r="I2513" s="36" t="str">
        <f t="shared" si="1"/>
        <v/>
      </c>
      <c r="J2513" s="16"/>
      <c r="K2513" s="15"/>
      <c r="L2513" s="15"/>
      <c r="M2513" s="36" t="str">
        <f t="array" ref="M2513">IF($A2513="","",IF($L2513="Atendido",IFERROR($I2513*INDEX(Config!$B:$B,MATCH($C2513,Config!$A:$A,0)),0),0))</f>
        <v/>
      </c>
      <c r="N2513" s="36" t="str">
        <f t="shared" si="2"/>
        <v/>
      </c>
      <c r="O2513" s="36" t="str">
        <f t="shared" si="3"/>
        <v/>
      </c>
      <c r="P2513" s="15"/>
      <c r="Q2513" s="37" t="str">
        <f t="shared" si="4"/>
        <v/>
      </c>
      <c r="R2513" s="37" t="str">
        <f t="shared" si="5"/>
        <v/>
      </c>
      <c r="S2513" s="32" t="str">
        <f t="shared" si="6"/>
        <v/>
      </c>
      <c r="T2513" s="37" t="str">
        <f t="shared" si="7"/>
        <v/>
      </c>
      <c r="U2513" s="37" t="str">
        <f t="array" ref="U2513">IF($F2513="","",IFERROR(INDEX(Config!$F:$F,MATCH($F2513,Config!$D:$D,0)),0))</f>
        <v/>
      </c>
    </row>
    <row r="2514" ht="15.0" customHeight="1">
      <c r="A2514" s="34"/>
      <c r="B2514" s="35"/>
      <c r="C2514" s="15"/>
      <c r="D2514" s="15"/>
      <c r="E2514" s="15"/>
      <c r="F2514" s="15"/>
      <c r="G2514" s="36" t="str">
        <f t="array" ref="G2514">IF($F2514="","",IFERROR(INDEX(Config!$E:$E,MATCH($F2514,Config!$D:$D,0)),0))</f>
        <v/>
      </c>
      <c r="H2514" s="16"/>
      <c r="I2514" s="36" t="str">
        <f t="shared" si="1"/>
        <v/>
      </c>
      <c r="J2514" s="16"/>
      <c r="K2514" s="15"/>
      <c r="L2514" s="15"/>
      <c r="M2514" s="36" t="str">
        <f t="array" ref="M2514">IF($A2514="","",IF($L2514="Atendido",IFERROR($I2514*INDEX(Config!$B:$B,MATCH($C2514,Config!$A:$A,0)),0),0))</f>
        <v/>
      </c>
      <c r="N2514" s="36" t="str">
        <f t="shared" si="2"/>
        <v/>
      </c>
      <c r="O2514" s="36" t="str">
        <f t="shared" si="3"/>
        <v/>
      </c>
      <c r="P2514" s="15"/>
      <c r="Q2514" s="37" t="str">
        <f t="shared" si="4"/>
        <v/>
      </c>
      <c r="R2514" s="37" t="str">
        <f t="shared" si="5"/>
        <v/>
      </c>
      <c r="S2514" s="32" t="str">
        <f t="shared" si="6"/>
        <v/>
      </c>
      <c r="T2514" s="37" t="str">
        <f t="shared" si="7"/>
        <v/>
      </c>
      <c r="U2514" s="37" t="str">
        <f t="array" ref="U2514">IF($F2514="","",IFERROR(INDEX(Config!$F:$F,MATCH($F2514,Config!$D:$D,0)),0))</f>
        <v/>
      </c>
    </row>
    <row r="2515" ht="15.0" customHeight="1">
      <c r="A2515" s="34"/>
      <c r="B2515" s="35"/>
      <c r="C2515" s="15"/>
      <c r="D2515" s="15"/>
      <c r="E2515" s="15"/>
      <c r="F2515" s="15"/>
      <c r="G2515" s="36" t="str">
        <f t="array" ref="G2515">IF($F2515="","",IFERROR(INDEX(Config!$E:$E,MATCH($F2515,Config!$D:$D,0)),0))</f>
        <v/>
      </c>
      <c r="H2515" s="16"/>
      <c r="I2515" s="36" t="str">
        <f t="shared" si="1"/>
        <v/>
      </c>
      <c r="J2515" s="16"/>
      <c r="K2515" s="15"/>
      <c r="L2515" s="15"/>
      <c r="M2515" s="36" t="str">
        <f t="array" ref="M2515">IF($A2515="","",IF($L2515="Atendido",IFERROR($I2515*INDEX(Config!$B:$B,MATCH($C2515,Config!$A:$A,0)),0),0))</f>
        <v/>
      </c>
      <c r="N2515" s="36" t="str">
        <f t="shared" si="2"/>
        <v/>
      </c>
      <c r="O2515" s="36" t="str">
        <f t="shared" si="3"/>
        <v/>
      </c>
      <c r="P2515" s="15"/>
      <c r="Q2515" s="37" t="str">
        <f t="shared" si="4"/>
        <v/>
      </c>
      <c r="R2515" s="37" t="str">
        <f t="shared" si="5"/>
        <v/>
      </c>
      <c r="S2515" s="32" t="str">
        <f t="shared" si="6"/>
        <v/>
      </c>
      <c r="T2515" s="37" t="str">
        <f t="shared" si="7"/>
        <v/>
      </c>
      <c r="U2515" s="37" t="str">
        <f t="array" ref="U2515">IF($F2515="","",IFERROR(INDEX(Config!$F:$F,MATCH($F2515,Config!$D:$D,0)),0))</f>
        <v/>
      </c>
    </row>
    <row r="2516" ht="15.0" customHeight="1">
      <c r="A2516" s="34"/>
      <c r="B2516" s="35"/>
      <c r="C2516" s="15"/>
      <c r="D2516" s="15"/>
      <c r="E2516" s="15"/>
      <c r="F2516" s="15"/>
      <c r="G2516" s="36" t="str">
        <f t="array" ref="G2516">IF($F2516="","",IFERROR(INDEX(Config!$E:$E,MATCH($F2516,Config!$D:$D,0)),0))</f>
        <v/>
      </c>
      <c r="H2516" s="16"/>
      <c r="I2516" s="36" t="str">
        <f t="shared" si="1"/>
        <v/>
      </c>
      <c r="J2516" s="16"/>
      <c r="K2516" s="15"/>
      <c r="L2516" s="15"/>
      <c r="M2516" s="36" t="str">
        <f t="array" ref="M2516">IF($A2516="","",IF($L2516="Atendido",IFERROR($I2516*INDEX(Config!$B:$B,MATCH($C2516,Config!$A:$A,0)),0),0))</f>
        <v/>
      </c>
      <c r="N2516" s="36" t="str">
        <f t="shared" si="2"/>
        <v/>
      </c>
      <c r="O2516" s="36" t="str">
        <f t="shared" si="3"/>
        <v/>
      </c>
      <c r="P2516" s="15"/>
      <c r="Q2516" s="37" t="str">
        <f t="shared" si="4"/>
        <v/>
      </c>
      <c r="R2516" s="37" t="str">
        <f t="shared" si="5"/>
        <v/>
      </c>
      <c r="S2516" s="32" t="str">
        <f t="shared" si="6"/>
        <v/>
      </c>
      <c r="T2516" s="37" t="str">
        <f t="shared" si="7"/>
        <v/>
      </c>
      <c r="U2516" s="37" t="str">
        <f t="array" ref="U2516">IF($F2516="","",IFERROR(INDEX(Config!$F:$F,MATCH($F2516,Config!$D:$D,0)),0))</f>
        <v/>
      </c>
    </row>
    <row r="2517" ht="15.0" customHeight="1">
      <c r="A2517" s="34"/>
      <c r="B2517" s="35"/>
      <c r="C2517" s="15"/>
      <c r="D2517" s="15"/>
      <c r="E2517" s="15"/>
      <c r="F2517" s="15"/>
      <c r="G2517" s="36" t="str">
        <f t="array" ref="G2517">IF($F2517="","",IFERROR(INDEX(Config!$E:$E,MATCH($F2517,Config!$D:$D,0)),0))</f>
        <v/>
      </c>
      <c r="H2517" s="16"/>
      <c r="I2517" s="36" t="str">
        <f t="shared" si="1"/>
        <v/>
      </c>
      <c r="J2517" s="16"/>
      <c r="K2517" s="15"/>
      <c r="L2517" s="15"/>
      <c r="M2517" s="36" t="str">
        <f t="array" ref="M2517">IF($A2517="","",IF($L2517="Atendido",IFERROR($I2517*INDEX(Config!$B:$B,MATCH($C2517,Config!$A:$A,0)),0),0))</f>
        <v/>
      </c>
      <c r="N2517" s="36" t="str">
        <f t="shared" si="2"/>
        <v/>
      </c>
      <c r="O2517" s="36" t="str">
        <f t="shared" si="3"/>
        <v/>
      </c>
      <c r="P2517" s="15"/>
      <c r="Q2517" s="37" t="str">
        <f t="shared" si="4"/>
        <v/>
      </c>
      <c r="R2517" s="37" t="str">
        <f t="shared" si="5"/>
        <v/>
      </c>
      <c r="S2517" s="32" t="str">
        <f t="shared" si="6"/>
        <v/>
      </c>
      <c r="T2517" s="37" t="str">
        <f t="shared" si="7"/>
        <v/>
      </c>
      <c r="U2517" s="37" t="str">
        <f t="array" ref="U2517">IF($F2517="","",IFERROR(INDEX(Config!$F:$F,MATCH($F2517,Config!$D:$D,0)),0))</f>
        <v/>
      </c>
    </row>
    <row r="2518" ht="15.0" customHeight="1">
      <c r="A2518" s="34"/>
      <c r="B2518" s="35"/>
      <c r="C2518" s="15"/>
      <c r="D2518" s="15"/>
      <c r="E2518" s="15"/>
      <c r="F2518" s="15"/>
      <c r="G2518" s="36" t="str">
        <f t="array" ref="G2518">IF($F2518="","",IFERROR(INDEX(Config!$E:$E,MATCH($F2518,Config!$D:$D,0)),0))</f>
        <v/>
      </c>
      <c r="H2518" s="16"/>
      <c r="I2518" s="36" t="str">
        <f t="shared" si="1"/>
        <v/>
      </c>
      <c r="J2518" s="16"/>
      <c r="K2518" s="15"/>
      <c r="L2518" s="15"/>
      <c r="M2518" s="36" t="str">
        <f t="array" ref="M2518">IF($A2518="","",IF($L2518="Atendido",IFERROR($I2518*INDEX(Config!$B:$B,MATCH($C2518,Config!$A:$A,0)),0),0))</f>
        <v/>
      </c>
      <c r="N2518" s="36" t="str">
        <f t="shared" si="2"/>
        <v/>
      </c>
      <c r="O2518" s="36" t="str">
        <f t="shared" si="3"/>
        <v/>
      </c>
      <c r="P2518" s="15"/>
      <c r="Q2518" s="37" t="str">
        <f t="shared" si="4"/>
        <v/>
      </c>
      <c r="R2518" s="37" t="str">
        <f t="shared" si="5"/>
        <v/>
      </c>
      <c r="S2518" s="32" t="str">
        <f t="shared" si="6"/>
        <v/>
      </c>
      <c r="T2518" s="37" t="str">
        <f t="shared" si="7"/>
        <v/>
      </c>
      <c r="U2518" s="37" t="str">
        <f t="array" ref="U2518">IF($F2518="","",IFERROR(INDEX(Config!$F:$F,MATCH($F2518,Config!$D:$D,0)),0))</f>
        <v/>
      </c>
    </row>
    <row r="2519" ht="15.0" customHeight="1">
      <c r="A2519" s="34"/>
      <c r="B2519" s="35"/>
      <c r="C2519" s="15"/>
      <c r="D2519" s="15"/>
      <c r="E2519" s="15"/>
      <c r="F2519" s="15"/>
      <c r="G2519" s="36" t="str">
        <f t="array" ref="G2519">IF($F2519="","",IFERROR(INDEX(Config!$E:$E,MATCH($F2519,Config!$D:$D,0)),0))</f>
        <v/>
      </c>
      <c r="H2519" s="16"/>
      <c r="I2519" s="36" t="str">
        <f t="shared" si="1"/>
        <v/>
      </c>
      <c r="J2519" s="16"/>
      <c r="K2519" s="15"/>
      <c r="L2519" s="15"/>
      <c r="M2519" s="36" t="str">
        <f t="array" ref="M2519">IF($A2519="","",IF($L2519="Atendido",IFERROR($I2519*INDEX(Config!$B:$B,MATCH($C2519,Config!$A:$A,0)),0),0))</f>
        <v/>
      </c>
      <c r="N2519" s="36" t="str">
        <f t="shared" si="2"/>
        <v/>
      </c>
      <c r="O2519" s="36" t="str">
        <f t="shared" si="3"/>
        <v/>
      </c>
      <c r="P2519" s="15"/>
      <c r="Q2519" s="37" t="str">
        <f t="shared" si="4"/>
        <v/>
      </c>
      <c r="R2519" s="37" t="str">
        <f t="shared" si="5"/>
        <v/>
      </c>
      <c r="S2519" s="32" t="str">
        <f t="shared" si="6"/>
        <v/>
      </c>
      <c r="T2519" s="37" t="str">
        <f t="shared" si="7"/>
        <v/>
      </c>
      <c r="U2519" s="37" t="str">
        <f t="array" ref="U2519">IF($F2519="","",IFERROR(INDEX(Config!$F:$F,MATCH($F2519,Config!$D:$D,0)),0))</f>
        <v/>
      </c>
    </row>
    <row r="2520" ht="15.0" customHeight="1">
      <c r="A2520" s="34"/>
      <c r="B2520" s="35"/>
      <c r="C2520" s="15"/>
      <c r="D2520" s="15"/>
      <c r="E2520" s="15"/>
      <c r="F2520" s="15"/>
      <c r="G2520" s="36" t="str">
        <f t="array" ref="G2520">IF($F2520="","",IFERROR(INDEX(Config!$E:$E,MATCH($F2520,Config!$D:$D,0)),0))</f>
        <v/>
      </c>
      <c r="H2520" s="16"/>
      <c r="I2520" s="36" t="str">
        <f t="shared" si="1"/>
        <v/>
      </c>
      <c r="J2520" s="16"/>
      <c r="K2520" s="15"/>
      <c r="L2520" s="15"/>
      <c r="M2520" s="36" t="str">
        <f t="array" ref="M2520">IF($A2520="","",IF($L2520="Atendido",IFERROR($I2520*INDEX(Config!$B:$B,MATCH($C2520,Config!$A:$A,0)),0),0))</f>
        <v/>
      </c>
      <c r="N2520" s="36" t="str">
        <f t="shared" si="2"/>
        <v/>
      </c>
      <c r="O2520" s="36" t="str">
        <f t="shared" si="3"/>
        <v/>
      </c>
      <c r="P2520" s="15"/>
      <c r="Q2520" s="37" t="str">
        <f t="shared" si="4"/>
        <v/>
      </c>
      <c r="R2520" s="37" t="str">
        <f t="shared" si="5"/>
        <v/>
      </c>
      <c r="S2520" s="32" t="str">
        <f t="shared" si="6"/>
        <v/>
      </c>
      <c r="T2520" s="37" t="str">
        <f t="shared" si="7"/>
        <v/>
      </c>
      <c r="U2520" s="37" t="str">
        <f t="array" ref="U2520">IF($F2520="","",IFERROR(INDEX(Config!$F:$F,MATCH($F2520,Config!$D:$D,0)),0))</f>
        <v/>
      </c>
    </row>
    <row r="2521" ht="15.0" customHeight="1">
      <c r="A2521" s="34"/>
      <c r="B2521" s="35"/>
      <c r="C2521" s="15"/>
      <c r="D2521" s="15"/>
      <c r="E2521" s="15"/>
      <c r="F2521" s="15"/>
      <c r="G2521" s="36" t="str">
        <f t="array" ref="G2521">IF($F2521="","",IFERROR(INDEX(Config!$E:$E,MATCH($F2521,Config!$D:$D,0)),0))</f>
        <v/>
      </c>
      <c r="H2521" s="16"/>
      <c r="I2521" s="36" t="str">
        <f t="shared" si="1"/>
        <v/>
      </c>
      <c r="J2521" s="16"/>
      <c r="K2521" s="15"/>
      <c r="L2521" s="15"/>
      <c r="M2521" s="36" t="str">
        <f t="array" ref="M2521">IF($A2521="","",IF($L2521="Atendido",IFERROR($I2521*INDEX(Config!$B:$B,MATCH($C2521,Config!$A:$A,0)),0),0))</f>
        <v/>
      </c>
      <c r="N2521" s="36" t="str">
        <f t="shared" si="2"/>
        <v/>
      </c>
      <c r="O2521" s="36" t="str">
        <f t="shared" si="3"/>
        <v/>
      </c>
      <c r="P2521" s="15"/>
      <c r="Q2521" s="37" t="str">
        <f t="shared" si="4"/>
        <v/>
      </c>
      <c r="R2521" s="37" t="str">
        <f t="shared" si="5"/>
        <v/>
      </c>
      <c r="S2521" s="32" t="str">
        <f t="shared" si="6"/>
        <v/>
      </c>
      <c r="T2521" s="37" t="str">
        <f t="shared" si="7"/>
        <v/>
      </c>
      <c r="U2521" s="37" t="str">
        <f t="array" ref="U2521">IF($F2521="","",IFERROR(INDEX(Config!$F:$F,MATCH($F2521,Config!$D:$D,0)),0))</f>
        <v/>
      </c>
    </row>
    <row r="2522" ht="15.0" customHeight="1">
      <c r="A2522" s="34"/>
      <c r="B2522" s="35"/>
      <c r="C2522" s="15"/>
      <c r="D2522" s="15"/>
      <c r="E2522" s="15"/>
      <c r="F2522" s="15"/>
      <c r="G2522" s="36" t="str">
        <f t="array" ref="G2522">IF($F2522="","",IFERROR(INDEX(Config!$E:$E,MATCH($F2522,Config!$D:$D,0)),0))</f>
        <v/>
      </c>
      <c r="H2522" s="16"/>
      <c r="I2522" s="36" t="str">
        <f t="shared" si="1"/>
        <v/>
      </c>
      <c r="J2522" s="16"/>
      <c r="K2522" s="15"/>
      <c r="L2522" s="15"/>
      <c r="M2522" s="36" t="str">
        <f t="array" ref="M2522">IF($A2522="","",IF($L2522="Atendido",IFERROR($I2522*INDEX(Config!$B:$B,MATCH($C2522,Config!$A:$A,0)),0),0))</f>
        <v/>
      </c>
      <c r="N2522" s="36" t="str">
        <f t="shared" si="2"/>
        <v/>
      </c>
      <c r="O2522" s="36" t="str">
        <f t="shared" si="3"/>
        <v/>
      </c>
      <c r="P2522" s="15"/>
      <c r="Q2522" s="37" t="str">
        <f t="shared" si="4"/>
        <v/>
      </c>
      <c r="R2522" s="37" t="str">
        <f t="shared" si="5"/>
        <v/>
      </c>
      <c r="S2522" s="32" t="str">
        <f t="shared" si="6"/>
        <v/>
      </c>
      <c r="T2522" s="37" t="str">
        <f t="shared" si="7"/>
        <v/>
      </c>
      <c r="U2522" s="37" t="str">
        <f t="array" ref="U2522">IF($F2522="","",IFERROR(INDEX(Config!$F:$F,MATCH($F2522,Config!$D:$D,0)),0))</f>
        <v/>
      </c>
    </row>
    <row r="2523" ht="15.0" customHeight="1">
      <c r="A2523" s="34"/>
      <c r="B2523" s="35"/>
      <c r="C2523" s="15"/>
      <c r="D2523" s="15"/>
      <c r="E2523" s="15"/>
      <c r="F2523" s="15"/>
      <c r="G2523" s="36" t="str">
        <f t="array" ref="G2523">IF($F2523="","",IFERROR(INDEX(Config!$E:$E,MATCH($F2523,Config!$D:$D,0)),0))</f>
        <v/>
      </c>
      <c r="H2523" s="16"/>
      <c r="I2523" s="36" t="str">
        <f t="shared" si="1"/>
        <v/>
      </c>
      <c r="J2523" s="16"/>
      <c r="K2523" s="15"/>
      <c r="L2523" s="15"/>
      <c r="M2523" s="36" t="str">
        <f t="array" ref="M2523">IF($A2523="","",IF($L2523="Atendido",IFERROR($I2523*INDEX(Config!$B:$B,MATCH($C2523,Config!$A:$A,0)),0),0))</f>
        <v/>
      </c>
      <c r="N2523" s="36" t="str">
        <f t="shared" si="2"/>
        <v/>
      </c>
      <c r="O2523" s="36" t="str">
        <f t="shared" si="3"/>
        <v/>
      </c>
      <c r="P2523" s="15"/>
      <c r="Q2523" s="37" t="str">
        <f t="shared" si="4"/>
        <v/>
      </c>
      <c r="R2523" s="37" t="str">
        <f t="shared" si="5"/>
        <v/>
      </c>
      <c r="S2523" s="32" t="str">
        <f t="shared" si="6"/>
        <v/>
      </c>
      <c r="T2523" s="37" t="str">
        <f t="shared" si="7"/>
        <v/>
      </c>
      <c r="U2523" s="37" t="str">
        <f t="array" ref="U2523">IF($F2523="","",IFERROR(INDEX(Config!$F:$F,MATCH($F2523,Config!$D:$D,0)),0))</f>
        <v/>
      </c>
    </row>
    <row r="2524" ht="15.0" customHeight="1">
      <c r="A2524" s="34"/>
      <c r="B2524" s="35"/>
      <c r="C2524" s="15"/>
      <c r="D2524" s="15"/>
      <c r="E2524" s="15"/>
      <c r="F2524" s="15"/>
      <c r="G2524" s="36" t="str">
        <f t="array" ref="G2524">IF($F2524="","",IFERROR(INDEX(Config!$E:$E,MATCH($F2524,Config!$D:$D,0)),0))</f>
        <v/>
      </c>
      <c r="H2524" s="16"/>
      <c r="I2524" s="36" t="str">
        <f t="shared" si="1"/>
        <v/>
      </c>
      <c r="J2524" s="16"/>
      <c r="K2524" s="15"/>
      <c r="L2524" s="15"/>
      <c r="M2524" s="36" t="str">
        <f t="array" ref="M2524">IF($A2524="","",IF($L2524="Atendido",IFERROR($I2524*INDEX(Config!$B:$B,MATCH($C2524,Config!$A:$A,0)),0),0))</f>
        <v/>
      </c>
      <c r="N2524" s="36" t="str">
        <f t="shared" si="2"/>
        <v/>
      </c>
      <c r="O2524" s="36" t="str">
        <f t="shared" si="3"/>
        <v/>
      </c>
      <c r="P2524" s="15"/>
      <c r="Q2524" s="37" t="str">
        <f t="shared" si="4"/>
        <v/>
      </c>
      <c r="R2524" s="37" t="str">
        <f t="shared" si="5"/>
        <v/>
      </c>
      <c r="S2524" s="32" t="str">
        <f t="shared" si="6"/>
        <v/>
      </c>
      <c r="T2524" s="37" t="str">
        <f t="shared" si="7"/>
        <v/>
      </c>
      <c r="U2524" s="37" t="str">
        <f t="array" ref="U2524">IF($F2524="","",IFERROR(INDEX(Config!$F:$F,MATCH($F2524,Config!$D:$D,0)),0))</f>
        <v/>
      </c>
    </row>
    <row r="2525" ht="15.0" customHeight="1">
      <c r="A2525" s="34"/>
      <c r="B2525" s="35"/>
      <c r="C2525" s="15"/>
      <c r="D2525" s="15"/>
      <c r="E2525" s="15"/>
      <c r="F2525" s="15"/>
      <c r="G2525" s="36" t="str">
        <f t="array" ref="G2525">IF($F2525="","",IFERROR(INDEX(Config!$E:$E,MATCH($F2525,Config!$D:$D,0)),0))</f>
        <v/>
      </c>
      <c r="H2525" s="16"/>
      <c r="I2525" s="36" t="str">
        <f t="shared" si="1"/>
        <v/>
      </c>
      <c r="J2525" s="16"/>
      <c r="K2525" s="15"/>
      <c r="L2525" s="15"/>
      <c r="M2525" s="36" t="str">
        <f t="array" ref="M2525">IF($A2525="","",IF($L2525="Atendido",IFERROR($I2525*INDEX(Config!$B:$B,MATCH($C2525,Config!$A:$A,0)),0),0))</f>
        <v/>
      </c>
      <c r="N2525" s="36" t="str">
        <f t="shared" si="2"/>
        <v/>
      </c>
      <c r="O2525" s="36" t="str">
        <f t="shared" si="3"/>
        <v/>
      </c>
      <c r="P2525" s="15"/>
      <c r="Q2525" s="37" t="str">
        <f t="shared" si="4"/>
        <v/>
      </c>
      <c r="R2525" s="37" t="str">
        <f t="shared" si="5"/>
        <v/>
      </c>
      <c r="S2525" s="32" t="str">
        <f t="shared" si="6"/>
        <v/>
      </c>
      <c r="T2525" s="37" t="str">
        <f t="shared" si="7"/>
        <v/>
      </c>
      <c r="U2525" s="37" t="str">
        <f t="array" ref="U2525">IF($F2525="","",IFERROR(INDEX(Config!$F:$F,MATCH($F2525,Config!$D:$D,0)),0))</f>
        <v/>
      </c>
    </row>
    <row r="2526" ht="15.0" customHeight="1">
      <c r="A2526" s="34"/>
      <c r="B2526" s="35"/>
      <c r="C2526" s="15"/>
      <c r="D2526" s="15"/>
      <c r="E2526" s="15"/>
      <c r="F2526" s="15"/>
      <c r="G2526" s="36" t="str">
        <f t="array" ref="G2526">IF($F2526="","",IFERROR(INDEX(Config!$E:$E,MATCH($F2526,Config!$D:$D,0)),0))</f>
        <v/>
      </c>
      <c r="H2526" s="16"/>
      <c r="I2526" s="36" t="str">
        <f t="shared" si="1"/>
        <v/>
      </c>
      <c r="J2526" s="16"/>
      <c r="K2526" s="15"/>
      <c r="L2526" s="15"/>
      <c r="M2526" s="36" t="str">
        <f t="array" ref="M2526">IF($A2526="","",IF($L2526="Atendido",IFERROR($I2526*INDEX(Config!$B:$B,MATCH($C2526,Config!$A:$A,0)),0),0))</f>
        <v/>
      </c>
      <c r="N2526" s="36" t="str">
        <f t="shared" si="2"/>
        <v/>
      </c>
      <c r="O2526" s="36" t="str">
        <f t="shared" si="3"/>
        <v/>
      </c>
      <c r="P2526" s="15"/>
      <c r="Q2526" s="37" t="str">
        <f t="shared" si="4"/>
        <v/>
      </c>
      <c r="R2526" s="37" t="str">
        <f t="shared" si="5"/>
        <v/>
      </c>
      <c r="S2526" s="32" t="str">
        <f t="shared" si="6"/>
        <v/>
      </c>
      <c r="T2526" s="37" t="str">
        <f t="shared" si="7"/>
        <v/>
      </c>
      <c r="U2526" s="37" t="str">
        <f t="array" ref="U2526">IF($F2526="","",IFERROR(INDEX(Config!$F:$F,MATCH($F2526,Config!$D:$D,0)),0))</f>
        <v/>
      </c>
    </row>
    <row r="2527" ht="15.0" customHeight="1">
      <c r="A2527" s="34"/>
      <c r="B2527" s="35"/>
      <c r="C2527" s="15"/>
      <c r="D2527" s="15"/>
      <c r="E2527" s="15"/>
      <c r="F2527" s="15"/>
      <c r="G2527" s="36" t="str">
        <f t="array" ref="G2527">IF($F2527="","",IFERROR(INDEX(Config!$E:$E,MATCH($F2527,Config!$D:$D,0)),0))</f>
        <v/>
      </c>
      <c r="H2527" s="16"/>
      <c r="I2527" s="36" t="str">
        <f t="shared" si="1"/>
        <v/>
      </c>
      <c r="J2527" s="16"/>
      <c r="K2527" s="15"/>
      <c r="L2527" s="15"/>
      <c r="M2527" s="36" t="str">
        <f t="array" ref="M2527">IF($A2527="","",IF($L2527="Atendido",IFERROR($I2527*INDEX(Config!$B:$B,MATCH($C2527,Config!$A:$A,0)),0),0))</f>
        <v/>
      </c>
      <c r="N2527" s="36" t="str">
        <f t="shared" si="2"/>
        <v/>
      </c>
      <c r="O2527" s="36" t="str">
        <f t="shared" si="3"/>
        <v/>
      </c>
      <c r="P2527" s="15"/>
      <c r="Q2527" s="37" t="str">
        <f t="shared" si="4"/>
        <v/>
      </c>
      <c r="R2527" s="37" t="str">
        <f t="shared" si="5"/>
        <v/>
      </c>
      <c r="S2527" s="32" t="str">
        <f t="shared" si="6"/>
        <v/>
      </c>
      <c r="T2527" s="37" t="str">
        <f t="shared" si="7"/>
        <v/>
      </c>
      <c r="U2527" s="37" t="str">
        <f t="array" ref="U2527">IF($F2527="","",IFERROR(INDEX(Config!$F:$F,MATCH($F2527,Config!$D:$D,0)),0))</f>
        <v/>
      </c>
    </row>
    <row r="2528" ht="15.0" customHeight="1">
      <c r="A2528" s="34"/>
      <c r="B2528" s="35"/>
      <c r="C2528" s="15"/>
      <c r="D2528" s="15"/>
      <c r="E2528" s="15"/>
      <c r="F2528" s="15"/>
      <c r="G2528" s="36" t="str">
        <f t="array" ref="G2528">IF($F2528="","",IFERROR(INDEX(Config!$E:$E,MATCH($F2528,Config!$D:$D,0)),0))</f>
        <v/>
      </c>
      <c r="H2528" s="16"/>
      <c r="I2528" s="36" t="str">
        <f t="shared" si="1"/>
        <v/>
      </c>
      <c r="J2528" s="16"/>
      <c r="K2528" s="15"/>
      <c r="L2528" s="15"/>
      <c r="M2528" s="36" t="str">
        <f t="array" ref="M2528">IF($A2528="","",IF($L2528="Atendido",IFERROR($I2528*INDEX(Config!$B:$B,MATCH($C2528,Config!$A:$A,0)),0),0))</f>
        <v/>
      </c>
      <c r="N2528" s="36" t="str">
        <f t="shared" si="2"/>
        <v/>
      </c>
      <c r="O2528" s="36" t="str">
        <f t="shared" si="3"/>
        <v/>
      </c>
      <c r="P2528" s="15"/>
      <c r="Q2528" s="37" t="str">
        <f t="shared" si="4"/>
        <v/>
      </c>
      <c r="R2528" s="37" t="str">
        <f t="shared" si="5"/>
        <v/>
      </c>
      <c r="S2528" s="32" t="str">
        <f t="shared" si="6"/>
        <v/>
      </c>
      <c r="T2528" s="37" t="str">
        <f t="shared" si="7"/>
        <v/>
      </c>
      <c r="U2528" s="37" t="str">
        <f t="array" ref="U2528">IF($F2528="","",IFERROR(INDEX(Config!$F:$F,MATCH($F2528,Config!$D:$D,0)),0))</f>
        <v/>
      </c>
    </row>
    <row r="2529" ht="15.0" customHeight="1">
      <c r="A2529" s="34"/>
      <c r="B2529" s="35"/>
      <c r="C2529" s="15"/>
      <c r="D2529" s="15"/>
      <c r="E2529" s="15"/>
      <c r="F2529" s="15"/>
      <c r="G2529" s="36" t="str">
        <f t="array" ref="G2529">IF($F2529="","",IFERROR(INDEX(Config!$E:$E,MATCH($F2529,Config!$D:$D,0)),0))</f>
        <v/>
      </c>
      <c r="H2529" s="16"/>
      <c r="I2529" s="36" t="str">
        <f t="shared" si="1"/>
        <v/>
      </c>
      <c r="J2529" s="16"/>
      <c r="K2529" s="15"/>
      <c r="L2529" s="15"/>
      <c r="M2529" s="36" t="str">
        <f t="array" ref="M2529">IF($A2529="","",IF($L2529="Atendido",IFERROR($I2529*INDEX(Config!$B:$B,MATCH($C2529,Config!$A:$A,0)),0),0))</f>
        <v/>
      </c>
      <c r="N2529" s="36" t="str">
        <f t="shared" si="2"/>
        <v/>
      </c>
      <c r="O2529" s="36" t="str">
        <f t="shared" si="3"/>
        <v/>
      </c>
      <c r="P2529" s="15"/>
      <c r="Q2529" s="37" t="str">
        <f t="shared" si="4"/>
        <v/>
      </c>
      <c r="R2529" s="37" t="str">
        <f t="shared" si="5"/>
        <v/>
      </c>
      <c r="S2529" s="32" t="str">
        <f t="shared" si="6"/>
        <v/>
      </c>
      <c r="T2529" s="37" t="str">
        <f t="shared" si="7"/>
        <v/>
      </c>
      <c r="U2529" s="37" t="str">
        <f t="array" ref="U2529">IF($F2529="","",IFERROR(INDEX(Config!$F:$F,MATCH($F2529,Config!$D:$D,0)),0))</f>
        <v/>
      </c>
    </row>
    <row r="2530" ht="15.0" customHeight="1">
      <c r="A2530" s="34"/>
      <c r="B2530" s="35"/>
      <c r="C2530" s="15"/>
      <c r="D2530" s="15"/>
      <c r="E2530" s="15"/>
      <c r="F2530" s="15"/>
      <c r="G2530" s="36" t="str">
        <f t="array" ref="G2530">IF($F2530="","",IFERROR(INDEX(Config!$E:$E,MATCH($F2530,Config!$D:$D,0)),0))</f>
        <v/>
      </c>
      <c r="H2530" s="16"/>
      <c r="I2530" s="36" t="str">
        <f t="shared" si="1"/>
        <v/>
      </c>
      <c r="J2530" s="16"/>
      <c r="K2530" s="15"/>
      <c r="L2530" s="15"/>
      <c r="M2530" s="36" t="str">
        <f t="array" ref="M2530">IF($A2530="","",IF($L2530="Atendido",IFERROR($I2530*INDEX(Config!$B:$B,MATCH($C2530,Config!$A:$A,0)),0),0))</f>
        <v/>
      </c>
      <c r="N2530" s="36" t="str">
        <f t="shared" si="2"/>
        <v/>
      </c>
      <c r="O2530" s="36" t="str">
        <f t="shared" si="3"/>
        <v/>
      </c>
      <c r="P2530" s="15"/>
      <c r="Q2530" s="37" t="str">
        <f t="shared" si="4"/>
        <v/>
      </c>
      <c r="R2530" s="37" t="str">
        <f t="shared" si="5"/>
        <v/>
      </c>
      <c r="S2530" s="32" t="str">
        <f t="shared" si="6"/>
        <v/>
      </c>
      <c r="T2530" s="37" t="str">
        <f t="shared" si="7"/>
        <v/>
      </c>
      <c r="U2530" s="37" t="str">
        <f t="array" ref="U2530">IF($F2530="","",IFERROR(INDEX(Config!$F:$F,MATCH($F2530,Config!$D:$D,0)),0))</f>
        <v/>
      </c>
    </row>
    <row r="2531" ht="15.0" customHeight="1">
      <c r="A2531" s="34"/>
      <c r="B2531" s="35"/>
      <c r="C2531" s="15"/>
      <c r="D2531" s="15"/>
      <c r="E2531" s="15"/>
      <c r="F2531" s="15"/>
      <c r="G2531" s="36" t="str">
        <f t="array" ref="G2531">IF($F2531="","",IFERROR(INDEX(Config!$E:$E,MATCH($F2531,Config!$D:$D,0)),0))</f>
        <v/>
      </c>
      <c r="H2531" s="16"/>
      <c r="I2531" s="36" t="str">
        <f t="shared" si="1"/>
        <v/>
      </c>
      <c r="J2531" s="16"/>
      <c r="K2531" s="15"/>
      <c r="L2531" s="15"/>
      <c r="M2531" s="36" t="str">
        <f t="array" ref="M2531">IF($A2531="","",IF($L2531="Atendido",IFERROR($I2531*INDEX(Config!$B:$B,MATCH($C2531,Config!$A:$A,0)),0),0))</f>
        <v/>
      </c>
      <c r="N2531" s="36" t="str">
        <f t="shared" si="2"/>
        <v/>
      </c>
      <c r="O2531" s="36" t="str">
        <f t="shared" si="3"/>
        <v/>
      </c>
      <c r="P2531" s="15"/>
      <c r="Q2531" s="37" t="str">
        <f t="shared" si="4"/>
        <v/>
      </c>
      <c r="R2531" s="37" t="str">
        <f t="shared" si="5"/>
        <v/>
      </c>
      <c r="S2531" s="32" t="str">
        <f t="shared" si="6"/>
        <v/>
      </c>
      <c r="T2531" s="37" t="str">
        <f t="shared" si="7"/>
        <v/>
      </c>
      <c r="U2531" s="37" t="str">
        <f t="array" ref="U2531">IF($F2531="","",IFERROR(INDEX(Config!$F:$F,MATCH($F2531,Config!$D:$D,0)),0))</f>
        <v/>
      </c>
    </row>
    <row r="2532" ht="15.0" customHeight="1">
      <c r="A2532" s="34"/>
      <c r="B2532" s="35"/>
      <c r="C2532" s="15"/>
      <c r="D2532" s="15"/>
      <c r="E2532" s="15"/>
      <c r="F2532" s="15"/>
      <c r="G2532" s="36" t="str">
        <f t="array" ref="G2532">IF($F2532="","",IFERROR(INDEX(Config!$E:$E,MATCH($F2532,Config!$D:$D,0)),0))</f>
        <v/>
      </c>
      <c r="H2532" s="16"/>
      <c r="I2532" s="36" t="str">
        <f t="shared" si="1"/>
        <v/>
      </c>
      <c r="J2532" s="16"/>
      <c r="K2532" s="15"/>
      <c r="L2532" s="15"/>
      <c r="M2532" s="36" t="str">
        <f t="array" ref="M2532">IF($A2532="","",IF($L2532="Atendido",IFERROR($I2532*INDEX(Config!$B:$B,MATCH($C2532,Config!$A:$A,0)),0),0))</f>
        <v/>
      </c>
      <c r="N2532" s="36" t="str">
        <f t="shared" si="2"/>
        <v/>
      </c>
      <c r="O2532" s="36" t="str">
        <f t="shared" si="3"/>
        <v/>
      </c>
      <c r="P2532" s="15"/>
      <c r="Q2532" s="37" t="str">
        <f t="shared" si="4"/>
        <v/>
      </c>
      <c r="R2532" s="37" t="str">
        <f t="shared" si="5"/>
        <v/>
      </c>
      <c r="S2532" s="32" t="str">
        <f t="shared" si="6"/>
        <v/>
      </c>
      <c r="T2532" s="37" t="str">
        <f t="shared" si="7"/>
        <v/>
      </c>
      <c r="U2532" s="37" t="str">
        <f t="array" ref="U2532">IF($F2532="","",IFERROR(INDEX(Config!$F:$F,MATCH($F2532,Config!$D:$D,0)),0))</f>
        <v/>
      </c>
    </row>
    <row r="2533" ht="15.0" customHeight="1">
      <c r="A2533" s="34"/>
      <c r="B2533" s="35"/>
      <c r="C2533" s="15"/>
      <c r="D2533" s="15"/>
      <c r="E2533" s="15"/>
      <c r="F2533" s="15"/>
      <c r="G2533" s="36" t="str">
        <f t="array" ref="G2533">IF($F2533="","",IFERROR(INDEX(Config!$E:$E,MATCH($F2533,Config!$D:$D,0)),0))</f>
        <v/>
      </c>
      <c r="H2533" s="16"/>
      <c r="I2533" s="36" t="str">
        <f t="shared" si="1"/>
        <v/>
      </c>
      <c r="J2533" s="16"/>
      <c r="K2533" s="15"/>
      <c r="L2533" s="15"/>
      <c r="M2533" s="36" t="str">
        <f t="array" ref="M2533">IF($A2533="","",IF($L2533="Atendido",IFERROR($I2533*INDEX(Config!$B:$B,MATCH($C2533,Config!$A:$A,0)),0),0))</f>
        <v/>
      </c>
      <c r="N2533" s="36" t="str">
        <f t="shared" si="2"/>
        <v/>
      </c>
      <c r="O2533" s="36" t="str">
        <f t="shared" si="3"/>
        <v/>
      </c>
      <c r="P2533" s="15"/>
      <c r="Q2533" s="37" t="str">
        <f t="shared" si="4"/>
        <v/>
      </c>
      <c r="R2533" s="37" t="str">
        <f t="shared" si="5"/>
        <v/>
      </c>
      <c r="S2533" s="32" t="str">
        <f t="shared" si="6"/>
        <v/>
      </c>
      <c r="T2533" s="37" t="str">
        <f t="shared" si="7"/>
        <v/>
      </c>
      <c r="U2533" s="37" t="str">
        <f t="array" ref="U2533">IF($F2533="","",IFERROR(INDEX(Config!$F:$F,MATCH($F2533,Config!$D:$D,0)),0))</f>
        <v/>
      </c>
    </row>
    <row r="2534" ht="15.0" customHeight="1">
      <c r="A2534" s="34"/>
      <c r="B2534" s="35"/>
      <c r="C2534" s="15"/>
      <c r="D2534" s="15"/>
      <c r="E2534" s="15"/>
      <c r="F2534" s="15"/>
      <c r="G2534" s="36" t="str">
        <f t="array" ref="G2534">IF($F2534="","",IFERROR(INDEX(Config!$E:$E,MATCH($F2534,Config!$D:$D,0)),0))</f>
        <v/>
      </c>
      <c r="H2534" s="16"/>
      <c r="I2534" s="36" t="str">
        <f t="shared" si="1"/>
        <v/>
      </c>
      <c r="J2534" s="16"/>
      <c r="K2534" s="15"/>
      <c r="L2534" s="15"/>
      <c r="M2534" s="36" t="str">
        <f t="array" ref="M2534">IF($A2534="","",IF($L2534="Atendido",IFERROR($I2534*INDEX(Config!$B:$B,MATCH($C2534,Config!$A:$A,0)),0),0))</f>
        <v/>
      </c>
      <c r="N2534" s="36" t="str">
        <f t="shared" si="2"/>
        <v/>
      </c>
      <c r="O2534" s="36" t="str">
        <f t="shared" si="3"/>
        <v/>
      </c>
      <c r="P2534" s="15"/>
      <c r="Q2534" s="37" t="str">
        <f t="shared" si="4"/>
        <v/>
      </c>
      <c r="R2534" s="37" t="str">
        <f t="shared" si="5"/>
        <v/>
      </c>
      <c r="S2534" s="32" t="str">
        <f t="shared" si="6"/>
        <v/>
      </c>
      <c r="T2534" s="37" t="str">
        <f t="shared" si="7"/>
        <v/>
      </c>
      <c r="U2534" s="37" t="str">
        <f t="array" ref="U2534">IF($F2534="","",IFERROR(INDEX(Config!$F:$F,MATCH($F2534,Config!$D:$D,0)),0))</f>
        <v/>
      </c>
    </row>
    <row r="2535" ht="15.0" customHeight="1">
      <c r="A2535" s="34"/>
      <c r="B2535" s="35"/>
      <c r="C2535" s="15"/>
      <c r="D2535" s="15"/>
      <c r="E2535" s="15"/>
      <c r="F2535" s="15"/>
      <c r="G2535" s="36" t="str">
        <f t="array" ref="G2535">IF($F2535="","",IFERROR(INDEX(Config!$E:$E,MATCH($F2535,Config!$D:$D,0)),0))</f>
        <v/>
      </c>
      <c r="H2535" s="16"/>
      <c r="I2535" s="36" t="str">
        <f t="shared" si="1"/>
        <v/>
      </c>
      <c r="J2535" s="16"/>
      <c r="K2535" s="15"/>
      <c r="L2535" s="15"/>
      <c r="M2535" s="36" t="str">
        <f t="array" ref="M2535">IF($A2535="","",IF($L2535="Atendido",IFERROR($I2535*INDEX(Config!$B:$B,MATCH($C2535,Config!$A:$A,0)),0),0))</f>
        <v/>
      </c>
      <c r="N2535" s="36" t="str">
        <f t="shared" si="2"/>
        <v/>
      </c>
      <c r="O2535" s="36" t="str">
        <f t="shared" si="3"/>
        <v/>
      </c>
      <c r="P2535" s="15"/>
      <c r="Q2535" s="37" t="str">
        <f t="shared" si="4"/>
        <v/>
      </c>
      <c r="R2535" s="37" t="str">
        <f t="shared" si="5"/>
        <v/>
      </c>
      <c r="S2535" s="32" t="str">
        <f t="shared" si="6"/>
        <v/>
      </c>
      <c r="T2535" s="37" t="str">
        <f t="shared" si="7"/>
        <v/>
      </c>
      <c r="U2535" s="37" t="str">
        <f t="array" ref="U2535">IF($F2535="","",IFERROR(INDEX(Config!$F:$F,MATCH($F2535,Config!$D:$D,0)),0))</f>
        <v/>
      </c>
    </row>
    <row r="2536" ht="15.0" customHeight="1">
      <c r="A2536" s="34"/>
      <c r="B2536" s="35"/>
      <c r="C2536" s="15"/>
      <c r="D2536" s="15"/>
      <c r="E2536" s="15"/>
      <c r="F2536" s="15"/>
      <c r="G2536" s="36" t="str">
        <f t="array" ref="G2536">IF($F2536="","",IFERROR(INDEX(Config!$E:$E,MATCH($F2536,Config!$D:$D,0)),0))</f>
        <v/>
      </c>
      <c r="H2536" s="16"/>
      <c r="I2536" s="36" t="str">
        <f t="shared" si="1"/>
        <v/>
      </c>
      <c r="J2536" s="16"/>
      <c r="K2536" s="15"/>
      <c r="L2536" s="15"/>
      <c r="M2536" s="36" t="str">
        <f t="array" ref="M2536">IF($A2536="","",IF($L2536="Atendido",IFERROR($I2536*INDEX(Config!$B:$B,MATCH($C2536,Config!$A:$A,0)),0),0))</f>
        <v/>
      </c>
      <c r="N2536" s="36" t="str">
        <f t="shared" si="2"/>
        <v/>
      </c>
      <c r="O2536" s="36" t="str">
        <f t="shared" si="3"/>
        <v/>
      </c>
      <c r="P2536" s="15"/>
      <c r="Q2536" s="37" t="str">
        <f t="shared" si="4"/>
        <v/>
      </c>
      <c r="R2536" s="37" t="str">
        <f t="shared" si="5"/>
        <v/>
      </c>
      <c r="S2536" s="32" t="str">
        <f t="shared" si="6"/>
        <v/>
      </c>
      <c r="T2536" s="37" t="str">
        <f t="shared" si="7"/>
        <v/>
      </c>
      <c r="U2536" s="37" t="str">
        <f t="array" ref="U2536">IF($F2536="","",IFERROR(INDEX(Config!$F:$F,MATCH($F2536,Config!$D:$D,0)),0))</f>
        <v/>
      </c>
    </row>
    <row r="2537" ht="15.0" customHeight="1">
      <c r="A2537" s="34"/>
      <c r="B2537" s="35"/>
      <c r="C2537" s="15"/>
      <c r="D2537" s="15"/>
      <c r="E2537" s="15"/>
      <c r="F2537" s="15"/>
      <c r="G2537" s="36" t="str">
        <f t="array" ref="G2537">IF($F2537="","",IFERROR(INDEX(Config!$E:$E,MATCH($F2537,Config!$D:$D,0)),0))</f>
        <v/>
      </c>
      <c r="H2537" s="16"/>
      <c r="I2537" s="36" t="str">
        <f t="shared" si="1"/>
        <v/>
      </c>
      <c r="J2537" s="16"/>
      <c r="K2537" s="15"/>
      <c r="L2537" s="15"/>
      <c r="M2537" s="36" t="str">
        <f t="array" ref="M2537">IF($A2537="","",IF($L2537="Atendido",IFERROR($I2537*INDEX(Config!$B:$B,MATCH($C2537,Config!$A:$A,0)),0),0))</f>
        <v/>
      </c>
      <c r="N2537" s="36" t="str">
        <f t="shared" si="2"/>
        <v/>
      </c>
      <c r="O2537" s="36" t="str">
        <f t="shared" si="3"/>
        <v/>
      </c>
      <c r="P2537" s="15"/>
      <c r="Q2537" s="37" t="str">
        <f t="shared" si="4"/>
        <v/>
      </c>
      <c r="R2537" s="37" t="str">
        <f t="shared" si="5"/>
        <v/>
      </c>
      <c r="S2537" s="32" t="str">
        <f t="shared" si="6"/>
        <v/>
      </c>
      <c r="T2537" s="37" t="str">
        <f t="shared" si="7"/>
        <v/>
      </c>
      <c r="U2537" s="37" t="str">
        <f t="array" ref="U2537">IF($F2537="","",IFERROR(INDEX(Config!$F:$F,MATCH($F2537,Config!$D:$D,0)),0))</f>
        <v/>
      </c>
    </row>
    <row r="2538" ht="15.0" customHeight="1">
      <c r="A2538" s="34"/>
      <c r="B2538" s="35"/>
      <c r="C2538" s="15"/>
      <c r="D2538" s="15"/>
      <c r="E2538" s="15"/>
      <c r="F2538" s="15"/>
      <c r="G2538" s="36" t="str">
        <f t="array" ref="G2538">IF($F2538="","",IFERROR(INDEX(Config!$E:$E,MATCH($F2538,Config!$D:$D,0)),0))</f>
        <v/>
      </c>
      <c r="H2538" s="16"/>
      <c r="I2538" s="36" t="str">
        <f t="shared" si="1"/>
        <v/>
      </c>
      <c r="J2538" s="16"/>
      <c r="K2538" s="15"/>
      <c r="L2538" s="15"/>
      <c r="M2538" s="36" t="str">
        <f t="array" ref="M2538">IF($A2538="","",IF($L2538="Atendido",IFERROR($I2538*INDEX(Config!$B:$B,MATCH($C2538,Config!$A:$A,0)),0),0))</f>
        <v/>
      </c>
      <c r="N2538" s="36" t="str">
        <f t="shared" si="2"/>
        <v/>
      </c>
      <c r="O2538" s="36" t="str">
        <f t="shared" si="3"/>
        <v/>
      </c>
      <c r="P2538" s="15"/>
      <c r="Q2538" s="37" t="str">
        <f t="shared" si="4"/>
        <v/>
      </c>
      <c r="R2538" s="37" t="str">
        <f t="shared" si="5"/>
        <v/>
      </c>
      <c r="S2538" s="32" t="str">
        <f t="shared" si="6"/>
        <v/>
      </c>
      <c r="T2538" s="37" t="str">
        <f t="shared" si="7"/>
        <v/>
      </c>
      <c r="U2538" s="37" t="str">
        <f t="array" ref="U2538">IF($F2538="","",IFERROR(INDEX(Config!$F:$F,MATCH($F2538,Config!$D:$D,0)),0))</f>
        <v/>
      </c>
    </row>
    <row r="2539" ht="15.0" customHeight="1">
      <c r="A2539" s="34"/>
      <c r="B2539" s="35"/>
      <c r="C2539" s="15"/>
      <c r="D2539" s="15"/>
      <c r="E2539" s="15"/>
      <c r="F2539" s="15"/>
      <c r="G2539" s="36" t="str">
        <f t="array" ref="G2539">IF($F2539="","",IFERROR(INDEX(Config!$E:$E,MATCH($F2539,Config!$D:$D,0)),0))</f>
        <v/>
      </c>
      <c r="H2539" s="16"/>
      <c r="I2539" s="36" t="str">
        <f t="shared" si="1"/>
        <v/>
      </c>
      <c r="J2539" s="16"/>
      <c r="K2539" s="15"/>
      <c r="L2539" s="15"/>
      <c r="M2539" s="36" t="str">
        <f t="array" ref="M2539">IF($A2539="","",IF($L2539="Atendido",IFERROR($I2539*INDEX(Config!$B:$B,MATCH($C2539,Config!$A:$A,0)),0),0))</f>
        <v/>
      </c>
      <c r="N2539" s="36" t="str">
        <f t="shared" si="2"/>
        <v/>
      </c>
      <c r="O2539" s="36" t="str">
        <f t="shared" si="3"/>
        <v/>
      </c>
      <c r="P2539" s="15"/>
      <c r="Q2539" s="37" t="str">
        <f t="shared" si="4"/>
        <v/>
      </c>
      <c r="R2539" s="37" t="str">
        <f t="shared" si="5"/>
        <v/>
      </c>
      <c r="S2539" s="32" t="str">
        <f t="shared" si="6"/>
        <v/>
      </c>
      <c r="T2539" s="37" t="str">
        <f t="shared" si="7"/>
        <v/>
      </c>
      <c r="U2539" s="37" t="str">
        <f t="array" ref="U2539">IF($F2539="","",IFERROR(INDEX(Config!$F:$F,MATCH($F2539,Config!$D:$D,0)),0))</f>
        <v/>
      </c>
    </row>
    <row r="2540" ht="15.0" customHeight="1">
      <c r="A2540" s="34"/>
      <c r="B2540" s="35"/>
      <c r="C2540" s="15"/>
      <c r="D2540" s="15"/>
      <c r="E2540" s="15"/>
      <c r="F2540" s="15"/>
      <c r="G2540" s="36" t="str">
        <f t="array" ref="G2540">IF($F2540="","",IFERROR(INDEX(Config!$E:$E,MATCH($F2540,Config!$D:$D,0)),0))</f>
        <v/>
      </c>
      <c r="H2540" s="16"/>
      <c r="I2540" s="36" t="str">
        <f t="shared" si="1"/>
        <v/>
      </c>
      <c r="J2540" s="16"/>
      <c r="K2540" s="15"/>
      <c r="L2540" s="15"/>
      <c r="M2540" s="36" t="str">
        <f t="array" ref="M2540">IF($A2540="","",IF($L2540="Atendido",IFERROR($I2540*INDEX(Config!$B:$B,MATCH($C2540,Config!$A:$A,0)),0),0))</f>
        <v/>
      </c>
      <c r="N2540" s="36" t="str">
        <f t="shared" si="2"/>
        <v/>
      </c>
      <c r="O2540" s="36" t="str">
        <f t="shared" si="3"/>
        <v/>
      </c>
      <c r="P2540" s="15"/>
      <c r="Q2540" s="37" t="str">
        <f t="shared" si="4"/>
        <v/>
      </c>
      <c r="R2540" s="37" t="str">
        <f t="shared" si="5"/>
        <v/>
      </c>
      <c r="S2540" s="32" t="str">
        <f t="shared" si="6"/>
        <v/>
      </c>
      <c r="T2540" s="37" t="str">
        <f t="shared" si="7"/>
        <v/>
      </c>
      <c r="U2540" s="37" t="str">
        <f t="array" ref="U2540">IF($F2540="","",IFERROR(INDEX(Config!$F:$F,MATCH($F2540,Config!$D:$D,0)),0))</f>
        <v/>
      </c>
    </row>
    <row r="2541" ht="15.0" customHeight="1">
      <c r="A2541" s="34"/>
      <c r="B2541" s="35"/>
      <c r="C2541" s="15"/>
      <c r="D2541" s="15"/>
      <c r="E2541" s="15"/>
      <c r="F2541" s="15"/>
      <c r="G2541" s="36" t="str">
        <f t="array" ref="G2541">IF($F2541="","",IFERROR(INDEX(Config!$E:$E,MATCH($F2541,Config!$D:$D,0)),0))</f>
        <v/>
      </c>
      <c r="H2541" s="16"/>
      <c r="I2541" s="36" t="str">
        <f t="shared" si="1"/>
        <v/>
      </c>
      <c r="J2541" s="16"/>
      <c r="K2541" s="15"/>
      <c r="L2541" s="15"/>
      <c r="M2541" s="36" t="str">
        <f t="array" ref="M2541">IF($A2541="","",IF($L2541="Atendido",IFERROR($I2541*INDEX(Config!$B:$B,MATCH($C2541,Config!$A:$A,0)),0),0))</f>
        <v/>
      </c>
      <c r="N2541" s="36" t="str">
        <f t="shared" si="2"/>
        <v/>
      </c>
      <c r="O2541" s="36" t="str">
        <f t="shared" si="3"/>
        <v/>
      </c>
      <c r="P2541" s="15"/>
      <c r="Q2541" s="37" t="str">
        <f t="shared" si="4"/>
        <v/>
      </c>
      <c r="R2541" s="37" t="str">
        <f t="shared" si="5"/>
        <v/>
      </c>
      <c r="S2541" s="32" t="str">
        <f t="shared" si="6"/>
        <v/>
      </c>
      <c r="T2541" s="37" t="str">
        <f t="shared" si="7"/>
        <v/>
      </c>
      <c r="U2541" s="37" t="str">
        <f t="array" ref="U2541">IF($F2541="","",IFERROR(INDEX(Config!$F:$F,MATCH($F2541,Config!$D:$D,0)),0))</f>
        <v/>
      </c>
    </row>
    <row r="2542" ht="15.0" customHeight="1">
      <c r="A2542" s="34"/>
      <c r="B2542" s="35"/>
      <c r="C2542" s="15"/>
      <c r="D2542" s="15"/>
      <c r="E2542" s="15"/>
      <c r="F2542" s="15"/>
      <c r="G2542" s="36" t="str">
        <f t="array" ref="G2542">IF($F2542="","",IFERROR(INDEX(Config!$E:$E,MATCH($F2542,Config!$D:$D,0)),0))</f>
        <v/>
      </c>
      <c r="H2542" s="16"/>
      <c r="I2542" s="36" t="str">
        <f t="shared" si="1"/>
        <v/>
      </c>
      <c r="J2542" s="16"/>
      <c r="K2542" s="15"/>
      <c r="L2542" s="15"/>
      <c r="M2542" s="36" t="str">
        <f t="array" ref="M2542">IF($A2542="","",IF($L2542="Atendido",IFERROR($I2542*INDEX(Config!$B:$B,MATCH($C2542,Config!$A:$A,0)),0),0))</f>
        <v/>
      </c>
      <c r="N2542" s="36" t="str">
        <f t="shared" si="2"/>
        <v/>
      </c>
      <c r="O2542" s="36" t="str">
        <f t="shared" si="3"/>
        <v/>
      </c>
      <c r="P2542" s="15"/>
      <c r="Q2542" s="37" t="str">
        <f t="shared" si="4"/>
        <v/>
      </c>
      <c r="R2542" s="37" t="str">
        <f t="shared" si="5"/>
        <v/>
      </c>
      <c r="S2542" s="32" t="str">
        <f t="shared" si="6"/>
        <v/>
      </c>
      <c r="T2542" s="37" t="str">
        <f t="shared" si="7"/>
        <v/>
      </c>
      <c r="U2542" s="37" t="str">
        <f t="array" ref="U2542">IF($F2542="","",IFERROR(INDEX(Config!$F:$F,MATCH($F2542,Config!$D:$D,0)),0))</f>
        <v/>
      </c>
    </row>
    <row r="2543" ht="15.0" customHeight="1">
      <c r="A2543" s="34"/>
      <c r="B2543" s="35"/>
      <c r="C2543" s="15"/>
      <c r="D2543" s="15"/>
      <c r="E2543" s="15"/>
      <c r="F2543" s="15"/>
      <c r="G2543" s="36" t="str">
        <f t="array" ref="G2543">IF($F2543="","",IFERROR(INDEX(Config!$E:$E,MATCH($F2543,Config!$D:$D,0)),0))</f>
        <v/>
      </c>
      <c r="H2543" s="16"/>
      <c r="I2543" s="36" t="str">
        <f t="shared" si="1"/>
        <v/>
      </c>
      <c r="J2543" s="16"/>
      <c r="K2543" s="15"/>
      <c r="L2543" s="15"/>
      <c r="M2543" s="36" t="str">
        <f t="array" ref="M2543">IF($A2543="","",IF($L2543="Atendido",IFERROR($I2543*INDEX(Config!$B:$B,MATCH($C2543,Config!$A:$A,0)),0),0))</f>
        <v/>
      </c>
      <c r="N2543" s="36" t="str">
        <f t="shared" si="2"/>
        <v/>
      </c>
      <c r="O2543" s="36" t="str">
        <f t="shared" si="3"/>
        <v/>
      </c>
      <c r="P2543" s="15"/>
      <c r="Q2543" s="37" t="str">
        <f t="shared" si="4"/>
        <v/>
      </c>
      <c r="R2543" s="37" t="str">
        <f t="shared" si="5"/>
        <v/>
      </c>
      <c r="S2543" s="32" t="str">
        <f t="shared" si="6"/>
        <v/>
      </c>
      <c r="T2543" s="37" t="str">
        <f t="shared" si="7"/>
        <v/>
      </c>
      <c r="U2543" s="37" t="str">
        <f t="array" ref="U2543">IF($F2543="","",IFERROR(INDEX(Config!$F:$F,MATCH($F2543,Config!$D:$D,0)),0))</f>
        <v/>
      </c>
    </row>
    <row r="2544" ht="15.0" customHeight="1">
      <c r="A2544" s="34"/>
      <c r="B2544" s="35"/>
      <c r="C2544" s="15"/>
      <c r="D2544" s="15"/>
      <c r="E2544" s="15"/>
      <c r="F2544" s="15"/>
      <c r="G2544" s="36" t="str">
        <f t="array" ref="G2544">IF($F2544="","",IFERROR(INDEX(Config!$E:$E,MATCH($F2544,Config!$D:$D,0)),0))</f>
        <v/>
      </c>
      <c r="H2544" s="16"/>
      <c r="I2544" s="36" t="str">
        <f t="shared" si="1"/>
        <v/>
      </c>
      <c r="J2544" s="16"/>
      <c r="K2544" s="15"/>
      <c r="L2544" s="15"/>
      <c r="M2544" s="36" t="str">
        <f t="array" ref="M2544">IF($A2544="","",IF($L2544="Atendido",IFERROR($I2544*INDEX(Config!$B:$B,MATCH($C2544,Config!$A:$A,0)),0),0))</f>
        <v/>
      </c>
      <c r="N2544" s="36" t="str">
        <f t="shared" si="2"/>
        <v/>
      </c>
      <c r="O2544" s="36" t="str">
        <f t="shared" si="3"/>
        <v/>
      </c>
      <c r="P2544" s="15"/>
      <c r="Q2544" s="37" t="str">
        <f t="shared" si="4"/>
        <v/>
      </c>
      <c r="R2544" s="37" t="str">
        <f t="shared" si="5"/>
        <v/>
      </c>
      <c r="S2544" s="32" t="str">
        <f t="shared" si="6"/>
        <v/>
      </c>
      <c r="T2544" s="37" t="str">
        <f t="shared" si="7"/>
        <v/>
      </c>
      <c r="U2544" s="37" t="str">
        <f t="array" ref="U2544">IF($F2544="","",IFERROR(INDEX(Config!$F:$F,MATCH($F2544,Config!$D:$D,0)),0))</f>
        <v/>
      </c>
    </row>
    <row r="2545" ht="15.0" customHeight="1">
      <c r="A2545" s="34"/>
      <c r="B2545" s="35"/>
      <c r="C2545" s="15"/>
      <c r="D2545" s="15"/>
      <c r="E2545" s="15"/>
      <c r="F2545" s="15"/>
      <c r="G2545" s="36" t="str">
        <f t="array" ref="G2545">IF($F2545="","",IFERROR(INDEX(Config!$E:$E,MATCH($F2545,Config!$D:$D,0)),0))</f>
        <v/>
      </c>
      <c r="H2545" s="16"/>
      <c r="I2545" s="36" t="str">
        <f t="shared" si="1"/>
        <v/>
      </c>
      <c r="J2545" s="16"/>
      <c r="K2545" s="15"/>
      <c r="L2545" s="15"/>
      <c r="M2545" s="36" t="str">
        <f t="array" ref="M2545">IF($A2545="","",IF($L2545="Atendido",IFERROR($I2545*INDEX(Config!$B:$B,MATCH($C2545,Config!$A:$A,0)),0),0))</f>
        <v/>
      </c>
      <c r="N2545" s="36" t="str">
        <f t="shared" si="2"/>
        <v/>
      </c>
      <c r="O2545" s="36" t="str">
        <f t="shared" si="3"/>
        <v/>
      </c>
      <c r="P2545" s="15"/>
      <c r="Q2545" s="37" t="str">
        <f t="shared" si="4"/>
        <v/>
      </c>
      <c r="R2545" s="37" t="str">
        <f t="shared" si="5"/>
        <v/>
      </c>
      <c r="S2545" s="32" t="str">
        <f t="shared" si="6"/>
        <v/>
      </c>
      <c r="T2545" s="37" t="str">
        <f t="shared" si="7"/>
        <v/>
      </c>
      <c r="U2545" s="37" t="str">
        <f t="array" ref="U2545">IF($F2545="","",IFERROR(INDEX(Config!$F:$F,MATCH($F2545,Config!$D:$D,0)),0))</f>
        <v/>
      </c>
    </row>
    <row r="2546" ht="15.0" customHeight="1">
      <c r="A2546" s="34"/>
      <c r="B2546" s="35"/>
      <c r="C2546" s="15"/>
      <c r="D2546" s="15"/>
      <c r="E2546" s="15"/>
      <c r="F2546" s="15"/>
      <c r="G2546" s="36" t="str">
        <f t="array" ref="G2546">IF($F2546="","",IFERROR(INDEX(Config!$E:$E,MATCH($F2546,Config!$D:$D,0)),0))</f>
        <v/>
      </c>
      <c r="H2546" s="16"/>
      <c r="I2546" s="36" t="str">
        <f t="shared" si="1"/>
        <v/>
      </c>
      <c r="J2546" s="16"/>
      <c r="K2546" s="15"/>
      <c r="L2546" s="15"/>
      <c r="M2546" s="36" t="str">
        <f t="array" ref="M2546">IF($A2546="","",IF($L2546="Atendido",IFERROR($I2546*INDEX(Config!$B:$B,MATCH($C2546,Config!$A:$A,0)),0),0))</f>
        <v/>
      </c>
      <c r="N2546" s="36" t="str">
        <f t="shared" si="2"/>
        <v/>
      </c>
      <c r="O2546" s="36" t="str">
        <f t="shared" si="3"/>
        <v/>
      </c>
      <c r="P2546" s="15"/>
      <c r="Q2546" s="37" t="str">
        <f t="shared" si="4"/>
        <v/>
      </c>
      <c r="R2546" s="37" t="str">
        <f t="shared" si="5"/>
        <v/>
      </c>
      <c r="S2546" s="32" t="str">
        <f t="shared" si="6"/>
        <v/>
      </c>
      <c r="T2546" s="37" t="str">
        <f t="shared" si="7"/>
        <v/>
      </c>
      <c r="U2546" s="37" t="str">
        <f t="array" ref="U2546">IF($F2546="","",IFERROR(INDEX(Config!$F:$F,MATCH($F2546,Config!$D:$D,0)),0))</f>
        <v/>
      </c>
    </row>
    <row r="2547" ht="15.0" customHeight="1">
      <c r="A2547" s="34"/>
      <c r="B2547" s="35"/>
      <c r="C2547" s="15"/>
      <c r="D2547" s="15"/>
      <c r="E2547" s="15"/>
      <c r="F2547" s="15"/>
      <c r="G2547" s="36" t="str">
        <f t="array" ref="G2547">IF($F2547="","",IFERROR(INDEX(Config!$E:$E,MATCH($F2547,Config!$D:$D,0)),0))</f>
        <v/>
      </c>
      <c r="H2547" s="16"/>
      <c r="I2547" s="36" t="str">
        <f t="shared" si="1"/>
        <v/>
      </c>
      <c r="J2547" s="16"/>
      <c r="K2547" s="15"/>
      <c r="L2547" s="15"/>
      <c r="M2547" s="36" t="str">
        <f t="array" ref="M2547">IF($A2547="","",IF($L2547="Atendido",IFERROR($I2547*INDEX(Config!$B:$B,MATCH($C2547,Config!$A:$A,0)),0),0))</f>
        <v/>
      </c>
      <c r="N2547" s="36" t="str">
        <f t="shared" si="2"/>
        <v/>
      </c>
      <c r="O2547" s="36" t="str">
        <f t="shared" si="3"/>
        <v/>
      </c>
      <c r="P2547" s="15"/>
      <c r="Q2547" s="37" t="str">
        <f t="shared" si="4"/>
        <v/>
      </c>
      <c r="R2547" s="37" t="str">
        <f t="shared" si="5"/>
        <v/>
      </c>
      <c r="S2547" s="32" t="str">
        <f t="shared" si="6"/>
        <v/>
      </c>
      <c r="T2547" s="37" t="str">
        <f t="shared" si="7"/>
        <v/>
      </c>
      <c r="U2547" s="37" t="str">
        <f t="array" ref="U2547">IF($F2547="","",IFERROR(INDEX(Config!$F:$F,MATCH($F2547,Config!$D:$D,0)),0))</f>
        <v/>
      </c>
    </row>
    <row r="2548" ht="15.0" customHeight="1">
      <c r="A2548" s="34"/>
      <c r="B2548" s="35"/>
      <c r="C2548" s="15"/>
      <c r="D2548" s="15"/>
      <c r="E2548" s="15"/>
      <c r="F2548" s="15"/>
      <c r="G2548" s="36" t="str">
        <f t="array" ref="G2548">IF($F2548="","",IFERROR(INDEX(Config!$E:$E,MATCH($F2548,Config!$D:$D,0)),0))</f>
        <v/>
      </c>
      <c r="H2548" s="16"/>
      <c r="I2548" s="36" t="str">
        <f t="shared" si="1"/>
        <v/>
      </c>
      <c r="J2548" s="16"/>
      <c r="K2548" s="15"/>
      <c r="L2548" s="15"/>
      <c r="M2548" s="36" t="str">
        <f t="array" ref="M2548">IF($A2548="","",IF($L2548="Atendido",IFERROR($I2548*INDEX(Config!$B:$B,MATCH($C2548,Config!$A:$A,0)),0),0))</f>
        <v/>
      </c>
      <c r="N2548" s="36" t="str">
        <f t="shared" si="2"/>
        <v/>
      </c>
      <c r="O2548" s="36" t="str">
        <f t="shared" si="3"/>
        <v/>
      </c>
      <c r="P2548" s="15"/>
      <c r="Q2548" s="37" t="str">
        <f t="shared" si="4"/>
        <v/>
      </c>
      <c r="R2548" s="37" t="str">
        <f t="shared" si="5"/>
        <v/>
      </c>
      <c r="S2548" s="32" t="str">
        <f t="shared" si="6"/>
        <v/>
      </c>
      <c r="T2548" s="37" t="str">
        <f t="shared" si="7"/>
        <v/>
      </c>
      <c r="U2548" s="37" t="str">
        <f t="array" ref="U2548">IF($F2548="","",IFERROR(INDEX(Config!$F:$F,MATCH($F2548,Config!$D:$D,0)),0))</f>
        <v/>
      </c>
    </row>
    <row r="2549" ht="15.0" customHeight="1">
      <c r="A2549" s="34"/>
      <c r="B2549" s="35"/>
      <c r="C2549" s="15"/>
      <c r="D2549" s="15"/>
      <c r="E2549" s="15"/>
      <c r="F2549" s="15"/>
      <c r="G2549" s="36" t="str">
        <f t="array" ref="G2549">IF($F2549="","",IFERROR(INDEX(Config!$E:$E,MATCH($F2549,Config!$D:$D,0)),0))</f>
        <v/>
      </c>
      <c r="H2549" s="16"/>
      <c r="I2549" s="36" t="str">
        <f t="shared" si="1"/>
        <v/>
      </c>
      <c r="J2549" s="16"/>
      <c r="K2549" s="15"/>
      <c r="L2549" s="15"/>
      <c r="M2549" s="36" t="str">
        <f t="array" ref="M2549">IF($A2549="","",IF($L2549="Atendido",IFERROR($I2549*INDEX(Config!$B:$B,MATCH($C2549,Config!$A:$A,0)),0),0))</f>
        <v/>
      </c>
      <c r="N2549" s="36" t="str">
        <f t="shared" si="2"/>
        <v/>
      </c>
      <c r="O2549" s="36" t="str">
        <f t="shared" si="3"/>
        <v/>
      </c>
      <c r="P2549" s="15"/>
      <c r="Q2549" s="37" t="str">
        <f t="shared" si="4"/>
        <v/>
      </c>
      <c r="R2549" s="37" t="str">
        <f t="shared" si="5"/>
        <v/>
      </c>
      <c r="S2549" s="32" t="str">
        <f t="shared" si="6"/>
        <v/>
      </c>
      <c r="T2549" s="37" t="str">
        <f t="shared" si="7"/>
        <v/>
      </c>
      <c r="U2549" s="37" t="str">
        <f t="array" ref="U2549">IF($F2549="","",IFERROR(INDEX(Config!$F:$F,MATCH($F2549,Config!$D:$D,0)),0))</f>
        <v/>
      </c>
    </row>
    <row r="2550" ht="15.0" customHeight="1">
      <c r="A2550" s="34"/>
      <c r="B2550" s="35"/>
      <c r="C2550" s="15"/>
      <c r="D2550" s="15"/>
      <c r="E2550" s="15"/>
      <c r="F2550" s="15"/>
      <c r="G2550" s="36" t="str">
        <f t="array" ref="G2550">IF($F2550="","",IFERROR(INDEX(Config!$E:$E,MATCH($F2550,Config!$D:$D,0)),0))</f>
        <v/>
      </c>
      <c r="H2550" s="16"/>
      <c r="I2550" s="36" t="str">
        <f t="shared" si="1"/>
        <v/>
      </c>
      <c r="J2550" s="16"/>
      <c r="K2550" s="15"/>
      <c r="L2550" s="15"/>
      <c r="M2550" s="36" t="str">
        <f t="array" ref="M2550">IF($A2550="","",IF($L2550="Atendido",IFERROR($I2550*INDEX(Config!$B:$B,MATCH($C2550,Config!$A:$A,0)),0),0))</f>
        <v/>
      </c>
      <c r="N2550" s="36" t="str">
        <f t="shared" si="2"/>
        <v/>
      </c>
      <c r="O2550" s="36" t="str">
        <f t="shared" si="3"/>
        <v/>
      </c>
      <c r="P2550" s="15"/>
      <c r="Q2550" s="37" t="str">
        <f t="shared" si="4"/>
        <v/>
      </c>
      <c r="R2550" s="37" t="str">
        <f t="shared" si="5"/>
        <v/>
      </c>
      <c r="S2550" s="32" t="str">
        <f t="shared" si="6"/>
        <v/>
      </c>
      <c r="T2550" s="37" t="str">
        <f t="shared" si="7"/>
        <v/>
      </c>
      <c r="U2550" s="37" t="str">
        <f t="array" ref="U2550">IF($F2550="","",IFERROR(INDEX(Config!$F:$F,MATCH($F2550,Config!$D:$D,0)),0))</f>
        <v/>
      </c>
    </row>
    <row r="2551" ht="15.0" customHeight="1">
      <c r="A2551" s="34"/>
      <c r="B2551" s="35"/>
      <c r="C2551" s="15"/>
      <c r="D2551" s="15"/>
      <c r="E2551" s="15"/>
      <c r="F2551" s="15"/>
      <c r="G2551" s="36" t="str">
        <f t="array" ref="G2551">IF($F2551="","",IFERROR(INDEX(Config!$E:$E,MATCH($F2551,Config!$D:$D,0)),0))</f>
        <v/>
      </c>
      <c r="H2551" s="16"/>
      <c r="I2551" s="36" t="str">
        <f t="shared" si="1"/>
        <v/>
      </c>
      <c r="J2551" s="16"/>
      <c r="K2551" s="15"/>
      <c r="L2551" s="15"/>
      <c r="M2551" s="36" t="str">
        <f t="array" ref="M2551">IF($A2551="","",IF($L2551="Atendido",IFERROR($I2551*INDEX(Config!$B:$B,MATCH($C2551,Config!$A:$A,0)),0),0))</f>
        <v/>
      </c>
      <c r="N2551" s="36" t="str">
        <f t="shared" si="2"/>
        <v/>
      </c>
      <c r="O2551" s="36" t="str">
        <f t="shared" si="3"/>
        <v/>
      </c>
      <c r="P2551" s="15"/>
      <c r="Q2551" s="37" t="str">
        <f t="shared" si="4"/>
        <v/>
      </c>
      <c r="R2551" s="37" t="str">
        <f t="shared" si="5"/>
        <v/>
      </c>
      <c r="S2551" s="32" t="str">
        <f t="shared" si="6"/>
        <v/>
      </c>
      <c r="T2551" s="37" t="str">
        <f t="shared" si="7"/>
        <v/>
      </c>
      <c r="U2551" s="37" t="str">
        <f t="array" ref="U2551">IF($F2551="","",IFERROR(INDEX(Config!$F:$F,MATCH($F2551,Config!$D:$D,0)),0))</f>
        <v/>
      </c>
    </row>
    <row r="2552" ht="15.0" customHeight="1">
      <c r="A2552" s="34"/>
      <c r="B2552" s="35"/>
      <c r="C2552" s="15"/>
      <c r="D2552" s="15"/>
      <c r="E2552" s="15"/>
      <c r="F2552" s="15"/>
      <c r="G2552" s="36" t="str">
        <f t="array" ref="G2552">IF($F2552="","",IFERROR(INDEX(Config!$E:$E,MATCH($F2552,Config!$D:$D,0)),0))</f>
        <v/>
      </c>
      <c r="H2552" s="16"/>
      <c r="I2552" s="36" t="str">
        <f t="shared" si="1"/>
        <v/>
      </c>
      <c r="J2552" s="16"/>
      <c r="K2552" s="15"/>
      <c r="L2552" s="15"/>
      <c r="M2552" s="36" t="str">
        <f t="array" ref="M2552">IF($A2552="","",IF($L2552="Atendido",IFERROR($I2552*INDEX(Config!$B:$B,MATCH($C2552,Config!$A:$A,0)),0),0))</f>
        <v/>
      </c>
      <c r="N2552" s="36" t="str">
        <f t="shared" si="2"/>
        <v/>
      </c>
      <c r="O2552" s="36" t="str">
        <f t="shared" si="3"/>
        <v/>
      </c>
      <c r="P2552" s="15"/>
      <c r="Q2552" s="37" t="str">
        <f t="shared" si="4"/>
        <v/>
      </c>
      <c r="R2552" s="37" t="str">
        <f t="shared" si="5"/>
        <v/>
      </c>
      <c r="S2552" s="32" t="str">
        <f t="shared" si="6"/>
        <v/>
      </c>
      <c r="T2552" s="37" t="str">
        <f t="shared" si="7"/>
        <v/>
      </c>
      <c r="U2552" s="37" t="str">
        <f t="array" ref="U2552">IF($F2552="","",IFERROR(INDEX(Config!$F:$F,MATCH($F2552,Config!$D:$D,0)),0))</f>
        <v/>
      </c>
    </row>
    <row r="2553" ht="15.0" customHeight="1">
      <c r="A2553" s="34"/>
      <c r="B2553" s="35"/>
      <c r="C2553" s="15"/>
      <c r="D2553" s="15"/>
      <c r="E2553" s="15"/>
      <c r="F2553" s="15"/>
      <c r="G2553" s="36" t="str">
        <f t="array" ref="G2553">IF($F2553="","",IFERROR(INDEX(Config!$E:$E,MATCH($F2553,Config!$D:$D,0)),0))</f>
        <v/>
      </c>
      <c r="H2553" s="16"/>
      <c r="I2553" s="36" t="str">
        <f t="shared" si="1"/>
        <v/>
      </c>
      <c r="J2553" s="16"/>
      <c r="K2553" s="15"/>
      <c r="L2553" s="15"/>
      <c r="M2553" s="36" t="str">
        <f t="array" ref="M2553">IF($A2553="","",IF($L2553="Atendido",IFERROR($I2553*INDEX(Config!$B:$B,MATCH($C2553,Config!$A:$A,0)),0),0))</f>
        <v/>
      </c>
      <c r="N2553" s="36" t="str">
        <f t="shared" si="2"/>
        <v/>
      </c>
      <c r="O2553" s="36" t="str">
        <f t="shared" si="3"/>
        <v/>
      </c>
      <c r="P2553" s="15"/>
      <c r="Q2553" s="37" t="str">
        <f t="shared" si="4"/>
        <v/>
      </c>
      <c r="R2553" s="37" t="str">
        <f t="shared" si="5"/>
        <v/>
      </c>
      <c r="S2553" s="32" t="str">
        <f t="shared" si="6"/>
        <v/>
      </c>
      <c r="T2553" s="37" t="str">
        <f t="shared" si="7"/>
        <v/>
      </c>
      <c r="U2553" s="37" t="str">
        <f t="array" ref="U2553">IF($F2553="","",IFERROR(INDEX(Config!$F:$F,MATCH($F2553,Config!$D:$D,0)),0))</f>
        <v/>
      </c>
    </row>
    <row r="2554" ht="15.0" customHeight="1">
      <c r="A2554" s="34"/>
      <c r="B2554" s="35"/>
      <c r="C2554" s="15"/>
      <c r="D2554" s="15"/>
      <c r="E2554" s="15"/>
      <c r="F2554" s="15"/>
      <c r="G2554" s="36" t="str">
        <f t="array" ref="G2554">IF($F2554="","",IFERROR(INDEX(Config!$E:$E,MATCH($F2554,Config!$D:$D,0)),0))</f>
        <v/>
      </c>
      <c r="H2554" s="16"/>
      <c r="I2554" s="36" t="str">
        <f t="shared" si="1"/>
        <v/>
      </c>
      <c r="J2554" s="16"/>
      <c r="K2554" s="15"/>
      <c r="L2554" s="15"/>
      <c r="M2554" s="36" t="str">
        <f t="array" ref="M2554">IF($A2554="","",IF($L2554="Atendido",IFERROR($I2554*INDEX(Config!$B:$B,MATCH($C2554,Config!$A:$A,0)),0),0))</f>
        <v/>
      </c>
      <c r="N2554" s="36" t="str">
        <f t="shared" si="2"/>
        <v/>
      </c>
      <c r="O2554" s="36" t="str">
        <f t="shared" si="3"/>
        <v/>
      </c>
      <c r="P2554" s="15"/>
      <c r="Q2554" s="37" t="str">
        <f t="shared" si="4"/>
        <v/>
      </c>
      <c r="R2554" s="37" t="str">
        <f t="shared" si="5"/>
        <v/>
      </c>
      <c r="S2554" s="32" t="str">
        <f t="shared" si="6"/>
        <v/>
      </c>
      <c r="T2554" s="37" t="str">
        <f t="shared" si="7"/>
        <v/>
      </c>
      <c r="U2554" s="37" t="str">
        <f t="array" ref="U2554">IF($F2554="","",IFERROR(INDEX(Config!$F:$F,MATCH($F2554,Config!$D:$D,0)),0))</f>
        <v/>
      </c>
    </row>
    <row r="2555" ht="15.0" customHeight="1">
      <c r="A2555" s="34"/>
      <c r="B2555" s="35"/>
      <c r="C2555" s="15"/>
      <c r="D2555" s="15"/>
      <c r="E2555" s="15"/>
      <c r="F2555" s="15"/>
      <c r="G2555" s="36" t="str">
        <f t="array" ref="G2555">IF($F2555="","",IFERROR(INDEX(Config!$E:$E,MATCH($F2555,Config!$D:$D,0)),0))</f>
        <v/>
      </c>
      <c r="H2555" s="16"/>
      <c r="I2555" s="36" t="str">
        <f t="shared" si="1"/>
        <v/>
      </c>
      <c r="J2555" s="16"/>
      <c r="K2555" s="15"/>
      <c r="L2555" s="15"/>
      <c r="M2555" s="36" t="str">
        <f t="array" ref="M2555">IF($A2555="","",IF($L2555="Atendido",IFERROR($I2555*INDEX(Config!$B:$B,MATCH($C2555,Config!$A:$A,0)),0),0))</f>
        <v/>
      </c>
      <c r="N2555" s="36" t="str">
        <f t="shared" si="2"/>
        <v/>
      </c>
      <c r="O2555" s="36" t="str">
        <f t="shared" si="3"/>
        <v/>
      </c>
      <c r="P2555" s="15"/>
      <c r="Q2555" s="37" t="str">
        <f t="shared" si="4"/>
        <v/>
      </c>
      <c r="R2555" s="37" t="str">
        <f t="shared" si="5"/>
        <v/>
      </c>
      <c r="S2555" s="32" t="str">
        <f t="shared" si="6"/>
        <v/>
      </c>
      <c r="T2555" s="37" t="str">
        <f t="shared" si="7"/>
        <v/>
      </c>
      <c r="U2555" s="37" t="str">
        <f t="array" ref="U2555">IF($F2555="","",IFERROR(INDEX(Config!$F:$F,MATCH($F2555,Config!$D:$D,0)),0))</f>
        <v/>
      </c>
    </row>
    <row r="2556" ht="15.0" customHeight="1">
      <c r="A2556" s="34"/>
      <c r="B2556" s="35"/>
      <c r="C2556" s="15"/>
      <c r="D2556" s="15"/>
      <c r="E2556" s="15"/>
      <c r="F2556" s="15"/>
      <c r="G2556" s="36" t="str">
        <f t="array" ref="G2556">IF($F2556="","",IFERROR(INDEX(Config!$E:$E,MATCH($F2556,Config!$D:$D,0)),0))</f>
        <v/>
      </c>
      <c r="H2556" s="16"/>
      <c r="I2556" s="36" t="str">
        <f t="shared" si="1"/>
        <v/>
      </c>
      <c r="J2556" s="16"/>
      <c r="K2556" s="15"/>
      <c r="L2556" s="15"/>
      <c r="M2556" s="36" t="str">
        <f t="array" ref="M2556">IF($A2556="","",IF($L2556="Atendido",IFERROR($I2556*INDEX(Config!$B:$B,MATCH($C2556,Config!$A:$A,0)),0),0))</f>
        <v/>
      </c>
      <c r="N2556" s="36" t="str">
        <f t="shared" si="2"/>
        <v/>
      </c>
      <c r="O2556" s="36" t="str">
        <f t="shared" si="3"/>
        <v/>
      </c>
      <c r="P2556" s="15"/>
      <c r="Q2556" s="37" t="str">
        <f t="shared" si="4"/>
        <v/>
      </c>
      <c r="R2556" s="37" t="str">
        <f t="shared" si="5"/>
        <v/>
      </c>
      <c r="S2556" s="32" t="str">
        <f t="shared" si="6"/>
        <v/>
      </c>
      <c r="T2556" s="37" t="str">
        <f t="shared" si="7"/>
        <v/>
      </c>
      <c r="U2556" s="37" t="str">
        <f t="array" ref="U2556">IF($F2556="","",IFERROR(INDEX(Config!$F:$F,MATCH($F2556,Config!$D:$D,0)),0))</f>
        <v/>
      </c>
    </row>
    <row r="2557" ht="15.0" customHeight="1">
      <c r="A2557" s="34"/>
      <c r="B2557" s="35"/>
      <c r="C2557" s="15"/>
      <c r="D2557" s="15"/>
      <c r="E2557" s="15"/>
      <c r="F2557" s="15"/>
      <c r="G2557" s="36" t="str">
        <f t="array" ref="G2557">IF($F2557="","",IFERROR(INDEX(Config!$E:$E,MATCH($F2557,Config!$D:$D,0)),0))</f>
        <v/>
      </c>
      <c r="H2557" s="16"/>
      <c r="I2557" s="36" t="str">
        <f t="shared" si="1"/>
        <v/>
      </c>
      <c r="J2557" s="16"/>
      <c r="K2557" s="15"/>
      <c r="L2557" s="15"/>
      <c r="M2557" s="36" t="str">
        <f t="array" ref="M2557">IF($A2557="","",IF($L2557="Atendido",IFERROR($I2557*INDEX(Config!$B:$B,MATCH($C2557,Config!$A:$A,0)),0),0))</f>
        <v/>
      </c>
      <c r="N2557" s="36" t="str">
        <f t="shared" si="2"/>
        <v/>
      </c>
      <c r="O2557" s="36" t="str">
        <f t="shared" si="3"/>
        <v/>
      </c>
      <c r="P2557" s="15"/>
      <c r="Q2557" s="37" t="str">
        <f t="shared" si="4"/>
        <v/>
      </c>
      <c r="R2557" s="37" t="str">
        <f t="shared" si="5"/>
        <v/>
      </c>
      <c r="S2557" s="32" t="str">
        <f t="shared" si="6"/>
        <v/>
      </c>
      <c r="T2557" s="37" t="str">
        <f t="shared" si="7"/>
        <v/>
      </c>
      <c r="U2557" s="37" t="str">
        <f t="array" ref="U2557">IF($F2557="","",IFERROR(INDEX(Config!$F:$F,MATCH($F2557,Config!$D:$D,0)),0))</f>
        <v/>
      </c>
    </row>
    <row r="2558" ht="15.0" customHeight="1">
      <c r="A2558" s="34"/>
      <c r="B2558" s="35"/>
      <c r="C2558" s="15"/>
      <c r="D2558" s="15"/>
      <c r="E2558" s="15"/>
      <c r="F2558" s="15"/>
      <c r="G2558" s="36" t="str">
        <f t="array" ref="G2558">IF($F2558="","",IFERROR(INDEX(Config!$E:$E,MATCH($F2558,Config!$D:$D,0)),0))</f>
        <v/>
      </c>
      <c r="H2558" s="16"/>
      <c r="I2558" s="36" t="str">
        <f t="shared" si="1"/>
        <v/>
      </c>
      <c r="J2558" s="16"/>
      <c r="K2558" s="15"/>
      <c r="L2558" s="15"/>
      <c r="M2558" s="36" t="str">
        <f t="array" ref="M2558">IF($A2558="","",IF($L2558="Atendido",IFERROR($I2558*INDEX(Config!$B:$B,MATCH($C2558,Config!$A:$A,0)),0),0))</f>
        <v/>
      </c>
      <c r="N2558" s="36" t="str">
        <f t="shared" si="2"/>
        <v/>
      </c>
      <c r="O2558" s="36" t="str">
        <f t="shared" si="3"/>
        <v/>
      </c>
      <c r="P2558" s="15"/>
      <c r="Q2558" s="37" t="str">
        <f t="shared" si="4"/>
        <v/>
      </c>
      <c r="R2558" s="37" t="str">
        <f t="shared" si="5"/>
        <v/>
      </c>
      <c r="S2558" s="32" t="str">
        <f t="shared" si="6"/>
        <v/>
      </c>
      <c r="T2558" s="37" t="str">
        <f t="shared" si="7"/>
        <v/>
      </c>
      <c r="U2558" s="37" t="str">
        <f t="array" ref="U2558">IF($F2558="","",IFERROR(INDEX(Config!$F:$F,MATCH($F2558,Config!$D:$D,0)),0))</f>
        <v/>
      </c>
    </row>
    <row r="2559" ht="15.0" customHeight="1">
      <c r="A2559" s="34"/>
      <c r="B2559" s="35"/>
      <c r="C2559" s="15"/>
      <c r="D2559" s="15"/>
      <c r="E2559" s="15"/>
      <c r="F2559" s="15"/>
      <c r="G2559" s="36" t="str">
        <f t="array" ref="G2559">IF($F2559="","",IFERROR(INDEX(Config!$E:$E,MATCH($F2559,Config!$D:$D,0)),0))</f>
        <v/>
      </c>
      <c r="H2559" s="16"/>
      <c r="I2559" s="36" t="str">
        <f t="shared" si="1"/>
        <v/>
      </c>
      <c r="J2559" s="16"/>
      <c r="K2559" s="15"/>
      <c r="L2559" s="15"/>
      <c r="M2559" s="36" t="str">
        <f t="array" ref="M2559">IF($A2559="","",IF($L2559="Atendido",IFERROR($I2559*INDEX(Config!$B:$B,MATCH($C2559,Config!$A:$A,0)),0),0))</f>
        <v/>
      </c>
      <c r="N2559" s="36" t="str">
        <f t="shared" si="2"/>
        <v/>
      </c>
      <c r="O2559" s="36" t="str">
        <f t="shared" si="3"/>
        <v/>
      </c>
      <c r="P2559" s="15"/>
      <c r="Q2559" s="37" t="str">
        <f t="shared" si="4"/>
        <v/>
      </c>
      <c r="R2559" s="37" t="str">
        <f t="shared" si="5"/>
        <v/>
      </c>
      <c r="S2559" s="32" t="str">
        <f t="shared" si="6"/>
        <v/>
      </c>
      <c r="T2559" s="37" t="str">
        <f t="shared" si="7"/>
        <v/>
      </c>
      <c r="U2559" s="37" t="str">
        <f t="array" ref="U2559">IF($F2559="","",IFERROR(INDEX(Config!$F:$F,MATCH($F2559,Config!$D:$D,0)),0))</f>
        <v/>
      </c>
    </row>
    <row r="2560" ht="15.0" customHeight="1">
      <c r="A2560" s="34"/>
      <c r="B2560" s="35"/>
      <c r="C2560" s="15"/>
      <c r="D2560" s="15"/>
      <c r="E2560" s="15"/>
      <c r="F2560" s="15"/>
      <c r="G2560" s="36" t="str">
        <f t="array" ref="G2560">IF($F2560="","",IFERROR(INDEX(Config!$E:$E,MATCH($F2560,Config!$D:$D,0)),0))</f>
        <v/>
      </c>
      <c r="H2560" s="16"/>
      <c r="I2560" s="36" t="str">
        <f t="shared" si="1"/>
        <v/>
      </c>
      <c r="J2560" s="16"/>
      <c r="K2560" s="15"/>
      <c r="L2560" s="15"/>
      <c r="M2560" s="36" t="str">
        <f t="array" ref="M2560">IF($A2560="","",IF($L2560="Atendido",IFERROR($I2560*INDEX(Config!$B:$B,MATCH($C2560,Config!$A:$A,0)),0),0))</f>
        <v/>
      </c>
      <c r="N2560" s="36" t="str">
        <f t="shared" si="2"/>
        <v/>
      </c>
      <c r="O2560" s="36" t="str">
        <f t="shared" si="3"/>
        <v/>
      </c>
      <c r="P2560" s="15"/>
      <c r="Q2560" s="37" t="str">
        <f t="shared" si="4"/>
        <v/>
      </c>
      <c r="R2560" s="37" t="str">
        <f t="shared" si="5"/>
        <v/>
      </c>
      <c r="S2560" s="32" t="str">
        <f t="shared" si="6"/>
        <v/>
      </c>
      <c r="T2560" s="37" t="str">
        <f t="shared" si="7"/>
        <v/>
      </c>
      <c r="U2560" s="37" t="str">
        <f t="array" ref="U2560">IF($F2560="","",IFERROR(INDEX(Config!$F:$F,MATCH($F2560,Config!$D:$D,0)),0))</f>
        <v/>
      </c>
    </row>
    <row r="2561" ht="15.0" customHeight="1">
      <c r="A2561" s="34"/>
      <c r="B2561" s="35"/>
      <c r="C2561" s="15"/>
      <c r="D2561" s="15"/>
      <c r="E2561" s="15"/>
      <c r="F2561" s="15"/>
      <c r="G2561" s="36" t="str">
        <f t="array" ref="G2561">IF($F2561="","",IFERROR(INDEX(Config!$E:$E,MATCH($F2561,Config!$D:$D,0)),0))</f>
        <v/>
      </c>
      <c r="H2561" s="16"/>
      <c r="I2561" s="36" t="str">
        <f t="shared" si="1"/>
        <v/>
      </c>
      <c r="J2561" s="16"/>
      <c r="K2561" s="15"/>
      <c r="L2561" s="15"/>
      <c r="M2561" s="36" t="str">
        <f t="array" ref="M2561">IF($A2561="","",IF($L2561="Atendido",IFERROR($I2561*INDEX(Config!$B:$B,MATCH($C2561,Config!$A:$A,0)),0),0))</f>
        <v/>
      </c>
      <c r="N2561" s="36" t="str">
        <f t="shared" si="2"/>
        <v/>
      </c>
      <c r="O2561" s="36" t="str">
        <f t="shared" si="3"/>
        <v/>
      </c>
      <c r="P2561" s="15"/>
      <c r="Q2561" s="37" t="str">
        <f t="shared" si="4"/>
        <v/>
      </c>
      <c r="R2561" s="37" t="str">
        <f t="shared" si="5"/>
        <v/>
      </c>
      <c r="S2561" s="32" t="str">
        <f t="shared" si="6"/>
        <v/>
      </c>
      <c r="T2561" s="37" t="str">
        <f t="shared" si="7"/>
        <v/>
      </c>
      <c r="U2561" s="37" t="str">
        <f t="array" ref="U2561">IF($F2561="","",IFERROR(INDEX(Config!$F:$F,MATCH($F2561,Config!$D:$D,0)),0))</f>
        <v/>
      </c>
    </row>
    <row r="2562" ht="15.0" customHeight="1">
      <c r="A2562" s="34"/>
      <c r="B2562" s="35"/>
      <c r="C2562" s="15"/>
      <c r="D2562" s="15"/>
      <c r="E2562" s="15"/>
      <c r="F2562" s="15"/>
      <c r="G2562" s="36" t="str">
        <f t="array" ref="G2562">IF($F2562="","",IFERROR(INDEX(Config!$E:$E,MATCH($F2562,Config!$D:$D,0)),0))</f>
        <v/>
      </c>
      <c r="H2562" s="16"/>
      <c r="I2562" s="36" t="str">
        <f t="shared" si="1"/>
        <v/>
      </c>
      <c r="J2562" s="16"/>
      <c r="K2562" s="15"/>
      <c r="L2562" s="15"/>
      <c r="M2562" s="36" t="str">
        <f t="array" ref="M2562">IF($A2562="","",IF($L2562="Atendido",IFERROR($I2562*INDEX(Config!$B:$B,MATCH($C2562,Config!$A:$A,0)),0),0))</f>
        <v/>
      </c>
      <c r="N2562" s="36" t="str">
        <f t="shared" si="2"/>
        <v/>
      </c>
      <c r="O2562" s="36" t="str">
        <f t="shared" si="3"/>
        <v/>
      </c>
      <c r="P2562" s="15"/>
      <c r="Q2562" s="37" t="str">
        <f t="shared" si="4"/>
        <v/>
      </c>
      <c r="R2562" s="37" t="str">
        <f t="shared" si="5"/>
        <v/>
      </c>
      <c r="S2562" s="32" t="str">
        <f t="shared" si="6"/>
        <v/>
      </c>
      <c r="T2562" s="37" t="str">
        <f t="shared" si="7"/>
        <v/>
      </c>
      <c r="U2562" s="37" t="str">
        <f t="array" ref="U2562">IF($F2562="","",IFERROR(INDEX(Config!$F:$F,MATCH($F2562,Config!$D:$D,0)),0))</f>
        <v/>
      </c>
    </row>
    <row r="2563" ht="15.0" customHeight="1">
      <c r="A2563" s="34"/>
      <c r="B2563" s="35"/>
      <c r="C2563" s="15"/>
      <c r="D2563" s="15"/>
      <c r="E2563" s="15"/>
      <c r="F2563" s="15"/>
      <c r="G2563" s="36" t="str">
        <f t="array" ref="G2563">IF($F2563="","",IFERROR(INDEX(Config!$E:$E,MATCH($F2563,Config!$D:$D,0)),0))</f>
        <v/>
      </c>
      <c r="H2563" s="16"/>
      <c r="I2563" s="36" t="str">
        <f t="shared" si="1"/>
        <v/>
      </c>
      <c r="J2563" s="16"/>
      <c r="K2563" s="15"/>
      <c r="L2563" s="15"/>
      <c r="M2563" s="36" t="str">
        <f t="array" ref="M2563">IF($A2563="","",IF($L2563="Atendido",IFERROR($I2563*INDEX(Config!$B:$B,MATCH($C2563,Config!$A:$A,0)),0),0))</f>
        <v/>
      </c>
      <c r="N2563" s="36" t="str">
        <f t="shared" si="2"/>
        <v/>
      </c>
      <c r="O2563" s="36" t="str">
        <f t="shared" si="3"/>
        <v/>
      </c>
      <c r="P2563" s="15"/>
      <c r="Q2563" s="37" t="str">
        <f t="shared" si="4"/>
        <v/>
      </c>
      <c r="R2563" s="37" t="str">
        <f t="shared" si="5"/>
        <v/>
      </c>
      <c r="S2563" s="32" t="str">
        <f t="shared" si="6"/>
        <v/>
      </c>
      <c r="T2563" s="37" t="str">
        <f t="shared" si="7"/>
        <v/>
      </c>
      <c r="U2563" s="37" t="str">
        <f t="array" ref="U2563">IF($F2563="","",IFERROR(INDEX(Config!$F:$F,MATCH($F2563,Config!$D:$D,0)),0))</f>
        <v/>
      </c>
    </row>
    <row r="2564" ht="15.0" customHeight="1">
      <c r="A2564" s="34"/>
      <c r="B2564" s="35"/>
      <c r="C2564" s="15"/>
      <c r="D2564" s="15"/>
      <c r="E2564" s="15"/>
      <c r="F2564" s="15"/>
      <c r="G2564" s="36" t="str">
        <f t="array" ref="G2564">IF($F2564="","",IFERROR(INDEX(Config!$E:$E,MATCH($F2564,Config!$D:$D,0)),0))</f>
        <v/>
      </c>
      <c r="H2564" s="16"/>
      <c r="I2564" s="36" t="str">
        <f t="shared" si="1"/>
        <v/>
      </c>
      <c r="J2564" s="16"/>
      <c r="K2564" s="15"/>
      <c r="L2564" s="15"/>
      <c r="M2564" s="36" t="str">
        <f t="array" ref="M2564">IF($A2564="","",IF($L2564="Atendido",IFERROR($I2564*INDEX(Config!$B:$B,MATCH($C2564,Config!$A:$A,0)),0),0))</f>
        <v/>
      </c>
      <c r="N2564" s="36" t="str">
        <f t="shared" si="2"/>
        <v/>
      </c>
      <c r="O2564" s="36" t="str">
        <f t="shared" si="3"/>
        <v/>
      </c>
      <c r="P2564" s="15"/>
      <c r="Q2564" s="37" t="str">
        <f t="shared" si="4"/>
        <v/>
      </c>
      <c r="R2564" s="37" t="str">
        <f t="shared" si="5"/>
        <v/>
      </c>
      <c r="S2564" s="32" t="str">
        <f t="shared" si="6"/>
        <v/>
      </c>
      <c r="T2564" s="37" t="str">
        <f t="shared" si="7"/>
        <v/>
      </c>
      <c r="U2564" s="37" t="str">
        <f t="array" ref="U2564">IF($F2564="","",IFERROR(INDEX(Config!$F:$F,MATCH($F2564,Config!$D:$D,0)),0))</f>
        <v/>
      </c>
    </row>
    <row r="2565" ht="15.0" customHeight="1">
      <c r="A2565" s="34"/>
      <c r="B2565" s="35"/>
      <c r="C2565" s="15"/>
      <c r="D2565" s="15"/>
      <c r="E2565" s="15"/>
      <c r="F2565" s="15"/>
      <c r="G2565" s="36" t="str">
        <f t="array" ref="G2565">IF($F2565="","",IFERROR(INDEX(Config!$E:$E,MATCH($F2565,Config!$D:$D,0)),0))</f>
        <v/>
      </c>
      <c r="H2565" s="16"/>
      <c r="I2565" s="36" t="str">
        <f t="shared" si="1"/>
        <v/>
      </c>
      <c r="J2565" s="16"/>
      <c r="K2565" s="15"/>
      <c r="L2565" s="15"/>
      <c r="M2565" s="36" t="str">
        <f t="array" ref="M2565">IF($A2565="","",IF($L2565="Atendido",IFERROR($I2565*INDEX(Config!$B:$B,MATCH($C2565,Config!$A:$A,0)),0),0))</f>
        <v/>
      </c>
      <c r="N2565" s="36" t="str">
        <f t="shared" si="2"/>
        <v/>
      </c>
      <c r="O2565" s="36" t="str">
        <f t="shared" si="3"/>
        <v/>
      </c>
      <c r="P2565" s="15"/>
      <c r="Q2565" s="37" t="str">
        <f t="shared" si="4"/>
        <v/>
      </c>
      <c r="R2565" s="37" t="str">
        <f t="shared" si="5"/>
        <v/>
      </c>
      <c r="S2565" s="32" t="str">
        <f t="shared" si="6"/>
        <v/>
      </c>
      <c r="T2565" s="37" t="str">
        <f t="shared" si="7"/>
        <v/>
      </c>
      <c r="U2565" s="37" t="str">
        <f t="array" ref="U2565">IF($F2565="","",IFERROR(INDEX(Config!$F:$F,MATCH($F2565,Config!$D:$D,0)),0))</f>
        <v/>
      </c>
    </row>
    <row r="2566" ht="15.0" customHeight="1">
      <c r="A2566" s="34"/>
      <c r="B2566" s="35"/>
      <c r="C2566" s="15"/>
      <c r="D2566" s="15"/>
      <c r="E2566" s="15"/>
      <c r="F2566" s="15"/>
      <c r="G2566" s="36" t="str">
        <f t="array" ref="G2566">IF($F2566="","",IFERROR(INDEX(Config!$E:$E,MATCH($F2566,Config!$D:$D,0)),0))</f>
        <v/>
      </c>
      <c r="H2566" s="16"/>
      <c r="I2566" s="36" t="str">
        <f t="shared" si="1"/>
        <v/>
      </c>
      <c r="J2566" s="16"/>
      <c r="K2566" s="15"/>
      <c r="L2566" s="15"/>
      <c r="M2566" s="36" t="str">
        <f t="array" ref="M2566">IF($A2566="","",IF($L2566="Atendido",IFERROR($I2566*INDEX(Config!$B:$B,MATCH($C2566,Config!$A:$A,0)),0),0))</f>
        <v/>
      </c>
      <c r="N2566" s="36" t="str">
        <f t="shared" si="2"/>
        <v/>
      </c>
      <c r="O2566" s="36" t="str">
        <f t="shared" si="3"/>
        <v/>
      </c>
      <c r="P2566" s="15"/>
      <c r="Q2566" s="37" t="str">
        <f t="shared" si="4"/>
        <v/>
      </c>
      <c r="R2566" s="37" t="str">
        <f t="shared" si="5"/>
        <v/>
      </c>
      <c r="S2566" s="32" t="str">
        <f t="shared" si="6"/>
        <v/>
      </c>
      <c r="T2566" s="37" t="str">
        <f t="shared" si="7"/>
        <v/>
      </c>
      <c r="U2566" s="37" t="str">
        <f t="array" ref="U2566">IF($F2566="","",IFERROR(INDEX(Config!$F:$F,MATCH($F2566,Config!$D:$D,0)),0))</f>
        <v/>
      </c>
    </row>
    <row r="2567" ht="15.0" customHeight="1">
      <c r="A2567" s="34"/>
      <c r="B2567" s="35"/>
      <c r="C2567" s="15"/>
      <c r="D2567" s="15"/>
      <c r="E2567" s="15"/>
      <c r="F2567" s="15"/>
      <c r="G2567" s="36" t="str">
        <f t="array" ref="G2567">IF($F2567="","",IFERROR(INDEX(Config!$E:$E,MATCH($F2567,Config!$D:$D,0)),0))</f>
        <v/>
      </c>
      <c r="H2567" s="16"/>
      <c r="I2567" s="36" t="str">
        <f t="shared" si="1"/>
        <v/>
      </c>
      <c r="J2567" s="16"/>
      <c r="K2567" s="15"/>
      <c r="L2567" s="15"/>
      <c r="M2567" s="36" t="str">
        <f t="array" ref="M2567">IF($A2567="","",IF($L2567="Atendido",IFERROR($I2567*INDEX(Config!$B:$B,MATCH($C2567,Config!$A:$A,0)),0),0))</f>
        <v/>
      </c>
      <c r="N2567" s="36" t="str">
        <f t="shared" si="2"/>
        <v/>
      </c>
      <c r="O2567" s="36" t="str">
        <f t="shared" si="3"/>
        <v/>
      </c>
      <c r="P2567" s="15"/>
      <c r="Q2567" s="37" t="str">
        <f t="shared" si="4"/>
        <v/>
      </c>
      <c r="R2567" s="37" t="str">
        <f t="shared" si="5"/>
        <v/>
      </c>
      <c r="S2567" s="32" t="str">
        <f t="shared" si="6"/>
        <v/>
      </c>
      <c r="T2567" s="37" t="str">
        <f t="shared" si="7"/>
        <v/>
      </c>
      <c r="U2567" s="37" t="str">
        <f t="array" ref="U2567">IF($F2567="","",IFERROR(INDEX(Config!$F:$F,MATCH($F2567,Config!$D:$D,0)),0))</f>
        <v/>
      </c>
    </row>
    <row r="2568" ht="15.0" customHeight="1">
      <c r="A2568" s="34"/>
      <c r="B2568" s="35"/>
      <c r="C2568" s="15"/>
      <c r="D2568" s="15"/>
      <c r="E2568" s="15"/>
      <c r="F2568" s="15"/>
      <c r="G2568" s="36" t="str">
        <f t="array" ref="G2568">IF($F2568="","",IFERROR(INDEX(Config!$E:$E,MATCH($F2568,Config!$D:$D,0)),0))</f>
        <v/>
      </c>
      <c r="H2568" s="16"/>
      <c r="I2568" s="36" t="str">
        <f t="shared" si="1"/>
        <v/>
      </c>
      <c r="J2568" s="16"/>
      <c r="K2568" s="15"/>
      <c r="L2568" s="15"/>
      <c r="M2568" s="36" t="str">
        <f t="array" ref="M2568">IF($A2568="","",IF($L2568="Atendido",IFERROR($I2568*INDEX(Config!$B:$B,MATCH($C2568,Config!$A:$A,0)),0),0))</f>
        <v/>
      </c>
      <c r="N2568" s="36" t="str">
        <f t="shared" si="2"/>
        <v/>
      </c>
      <c r="O2568" s="36" t="str">
        <f t="shared" si="3"/>
        <v/>
      </c>
      <c r="P2568" s="15"/>
      <c r="Q2568" s="37" t="str">
        <f t="shared" si="4"/>
        <v/>
      </c>
      <c r="R2568" s="37" t="str">
        <f t="shared" si="5"/>
        <v/>
      </c>
      <c r="S2568" s="32" t="str">
        <f t="shared" si="6"/>
        <v/>
      </c>
      <c r="T2568" s="37" t="str">
        <f t="shared" si="7"/>
        <v/>
      </c>
      <c r="U2568" s="37" t="str">
        <f t="array" ref="U2568">IF($F2568="","",IFERROR(INDEX(Config!$F:$F,MATCH($F2568,Config!$D:$D,0)),0))</f>
        <v/>
      </c>
    </row>
    <row r="2569" ht="15.0" customHeight="1">
      <c r="A2569" s="34"/>
      <c r="B2569" s="35"/>
      <c r="C2569" s="15"/>
      <c r="D2569" s="15"/>
      <c r="E2569" s="15"/>
      <c r="F2569" s="15"/>
      <c r="G2569" s="36" t="str">
        <f t="array" ref="G2569">IF($F2569="","",IFERROR(INDEX(Config!$E:$E,MATCH($F2569,Config!$D:$D,0)),0))</f>
        <v/>
      </c>
      <c r="H2569" s="16"/>
      <c r="I2569" s="36" t="str">
        <f t="shared" si="1"/>
        <v/>
      </c>
      <c r="J2569" s="16"/>
      <c r="K2569" s="15"/>
      <c r="L2569" s="15"/>
      <c r="M2569" s="36" t="str">
        <f t="array" ref="M2569">IF($A2569="","",IF($L2569="Atendido",IFERROR($I2569*INDEX(Config!$B:$B,MATCH($C2569,Config!$A:$A,0)),0),0))</f>
        <v/>
      </c>
      <c r="N2569" s="36" t="str">
        <f t="shared" si="2"/>
        <v/>
      </c>
      <c r="O2569" s="36" t="str">
        <f t="shared" si="3"/>
        <v/>
      </c>
      <c r="P2569" s="15"/>
      <c r="Q2569" s="37" t="str">
        <f t="shared" si="4"/>
        <v/>
      </c>
      <c r="R2569" s="37" t="str">
        <f t="shared" si="5"/>
        <v/>
      </c>
      <c r="S2569" s="32" t="str">
        <f t="shared" si="6"/>
        <v/>
      </c>
      <c r="T2569" s="37" t="str">
        <f t="shared" si="7"/>
        <v/>
      </c>
      <c r="U2569" s="37" t="str">
        <f t="array" ref="U2569">IF($F2569="","",IFERROR(INDEX(Config!$F:$F,MATCH($F2569,Config!$D:$D,0)),0))</f>
        <v/>
      </c>
    </row>
    <row r="2570" ht="15.0" customHeight="1">
      <c r="A2570" s="34"/>
      <c r="B2570" s="35"/>
      <c r="C2570" s="15"/>
      <c r="D2570" s="15"/>
      <c r="E2570" s="15"/>
      <c r="F2570" s="15"/>
      <c r="G2570" s="36" t="str">
        <f t="array" ref="G2570">IF($F2570="","",IFERROR(INDEX(Config!$E:$E,MATCH($F2570,Config!$D:$D,0)),0))</f>
        <v/>
      </c>
      <c r="H2570" s="16"/>
      <c r="I2570" s="36" t="str">
        <f t="shared" si="1"/>
        <v/>
      </c>
      <c r="J2570" s="16"/>
      <c r="K2570" s="15"/>
      <c r="L2570" s="15"/>
      <c r="M2570" s="36" t="str">
        <f t="array" ref="M2570">IF($A2570="","",IF($L2570="Atendido",IFERROR($I2570*INDEX(Config!$B:$B,MATCH($C2570,Config!$A:$A,0)),0),0))</f>
        <v/>
      </c>
      <c r="N2570" s="36" t="str">
        <f t="shared" si="2"/>
        <v/>
      </c>
      <c r="O2570" s="36" t="str">
        <f t="shared" si="3"/>
        <v/>
      </c>
      <c r="P2570" s="15"/>
      <c r="Q2570" s="37" t="str">
        <f t="shared" si="4"/>
        <v/>
      </c>
      <c r="R2570" s="37" t="str">
        <f t="shared" si="5"/>
        <v/>
      </c>
      <c r="S2570" s="32" t="str">
        <f t="shared" si="6"/>
        <v/>
      </c>
      <c r="T2570" s="37" t="str">
        <f t="shared" si="7"/>
        <v/>
      </c>
      <c r="U2570" s="37" t="str">
        <f t="array" ref="U2570">IF($F2570="","",IFERROR(INDEX(Config!$F:$F,MATCH($F2570,Config!$D:$D,0)),0))</f>
        <v/>
      </c>
    </row>
    <row r="2571" ht="15.0" customHeight="1">
      <c r="A2571" s="34"/>
      <c r="B2571" s="35"/>
      <c r="C2571" s="15"/>
      <c r="D2571" s="15"/>
      <c r="E2571" s="15"/>
      <c r="F2571" s="15"/>
      <c r="G2571" s="36" t="str">
        <f t="array" ref="G2571">IF($F2571="","",IFERROR(INDEX(Config!$E:$E,MATCH($F2571,Config!$D:$D,0)),0))</f>
        <v/>
      </c>
      <c r="H2571" s="16"/>
      <c r="I2571" s="36" t="str">
        <f t="shared" si="1"/>
        <v/>
      </c>
      <c r="J2571" s="16"/>
      <c r="K2571" s="15"/>
      <c r="L2571" s="15"/>
      <c r="M2571" s="36" t="str">
        <f t="array" ref="M2571">IF($A2571="","",IF($L2571="Atendido",IFERROR($I2571*INDEX(Config!$B:$B,MATCH($C2571,Config!$A:$A,0)),0),0))</f>
        <v/>
      </c>
      <c r="N2571" s="36" t="str">
        <f t="shared" si="2"/>
        <v/>
      </c>
      <c r="O2571" s="36" t="str">
        <f t="shared" si="3"/>
        <v/>
      </c>
      <c r="P2571" s="15"/>
      <c r="Q2571" s="37" t="str">
        <f t="shared" si="4"/>
        <v/>
      </c>
      <c r="R2571" s="37" t="str">
        <f t="shared" si="5"/>
        <v/>
      </c>
      <c r="S2571" s="32" t="str">
        <f t="shared" si="6"/>
        <v/>
      </c>
      <c r="T2571" s="37" t="str">
        <f t="shared" si="7"/>
        <v/>
      </c>
      <c r="U2571" s="37" t="str">
        <f t="array" ref="U2571">IF($F2571="","",IFERROR(INDEX(Config!$F:$F,MATCH($F2571,Config!$D:$D,0)),0))</f>
        <v/>
      </c>
    </row>
    <row r="2572" ht="15.0" customHeight="1">
      <c r="A2572" s="34"/>
      <c r="B2572" s="35"/>
      <c r="C2572" s="15"/>
      <c r="D2572" s="15"/>
      <c r="E2572" s="15"/>
      <c r="F2572" s="15"/>
      <c r="G2572" s="36" t="str">
        <f t="array" ref="G2572">IF($F2572="","",IFERROR(INDEX(Config!$E:$E,MATCH($F2572,Config!$D:$D,0)),0))</f>
        <v/>
      </c>
      <c r="H2572" s="16"/>
      <c r="I2572" s="36" t="str">
        <f t="shared" si="1"/>
        <v/>
      </c>
      <c r="J2572" s="16"/>
      <c r="K2572" s="15"/>
      <c r="L2572" s="15"/>
      <c r="M2572" s="36" t="str">
        <f t="array" ref="M2572">IF($A2572="","",IF($L2572="Atendido",IFERROR($I2572*INDEX(Config!$B:$B,MATCH($C2572,Config!$A:$A,0)),0),0))</f>
        <v/>
      </c>
      <c r="N2572" s="36" t="str">
        <f t="shared" si="2"/>
        <v/>
      </c>
      <c r="O2572" s="36" t="str">
        <f t="shared" si="3"/>
        <v/>
      </c>
      <c r="P2572" s="15"/>
      <c r="Q2572" s="37" t="str">
        <f t="shared" si="4"/>
        <v/>
      </c>
      <c r="R2572" s="37" t="str">
        <f t="shared" si="5"/>
        <v/>
      </c>
      <c r="S2572" s="32" t="str">
        <f t="shared" si="6"/>
        <v/>
      </c>
      <c r="T2572" s="37" t="str">
        <f t="shared" si="7"/>
        <v/>
      </c>
      <c r="U2572" s="37" t="str">
        <f t="array" ref="U2572">IF($F2572="","",IFERROR(INDEX(Config!$F:$F,MATCH($F2572,Config!$D:$D,0)),0))</f>
        <v/>
      </c>
    </row>
    <row r="2573" ht="15.0" customHeight="1">
      <c r="A2573" s="34"/>
      <c r="B2573" s="35"/>
      <c r="C2573" s="15"/>
      <c r="D2573" s="15"/>
      <c r="E2573" s="15"/>
      <c r="F2573" s="15"/>
      <c r="G2573" s="36" t="str">
        <f t="array" ref="G2573">IF($F2573="","",IFERROR(INDEX(Config!$E:$E,MATCH($F2573,Config!$D:$D,0)),0))</f>
        <v/>
      </c>
      <c r="H2573" s="16"/>
      <c r="I2573" s="36" t="str">
        <f t="shared" si="1"/>
        <v/>
      </c>
      <c r="J2573" s="16"/>
      <c r="K2573" s="15"/>
      <c r="L2573" s="15"/>
      <c r="M2573" s="36" t="str">
        <f t="array" ref="M2573">IF($A2573="","",IF($L2573="Atendido",IFERROR($I2573*INDEX(Config!$B:$B,MATCH($C2573,Config!$A:$A,0)),0),0))</f>
        <v/>
      </c>
      <c r="N2573" s="36" t="str">
        <f t="shared" si="2"/>
        <v/>
      </c>
      <c r="O2573" s="36" t="str">
        <f t="shared" si="3"/>
        <v/>
      </c>
      <c r="P2573" s="15"/>
      <c r="Q2573" s="37" t="str">
        <f t="shared" si="4"/>
        <v/>
      </c>
      <c r="R2573" s="37" t="str">
        <f t="shared" si="5"/>
        <v/>
      </c>
      <c r="S2573" s="32" t="str">
        <f t="shared" si="6"/>
        <v/>
      </c>
      <c r="T2573" s="37" t="str">
        <f t="shared" si="7"/>
        <v/>
      </c>
      <c r="U2573" s="37" t="str">
        <f t="array" ref="U2573">IF($F2573="","",IFERROR(INDEX(Config!$F:$F,MATCH($F2573,Config!$D:$D,0)),0))</f>
        <v/>
      </c>
    </row>
    <row r="2574" ht="15.0" customHeight="1">
      <c r="A2574" s="34"/>
      <c r="B2574" s="35"/>
      <c r="C2574" s="15"/>
      <c r="D2574" s="15"/>
      <c r="E2574" s="15"/>
      <c r="F2574" s="15"/>
      <c r="G2574" s="36" t="str">
        <f t="array" ref="G2574">IF($F2574="","",IFERROR(INDEX(Config!$E:$E,MATCH($F2574,Config!$D:$D,0)),0))</f>
        <v/>
      </c>
      <c r="H2574" s="16"/>
      <c r="I2574" s="36" t="str">
        <f t="shared" si="1"/>
        <v/>
      </c>
      <c r="J2574" s="16"/>
      <c r="K2574" s="15"/>
      <c r="L2574" s="15"/>
      <c r="M2574" s="36" t="str">
        <f t="array" ref="M2574">IF($A2574="","",IF($L2574="Atendido",IFERROR($I2574*INDEX(Config!$B:$B,MATCH($C2574,Config!$A:$A,0)),0),0))</f>
        <v/>
      </c>
      <c r="N2574" s="36" t="str">
        <f t="shared" si="2"/>
        <v/>
      </c>
      <c r="O2574" s="36" t="str">
        <f t="shared" si="3"/>
        <v/>
      </c>
      <c r="P2574" s="15"/>
      <c r="Q2574" s="37" t="str">
        <f t="shared" si="4"/>
        <v/>
      </c>
      <c r="R2574" s="37" t="str">
        <f t="shared" si="5"/>
        <v/>
      </c>
      <c r="S2574" s="32" t="str">
        <f t="shared" si="6"/>
        <v/>
      </c>
      <c r="T2574" s="37" t="str">
        <f t="shared" si="7"/>
        <v/>
      </c>
      <c r="U2574" s="37" t="str">
        <f t="array" ref="U2574">IF($F2574="","",IFERROR(INDEX(Config!$F:$F,MATCH($F2574,Config!$D:$D,0)),0))</f>
        <v/>
      </c>
    </row>
    <row r="2575" ht="15.0" customHeight="1">
      <c r="A2575" s="34"/>
      <c r="B2575" s="35"/>
      <c r="C2575" s="15"/>
      <c r="D2575" s="15"/>
      <c r="E2575" s="15"/>
      <c r="F2575" s="15"/>
      <c r="G2575" s="36" t="str">
        <f t="array" ref="G2575">IF($F2575="","",IFERROR(INDEX(Config!$E:$E,MATCH($F2575,Config!$D:$D,0)),0))</f>
        <v/>
      </c>
      <c r="H2575" s="16"/>
      <c r="I2575" s="36" t="str">
        <f t="shared" si="1"/>
        <v/>
      </c>
      <c r="J2575" s="16"/>
      <c r="K2575" s="15"/>
      <c r="L2575" s="15"/>
      <c r="M2575" s="36" t="str">
        <f t="array" ref="M2575">IF($A2575="","",IF($L2575="Atendido",IFERROR($I2575*INDEX(Config!$B:$B,MATCH($C2575,Config!$A:$A,0)),0),0))</f>
        <v/>
      </c>
      <c r="N2575" s="36" t="str">
        <f t="shared" si="2"/>
        <v/>
      </c>
      <c r="O2575" s="36" t="str">
        <f t="shared" si="3"/>
        <v/>
      </c>
      <c r="P2575" s="15"/>
      <c r="Q2575" s="37" t="str">
        <f t="shared" si="4"/>
        <v/>
      </c>
      <c r="R2575" s="37" t="str">
        <f t="shared" si="5"/>
        <v/>
      </c>
      <c r="S2575" s="32" t="str">
        <f t="shared" si="6"/>
        <v/>
      </c>
      <c r="T2575" s="37" t="str">
        <f t="shared" si="7"/>
        <v/>
      </c>
      <c r="U2575" s="37" t="str">
        <f t="array" ref="U2575">IF($F2575="","",IFERROR(INDEX(Config!$F:$F,MATCH($F2575,Config!$D:$D,0)),0))</f>
        <v/>
      </c>
    </row>
    <row r="2576" ht="15.0" customHeight="1">
      <c r="A2576" s="34"/>
      <c r="B2576" s="35"/>
      <c r="C2576" s="15"/>
      <c r="D2576" s="15"/>
      <c r="E2576" s="15"/>
      <c r="F2576" s="15"/>
      <c r="G2576" s="36" t="str">
        <f t="array" ref="G2576">IF($F2576="","",IFERROR(INDEX(Config!$E:$E,MATCH($F2576,Config!$D:$D,0)),0))</f>
        <v/>
      </c>
      <c r="H2576" s="16"/>
      <c r="I2576" s="36" t="str">
        <f t="shared" si="1"/>
        <v/>
      </c>
      <c r="J2576" s="16"/>
      <c r="K2576" s="15"/>
      <c r="L2576" s="15"/>
      <c r="M2576" s="36" t="str">
        <f t="array" ref="M2576">IF($A2576="","",IF($L2576="Atendido",IFERROR($I2576*INDEX(Config!$B:$B,MATCH($C2576,Config!$A:$A,0)),0),0))</f>
        <v/>
      </c>
      <c r="N2576" s="36" t="str">
        <f t="shared" si="2"/>
        <v/>
      </c>
      <c r="O2576" s="36" t="str">
        <f t="shared" si="3"/>
        <v/>
      </c>
      <c r="P2576" s="15"/>
      <c r="Q2576" s="37" t="str">
        <f t="shared" si="4"/>
        <v/>
      </c>
      <c r="R2576" s="37" t="str">
        <f t="shared" si="5"/>
        <v/>
      </c>
      <c r="S2576" s="32" t="str">
        <f t="shared" si="6"/>
        <v/>
      </c>
      <c r="T2576" s="37" t="str">
        <f t="shared" si="7"/>
        <v/>
      </c>
      <c r="U2576" s="37" t="str">
        <f t="array" ref="U2576">IF($F2576="","",IFERROR(INDEX(Config!$F:$F,MATCH($F2576,Config!$D:$D,0)),0))</f>
        <v/>
      </c>
    </row>
    <row r="2577" ht="15.0" customHeight="1">
      <c r="A2577" s="34"/>
      <c r="B2577" s="35"/>
      <c r="C2577" s="15"/>
      <c r="D2577" s="15"/>
      <c r="E2577" s="15"/>
      <c r="F2577" s="15"/>
      <c r="G2577" s="36" t="str">
        <f t="array" ref="G2577">IF($F2577="","",IFERROR(INDEX(Config!$E:$E,MATCH($F2577,Config!$D:$D,0)),0))</f>
        <v/>
      </c>
      <c r="H2577" s="16"/>
      <c r="I2577" s="36" t="str">
        <f t="shared" si="1"/>
        <v/>
      </c>
      <c r="J2577" s="16"/>
      <c r="K2577" s="15"/>
      <c r="L2577" s="15"/>
      <c r="M2577" s="36" t="str">
        <f t="array" ref="M2577">IF($A2577="","",IF($L2577="Atendido",IFERROR($I2577*INDEX(Config!$B:$B,MATCH($C2577,Config!$A:$A,0)),0),0))</f>
        <v/>
      </c>
      <c r="N2577" s="36" t="str">
        <f t="shared" si="2"/>
        <v/>
      </c>
      <c r="O2577" s="36" t="str">
        <f t="shared" si="3"/>
        <v/>
      </c>
      <c r="P2577" s="15"/>
      <c r="Q2577" s="37" t="str">
        <f t="shared" si="4"/>
        <v/>
      </c>
      <c r="R2577" s="37" t="str">
        <f t="shared" si="5"/>
        <v/>
      </c>
      <c r="S2577" s="32" t="str">
        <f t="shared" si="6"/>
        <v/>
      </c>
      <c r="T2577" s="37" t="str">
        <f t="shared" si="7"/>
        <v/>
      </c>
      <c r="U2577" s="37" t="str">
        <f t="array" ref="U2577">IF($F2577="","",IFERROR(INDEX(Config!$F:$F,MATCH($F2577,Config!$D:$D,0)),0))</f>
        <v/>
      </c>
    </row>
    <row r="2578" ht="15.0" customHeight="1">
      <c r="A2578" s="34"/>
      <c r="B2578" s="35"/>
      <c r="C2578" s="15"/>
      <c r="D2578" s="15"/>
      <c r="E2578" s="15"/>
      <c r="F2578" s="15"/>
      <c r="G2578" s="36" t="str">
        <f t="array" ref="G2578">IF($F2578="","",IFERROR(INDEX(Config!$E:$E,MATCH($F2578,Config!$D:$D,0)),0))</f>
        <v/>
      </c>
      <c r="H2578" s="16"/>
      <c r="I2578" s="36" t="str">
        <f t="shared" si="1"/>
        <v/>
      </c>
      <c r="J2578" s="16"/>
      <c r="K2578" s="15"/>
      <c r="L2578" s="15"/>
      <c r="M2578" s="36" t="str">
        <f t="array" ref="M2578">IF($A2578="","",IF($L2578="Atendido",IFERROR($I2578*INDEX(Config!$B:$B,MATCH($C2578,Config!$A:$A,0)),0),0))</f>
        <v/>
      </c>
      <c r="N2578" s="36" t="str">
        <f t="shared" si="2"/>
        <v/>
      </c>
      <c r="O2578" s="36" t="str">
        <f t="shared" si="3"/>
        <v/>
      </c>
      <c r="P2578" s="15"/>
      <c r="Q2578" s="37" t="str">
        <f t="shared" si="4"/>
        <v/>
      </c>
      <c r="R2578" s="37" t="str">
        <f t="shared" si="5"/>
        <v/>
      </c>
      <c r="S2578" s="32" t="str">
        <f t="shared" si="6"/>
        <v/>
      </c>
      <c r="T2578" s="37" t="str">
        <f t="shared" si="7"/>
        <v/>
      </c>
      <c r="U2578" s="37" t="str">
        <f t="array" ref="U2578">IF($F2578="","",IFERROR(INDEX(Config!$F:$F,MATCH($F2578,Config!$D:$D,0)),0))</f>
        <v/>
      </c>
    </row>
    <row r="2579" ht="15.0" customHeight="1">
      <c r="A2579" s="34"/>
      <c r="B2579" s="35"/>
      <c r="C2579" s="15"/>
      <c r="D2579" s="15"/>
      <c r="E2579" s="15"/>
      <c r="F2579" s="15"/>
      <c r="G2579" s="36" t="str">
        <f t="array" ref="G2579">IF($F2579="","",IFERROR(INDEX(Config!$E:$E,MATCH($F2579,Config!$D:$D,0)),0))</f>
        <v/>
      </c>
      <c r="H2579" s="16"/>
      <c r="I2579" s="36" t="str">
        <f t="shared" si="1"/>
        <v/>
      </c>
      <c r="J2579" s="16"/>
      <c r="K2579" s="15"/>
      <c r="L2579" s="15"/>
      <c r="M2579" s="36" t="str">
        <f t="array" ref="M2579">IF($A2579="","",IF($L2579="Atendido",IFERROR($I2579*INDEX(Config!$B:$B,MATCH($C2579,Config!$A:$A,0)),0),0))</f>
        <v/>
      </c>
      <c r="N2579" s="36" t="str">
        <f t="shared" si="2"/>
        <v/>
      </c>
      <c r="O2579" s="36" t="str">
        <f t="shared" si="3"/>
        <v/>
      </c>
      <c r="P2579" s="15"/>
      <c r="Q2579" s="37" t="str">
        <f t="shared" si="4"/>
        <v/>
      </c>
      <c r="R2579" s="37" t="str">
        <f t="shared" si="5"/>
        <v/>
      </c>
      <c r="S2579" s="32" t="str">
        <f t="shared" si="6"/>
        <v/>
      </c>
      <c r="T2579" s="37" t="str">
        <f t="shared" si="7"/>
        <v/>
      </c>
      <c r="U2579" s="37" t="str">
        <f t="array" ref="U2579">IF($F2579="","",IFERROR(INDEX(Config!$F:$F,MATCH($F2579,Config!$D:$D,0)),0))</f>
        <v/>
      </c>
    </row>
    <row r="2580" ht="15.0" customHeight="1">
      <c r="A2580" s="34"/>
      <c r="B2580" s="35"/>
      <c r="C2580" s="15"/>
      <c r="D2580" s="15"/>
      <c r="E2580" s="15"/>
      <c r="F2580" s="15"/>
      <c r="G2580" s="36" t="str">
        <f t="array" ref="G2580">IF($F2580="","",IFERROR(INDEX(Config!$E:$E,MATCH($F2580,Config!$D:$D,0)),0))</f>
        <v/>
      </c>
      <c r="H2580" s="16"/>
      <c r="I2580" s="36" t="str">
        <f t="shared" si="1"/>
        <v/>
      </c>
      <c r="J2580" s="16"/>
      <c r="K2580" s="15"/>
      <c r="L2580" s="15"/>
      <c r="M2580" s="36" t="str">
        <f t="array" ref="M2580">IF($A2580="","",IF($L2580="Atendido",IFERROR($I2580*INDEX(Config!$B:$B,MATCH($C2580,Config!$A:$A,0)),0),0))</f>
        <v/>
      </c>
      <c r="N2580" s="36" t="str">
        <f t="shared" si="2"/>
        <v/>
      </c>
      <c r="O2580" s="36" t="str">
        <f t="shared" si="3"/>
        <v/>
      </c>
      <c r="P2580" s="15"/>
      <c r="Q2580" s="37" t="str">
        <f t="shared" si="4"/>
        <v/>
      </c>
      <c r="R2580" s="37" t="str">
        <f t="shared" si="5"/>
        <v/>
      </c>
      <c r="S2580" s="32" t="str">
        <f t="shared" si="6"/>
        <v/>
      </c>
      <c r="T2580" s="37" t="str">
        <f t="shared" si="7"/>
        <v/>
      </c>
      <c r="U2580" s="37" t="str">
        <f t="array" ref="U2580">IF($F2580="","",IFERROR(INDEX(Config!$F:$F,MATCH($F2580,Config!$D:$D,0)),0))</f>
        <v/>
      </c>
    </row>
    <row r="2581" ht="15.0" customHeight="1">
      <c r="A2581" s="34"/>
      <c r="B2581" s="35"/>
      <c r="C2581" s="15"/>
      <c r="D2581" s="15"/>
      <c r="E2581" s="15"/>
      <c r="F2581" s="15"/>
      <c r="G2581" s="36" t="str">
        <f t="array" ref="G2581">IF($F2581="","",IFERROR(INDEX(Config!$E:$E,MATCH($F2581,Config!$D:$D,0)),0))</f>
        <v/>
      </c>
      <c r="H2581" s="16"/>
      <c r="I2581" s="36" t="str">
        <f t="shared" si="1"/>
        <v/>
      </c>
      <c r="J2581" s="16"/>
      <c r="K2581" s="15"/>
      <c r="L2581" s="15"/>
      <c r="M2581" s="36" t="str">
        <f t="array" ref="M2581">IF($A2581="","",IF($L2581="Atendido",IFERROR($I2581*INDEX(Config!$B:$B,MATCH($C2581,Config!$A:$A,0)),0),0))</f>
        <v/>
      </c>
      <c r="N2581" s="36" t="str">
        <f t="shared" si="2"/>
        <v/>
      </c>
      <c r="O2581" s="36" t="str">
        <f t="shared" si="3"/>
        <v/>
      </c>
      <c r="P2581" s="15"/>
      <c r="Q2581" s="37" t="str">
        <f t="shared" si="4"/>
        <v/>
      </c>
      <c r="R2581" s="37" t="str">
        <f t="shared" si="5"/>
        <v/>
      </c>
      <c r="S2581" s="32" t="str">
        <f t="shared" si="6"/>
        <v/>
      </c>
      <c r="T2581" s="37" t="str">
        <f t="shared" si="7"/>
        <v/>
      </c>
      <c r="U2581" s="37" t="str">
        <f t="array" ref="U2581">IF($F2581="","",IFERROR(INDEX(Config!$F:$F,MATCH($F2581,Config!$D:$D,0)),0))</f>
        <v/>
      </c>
    </row>
    <row r="2582" ht="15.0" customHeight="1">
      <c r="A2582" s="34"/>
      <c r="B2582" s="35"/>
      <c r="C2582" s="15"/>
      <c r="D2582" s="15"/>
      <c r="E2582" s="15"/>
      <c r="F2582" s="15"/>
      <c r="G2582" s="36" t="str">
        <f t="array" ref="G2582">IF($F2582="","",IFERROR(INDEX(Config!$E:$E,MATCH($F2582,Config!$D:$D,0)),0))</f>
        <v/>
      </c>
      <c r="H2582" s="16"/>
      <c r="I2582" s="36" t="str">
        <f t="shared" si="1"/>
        <v/>
      </c>
      <c r="J2582" s="16"/>
      <c r="K2582" s="15"/>
      <c r="L2582" s="15"/>
      <c r="M2582" s="36" t="str">
        <f t="array" ref="M2582">IF($A2582="","",IF($L2582="Atendido",IFERROR($I2582*INDEX(Config!$B:$B,MATCH($C2582,Config!$A:$A,0)),0),0))</f>
        <v/>
      </c>
      <c r="N2582" s="36" t="str">
        <f t="shared" si="2"/>
        <v/>
      </c>
      <c r="O2582" s="36" t="str">
        <f t="shared" si="3"/>
        <v/>
      </c>
      <c r="P2582" s="15"/>
      <c r="Q2582" s="37" t="str">
        <f t="shared" si="4"/>
        <v/>
      </c>
      <c r="R2582" s="37" t="str">
        <f t="shared" si="5"/>
        <v/>
      </c>
      <c r="S2582" s="32" t="str">
        <f t="shared" si="6"/>
        <v/>
      </c>
      <c r="T2582" s="37" t="str">
        <f t="shared" si="7"/>
        <v/>
      </c>
      <c r="U2582" s="37" t="str">
        <f t="array" ref="U2582">IF($F2582="","",IFERROR(INDEX(Config!$F:$F,MATCH($F2582,Config!$D:$D,0)),0))</f>
        <v/>
      </c>
    </row>
    <row r="2583" ht="15.0" customHeight="1">
      <c r="A2583" s="34"/>
      <c r="B2583" s="35"/>
      <c r="C2583" s="15"/>
      <c r="D2583" s="15"/>
      <c r="E2583" s="15"/>
      <c r="F2583" s="15"/>
      <c r="G2583" s="36" t="str">
        <f t="array" ref="G2583">IF($F2583="","",IFERROR(INDEX(Config!$E:$E,MATCH($F2583,Config!$D:$D,0)),0))</f>
        <v/>
      </c>
      <c r="H2583" s="16"/>
      <c r="I2583" s="36" t="str">
        <f t="shared" si="1"/>
        <v/>
      </c>
      <c r="J2583" s="16"/>
      <c r="K2583" s="15"/>
      <c r="L2583" s="15"/>
      <c r="M2583" s="36" t="str">
        <f t="array" ref="M2583">IF($A2583="","",IF($L2583="Atendido",IFERROR($I2583*INDEX(Config!$B:$B,MATCH($C2583,Config!$A:$A,0)),0),0))</f>
        <v/>
      </c>
      <c r="N2583" s="36" t="str">
        <f t="shared" si="2"/>
        <v/>
      </c>
      <c r="O2583" s="36" t="str">
        <f t="shared" si="3"/>
        <v/>
      </c>
      <c r="P2583" s="15"/>
      <c r="Q2583" s="37" t="str">
        <f t="shared" si="4"/>
        <v/>
      </c>
      <c r="R2583" s="37" t="str">
        <f t="shared" si="5"/>
        <v/>
      </c>
      <c r="S2583" s="32" t="str">
        <f t="shared" si="6"/>
        <v/>
      </c>
      <c r="T2583" s="37" t="str">
        <f t="shared" si="7"/>
        <v/>
      </c>
      <c r="U2583" s="37" t="str">
        <f t="array" ref="U2583">IF($F2583="","",IFERROR(INDEX(Config!$F:$F,MATCH($F2583,Config!$D:$D,0)),0))</f>
        <v/>
      </c>
    </row>
    <row r="2584" ht="15.0" customHeight="1">
      <c r="A2584" s="34"/>
      <c r="B2584" s="35"/>
      <c r="C2584" s="15"/>
      <c r="D2584" s="15"/>
      <c r="E2584" s="15"/>
      <c r="F2584" s="15"/>
      <c r="G2584" s="36" t="str">
        <f t="array" ref="G2584">IF($F2584="","",IFERROR(INDEX(Config!$E:$E,MATCH($F2584,Config!$D:$D,0)),0))</f>
        <v/>
      </c>
      <c r="H2584" s="16"/>
      <c r="I2584" s="36" t="str">
        <f t="shared" si="1"/>
        <v/>
      </c>
      <c r="J2584" s="16"/>
      <c r="K2584" s="15"/>
      <c r="L2584" s="15"/>
      <c r="M2584" s="36" t="str">
        <f t="array" ref="M2584">IF($A2584="","",IF($L2584="Atendido",IFERROR($I2584*INDEX(Config!$B:$B,MATCH($C2584,Config!$A:$A,0)),0),0))</f>
        <v/>
      </c>
      <c r="N2584" s="36" t="str">
        <f t="shared" si="2"/>
        <v/>
      </c>
      <c r="O2584" s="36" t="str">
        <f t="shared" si="3"/>
        <v/>
      </c>
      <c r="P2584" s="15"/>
      <c r="Q2584" s="37" t="str">
        <f t="shared" si="4"/>
        <v/>
      </c>
      <c r="R2584" s="37" t="str">
        <f t="shared" si="5"/>
        <v/>
      </c>
      <c r="S2584" s="32" t="str">
        <f t="shared" si="6"/>
        <v/>
      </c>
      <c r="T2584" s="37" t="str">
        <f t="shared" si="7"/>
        <v/>
      </c>
      <c r="U2584" s="37" t="str">
        <f t="array" ref="U2584">IF($F2584="","",IFERROR(INDEX(Config!$F:$F,MATCH($F2584,Config!$D:$D,0)),0))</f>
        <v/>
      </c>
    </row>
    <row r="2585" ht="15.0" customHeight="1">
      <c r="A2585" s="34"/>
      <c r="B2585" s="35"/>
      <c r="C2585" s="15"/>
      <c r="D2585" s="15"/>
      <c r="E2585" s="15"/>
      <c r="F2585" s="15"/>
      <c r="G2585" s="36" t="str">
        <f t="array" ref="G2585">IF($F2585="","",IFERROR(INDEX(Config!$E:$E,MATCH($F2585,Config!$D:$D,0)),0))</f>
        <v/>
      </c>
      <c r="H2585" s="16"/>
      <c r="I2585" s="36" t="str">
        <f t="shared" si="1"/>
        <v/>
      </c>
      <c r="J2585" s="16"/>
      <c r="K2585" s="15"/>
      <c r="L2585" s="15"/>
      <c r="M2585" s="36" t="str">
        <f t="array" ref="M2585">IF($A2585="","",IF($L2585="Atendido",IFERROR($I2585*INDEX(Config!$B:$B,MATCH($C2585,Config!$A:$A,0)),0),0))</f>
        <v/>
      </c>
      <c r="N2585" s="36" t="str">
        <f t="shared" si="2"/>
        <v/>
      </c>
      <c r="O2585" s="36" t="str">
        <f t="shared" si="3"/>
        <v/>
      </c>
      <c r="P2585" s="15"/>
      <c r="Q2585" s="37" t="str">
        <f t="shared" si="4"/>
        <v/>
      </c>
      <c r="R2585" s="37" t="str">
        <f t="shared" si="5"/>
        <v/>
      </c>
      <c r="S2585" s="32" t="str">
        <f t="shared" si="6"/>
        <v/>
      </c>
      <c r="T2585" s="37" t="str">
        <f t="shared" si="7"/>
        <v/>
      </c>
      <c r="U2585" s="37" t="str">
        <f t="array" ref="U2585">IF($F2585="","",IFERROR(INDEX(Config!$F:$F,MATCH($F2585,Config!$D:$D,0)),0))</f>
        <v/>
      </c>
    </row>
    <row r="2586" ht="15.0" customHeight="1">
      <c r="A2586" s="34"/>
      <c r="B2586" s="35"/>
      <c r="C2586" s="15"/>
      <c r="D2586" s="15"/>
      <c r="E2586" s="15"/>
      <c r="F2586" s="15"/>
      <c r="G2586" s="36" t="str">
        <f t="array" ref="G2586">IF($F2586="","",IFERROR(INDEX(Config!$E:$E,MATCH($F2586,Config!$D:$D,0)),0))</f>
        <v/>
      </c>
      <c r="H2586" s="16"/>
      <c r="I2586" s="36" t="str">
        <f t="shared" si="1"/>
        <v/>
      </c>
      <c r="J2586" s="16"/>
      <c r="K2586" s="15"/>
      <c r="L2586" s="15"/>
      <c r="M2586" s="36" t="str">
        <f t="array" ref="M2586">IF($A2586="","",IF($L2586="Atendido",IFERROR($I2586*INDEX(Config!$B:$B,MATCH($C2586,Config!$A:$A,0)),0),0))</f>
        <v/>
      </c>
      <c r="N2586" s="36" t="str">
        <f t="shared" si="2"/>
        <v/>
      </c>
      <c r="O2586" s="36" t="str">
        <f t="shared" si="3"/>
        <v/>
      </c>
      <c r="P2586" s="15"/>
      <c r="Q2586" s="37" t="str">
        <f t="shared" si="4"/>
        <v/>
      </c>
      <c r="R2586" s="37" t="str">
        <f t="shared" si="5"/>
        <v/>
      </c>
      <c r="S2586" s="32" t="str">
        <f t="shared" si="6"/>
        <v/>
      </c>
      <c r="T2586" s="37" t="str">
        <f t="shared" si="7"/>
        <v/>
      </c>
      <c r="U2586" s="37" t="str">
        <f t="array" ref="U2586">IF($F2586="","",IFERROR(INDEX(Config!$F:$F,MATCH($F2586,Config!$D:$D,0)),0))</f>
        <v/>
      </c>
    </row>
    <row r="2587" ht="15.0" customHeight="1">
      <c r="A2587" s="34"/>
      <c r="B2587" s="35"/>
      <c r="C2587" s="15"/>
      <c r="D2587" s="15"/>
      <c r="E2587" s="15"/>
      <c r="F2587" s="15"/>
      <c r="G2587" s="36" t="str">
        <f t="array" ref="G2587">IF($F2587="","",IFERROR(INDEX(Config!$E:$E,MATCH($F2587,Config!$D:$D,0)),0))</f>
        <v/>
      </c>
      <c r="H2587" s="16"/>
      <c r="I2587" s="36" t="str">
        <f t="shared" si="1"/>
        <v/>
      </c>
      <c r="J2587" s="16"/>
      <c r="K2587" s="15"/>
      <c r="L2587" s="15"/>
      <c r="M2587" s="36" t="str">
        <f t="array" ref="M2587">IF($A2587="","",IF($L2587="Atendido",IFERROR($I2587*INDEX(Config!$B:$B,MATCH($C2587,Config!$A:$A,0)),0),0))</f>
        <v/>
      </c>
      <c r="N2587" s="36" t="str">
        <f t="shared" si="2"/>
        <v/>
      </c>
      <c r="O2587" s="36" t="str">
        <f t="shared" si="3"/>
        <v/>
      </c>
      <c r="P2587" s="15"/>
      <c r="Q2587" s="37" t="str">
        <f t="shared" si="4"/>
        <v/>
      </c>
      <c r="R2587" s="37" t="str">
        <f t="shared" si="5"/>
        <v/>
      </c>
      <c r="S2587" s="32" t="str">
        <f t="shared" si="6"/>
        <v/>
      </c>
      <c r="T2587" s="37" t="str">
        <f t="shared" si="7"/>
        <v/>
      </c>
      <c r="U2587" s="37" t="str">
        <f t="array" ref="U2587">IF($F2587="","",IFERROR(INDEX(Config!$F:$F,MATCH($F2587,Config!$D:$D,0)),0))</f>
        <v/>
      </c>
    </row>
    <row r="2588" ht="15.0" customHeight="1">
      <c r="A2588" s="34"/>
      <c r="B2588" s="35"/>
      <c r="C2588" s="15"/>
      <c r="D2588" s="15"/>
      <c r="E2588" s="15"/>
      <c r="F2588" s="15"/>
      <c r="G2588" s="36" t="str">
        <f t="array" ref="G2588">IF($F2588="","",IFERROR(INDEX(Config!$E:$E,MATCH($F2588,Config!$D:$D,0)),0))</f>
        <v/>
      </c>
      <c r="H2588" s="16"/>
      <c r="I2588" s="36" t="str">
        <f t="shared" si="1"/>
        <v/>
      </c>
      <c r="J2588" s="16"/>
      <c r="K2588" s="15"/>
      <c r="L2588" s="15"/>
      <c r="M2588" s="36" t="str">
        <f t="array" ref="M2588">IF($A2588="","",IF($L2588="Atendido",IFERROR($I2588*INDEX(Config!$B:$B,MATCH($C2588,Config!$A:$A,0)),0),0))</f>
        <v/>
      </c>
      <c r="N2588" s="36" t="str">
        <f t="shared" si="2"/>
        <v/>
      </c>
      <c r="O2588" s="36" t="str">
        <f t="shared" si="3"/>
        <v/>
      </c>
      <c r="P2588" s="15"/>
      <c r="Q2588" s="37" t="str">
        <f t="shared" si="4"/>
        <v/>
      </c>
      <c r="R2588" s="37" t="str">
        <f t="shared" si="5"/>
        <v/>
      </c>
      <c r="S2588" s="32" t="str">
        <f t="shared" si="6"/>
        <v/>
      </c>
      <c r="T2588" s="37" t="str">
        <f t="shared" si="7"/>
        <v/>
      </c>
      <c r="U2588" s="37" t="str">
        <f t="array" ref="U2588">IF($F2588="","",IFERROR(INDEX(Config!$F:$F,MATCH($F2588,Config!$D:$D,0)),0))</f>
        <v/>
      </c>
    </row>
    <row r="2589" ht="15.0" customHeight="1">
      <c r="A2589" s="34"/>
      <c r="B2589" s="35"/>
      <c r="C2589" s="15"/>
      <c r="D2589" s="15"/>
      <c r="E2589" s="15"/>
      <c r="F2589" s="15"/>
      <c r="G2589" s="36" t="str">
        <f t="array" ref="G2589">IF($F2589="","",IFERROR(INDEX(Config!$E:$E,MATCH($F2589,Config!$D:$D,0)),0))</f>
        <v/>
      </c>
      <c r="H2589" s="16"/>
      <c r="I2589" s="36" t="str">
        <f t="shared" si="1"/>
        <v/>
      </c>
      <c r="J2589" s="16"/>
      <c r="K2589" s="15"/>
      <c r="L2589" s="15"/>
      <c r="M2589" s="36" t="str">
        <f t="array" ref="M2589">IF($A2589="","",IF($L2589="Atendido",IFERROR($I2589*INDEX(Config!$B:$B,MATCH($C2589,Config!$A:$A,0)),0),0))</f>
        <v/>
      </c>
      <c r="N2589" s="36" t="str">
        <f t="shared" si="2"/>
        <v/>
      </c>
      <c r="O2589" s="36" t="str">
        <f t="shared" si="3"/>
        <v/>
      </c>
      <c r="P2589" s="15"/>
      <c r="Q2589" s="37" t="str">
        <f t="shared" si="4"/>
        <v/>
      </c>
      <c r="R2589" s="37" t="str">
        <f t="shared" si="5"/>
        <v/>
      </c>
      <c r="S2589" s="32" t="str">
        <f t="shared" si="6"/>
        <v/>
      </c>
      <c r="T2589" s="37" t="str">
        <f t="shared" si="7"/>
        <v/>
      </c>
      <c r="U2589" s="37" t="str">
        <f t="array" ref="U2589">IF($F2589="","",IFERROR(INDEX(Config!$F:$F,MATCH($F2589,Config!$D:$D,0)),0))</f>
        <v/>
      </c>
    </row>
    <row r="2590" ht="15.0" customHeight="1">
      <c r="A2590" s="34"/>
      <c r="B2590" s="35"/>
      <c r="C2590" s="15"/>
      <c r="D2590" s="15"/>
      <c r="E2590" s="15"/>
      <c r="F2590" s="15"/>
      <c r="G2590" s="36" t="str">
        <f t="array" ref="G2590">IF($F2590="","",IFERROR(INDEX(Config!$E:$E,MATCH($F2590,Config!$D:$D,0)),0))</f>
        <v/>
      </c>
      <c r="H2590" s="16"/>
      <c r="I2590" s="36" t="str">
        <f t="shared" si="1"/>
        <v/>
      </c>
      <c r="J2590" s="16"/>
      <c r="K2590" s="15"/>
      <c r="L2590" s="15"/>
      <c r="M2590" s="36" t="str">
        <f t="array" ref="M2590">IF($A2590="","",IF($L2590="Atendido",IFERROR($I2590*INDEX(Config!$B:$B,MATCH($C2590,Config!$A:$A,0)),0),0))</f>
        <v/>
      </c>
      <c r="N2590" s="36" t="str">
        <f t="shared" si="2"/>
        <v/>
      </c>
      <c r="O2590" s="36" t="str">
        <f t="shared" si="3"/>
        <v/>
      </c>
      <c r="P2590" s="15"/>
      <c r="Q2590" s="37" t="str">
        <f t="shared" si="4"/>
        <v/>
      </c>
      <c r="R2590" s="37" t="str">
        <f t="shared" si="5"/>
        <v/>
      </c>
      <c r="S2590" s="32" t="str">
        <f t="shared" si="6"/>
        <v/>
      </c>
      <c r="T2590" s="37" t="str">
        <f t="shared" si="7"/>
        <v/>
      </c>
      <c r="U2590" s="37" t="str">
        <f t="array" ref="U2590">IF($F2590="","",IFERROR(INDEX(Config!$F:$F,MATCH($F2590,Config!$D:$D,0)),0))</f>
        <v/>
      </c>
    </row>
    <row r="2591" ht="15.0" customHeight="1">
      <c r="A2591" s="34"/>
      <c r="B2591" s="35"/>
      <c r="C2591" s="15"/>
      <c r="D2591" s="15"/>
      <c r="E2591" s="15"/>
      <c r="F2591" s="15"/>
      <c r="G2591" s="36" t="str">
        <f t="array" ref="G2591">IF($F2591="","",IFERROR(INDEX(Config!$E:$E,MATCH($F2591,Config!$D:$D,0)),0))</f>
        <v/>
      </c>
      <c r="H2591" s="16"/>
      <c r="I2591" s="36" t="str">
        <f t="shared" si="1"/>
        <v/>
      </c>
      <c r="J2591" s="16"/>
      <c r="K2591" s="15"/>
      <c r="L2591" s="15"/>
      <c r="M2591" s="36" t="str">
        <f t="array" ref="M2591">IF($A2591="","",IF($L2591="Atendido",IFERROR($I2591*INDEX(Config!$B:$B,MATCH($C2591,Config!$A:$A,0)),0),0))</f>
        <v/>
      </c>
      <c r="N2591" s="36" t="str">
        <f t="shared" si="2"/>
        <v/>
      </c>
      <c r="O2591" s="36" t="str">
        <f t="shared" si="3"/>
        <v/>
      </c>
      <c r="P2591" s="15"/>
      <c r="Q2591" s="37" t="str">
        <f t="shared" si="4"/>
        <v/>
      </c>
      <c r="R2591" s="37" t="str">
        <f t="shared" si="5"/>
        <v/>
      </c>
      <c r="S2591" s="32" t="str">
        <f t="shared" si="6"/>
        <v/>
      </c>
      <c r="T2591" s="37" t="str">
        <f t="shared" si="7"/>
        <v/>
      </c>
      <c r="U2591" s="37" t="str">
        <f t="array" ref="U2591">IF($F2591="","",IFERROR(INDEX(Config!$F:$F,MATCH($F2591,Config!$D:$D,0)),0))</f>
        <v/>
      </c>
    </row>
    <row r="2592" ht="15.0" customHeight="1">
      <c r="A2592" s="34"/>
      <c r="B2592" s="35"/>
      <c r="C2592" s="15"/>
      <c r="D2592" s="15"/>
      <c r="E2592" s="15"/>
      <c r="F2592" s="15"/>
      <c r="G2592" s="36" t="str">
        <f t="array" ref="G2592">IF($F2592="","",IFERROR(INDEX(Config!$E:$E,MATCH($F2592,Config!$D:$D,0)),0))</f>
        <v/>
      </c>
      <c r="H2592" s="16"/>
      <c r="I2592" s="36" t="str">
        <f t="shared" si="1"/>
        <v/>
      </c>
      <c r="J2592" s="16"/>
      <c r="K2592" s="15"/>
      <c r="L2592" s="15"/>
      <c r="M2592" s="36" t="str">
        <f t="array" ref="M2592">IF($A2592="","",IF($L2592="Atendido",IFERROR($I2592*INDEX(Config!$B:$B,MATCH($C2592,Config!$A:$A,0)),0),0))</f>
        <v/>
      </c>
      <c r="N2592" s="36" t="str">
        <f t="shared" si="2"/>
        <v/>
      </c>
      <c r="O2592" s="36" t="str">
        <f t="shared" si="3"/>
        <v/>
      </c>
      <c r="P2592" s="15"/>
      <c r="Q2592" s="37" t="str">
        <f t="shared" si="4"/>
        <v/>
      </c>
      <c r="R2592" s="37" t="str">
        <f t="shared" si="5"/>
        <v/>
      </c>
      <c r="S2592" s="32" t="str">
        <f t="shared" si="6"/>
        <v/>
      </c>
      <c r="T2592" s="37" t="str">
        <f t="shared" si="7"/>
        <v/>
      </c>
      <c r="U2592" s="37" t="str">
        <f t="array" ref="U2592">IF($F2592="","",IFERROR(INDEX(Config!$F:$F,MATCH($F2592,Config!$D:$D,0)),0))</f>
        <v/>
      </c>
    </row>
    <row r="2593" ht="15.0" customHeight="1">
      <c r="A2593" s="34"/>
      <c r="B2593" s="35"/>
      <c r="C2593" s="15"/>
      <c r="D2593" s="15"/>
      <c r="E2593" s="15"/>
      <c r="F2593" s="15"/>
      <c r="G2593" s="36" t="str">
        <f t="array" ref="G2593">IF($F2593="","",IFERROR(INDEX(Config!$E:$E,MATCH($F2593,Config!$D:$D,0)),0))</f>
        <v/>
      </c>
      <c r="H2593" s="16"/>
      <c r="I2593" s="36" t="str">
        <f t="shared" si="1"/>
        <v/>
      </c>
      <c r="J2593" s="16"/>
      <c r="K2593" s="15"/>
      <c r="L2593" s="15"/>
      <c r="M2593" s="36" t="str">
        <f t="array" ref="M2593">IF($A2593="","",IF($L2593="Atendido",IFERROR($I2593*INDEX(Config!$B:$B,MATCH($C2593,Config!$A:$A,0)),0),0))</f>
        <v/>
      </c>
      <c r="N2593" s="36" t="str">
        <f t="shared" si="2"/>
        <v/>
      </c>
      <c r="O2593" s="36" t="str">
        <f t="shared" si="3"/>
        <v/>
      </c>
      <c r="P2593" s="15"/>
      <c r="Q2593" s="37" t="str">
        <f t="shared" si="4"/>
        <v/>
      </c>
      <c r="R2593" s="37" t="str">
        <f t="shared" si="5"/>
        <v/>
      </c>
      <c r="S2593" s="32" t="str">
        <f t="shared" si="6"/>
        <v/>
      </c>
      <c r="T2593" s="37" t="str">
        <f t="shared" si="7"/>
        <v/>
      </c>
      <c r="U2593" s="37" t="str">
        <f t="array" ref="U2593">IF($F2593="","",IFERROR(INDEX(Config!$F:$F,MATCH($F2593,Config!$D:$D,0)),0))</f>
        <v/>
      </c>
    </row>
    <row r="2594" ht="15.0" customHeight="1">
      <c r="A2594" s="34"/>
      <c r="B2594" s="35"/>
      <c r="C2594" s="15"/>
      <c r="D2594" s="15"/>
      <c r="E2594" s="15"/>
      <c r="F2594" s="15"/>
      <c r="G2594" s="36" t="str">
        <f t="array" ref="G2594">IF($F2594="","",IFERROR(INDEX(Config!$E:$E,MATCH($F2594,Config!$D:$D,0)),0))</f>
        <v/>
      </c>
      <c r="H2594" s="16"/>
      <c r="I2594" s="36" t="str">
        <f t="shared" si="1"/>
        <v/>
      </c>
      <c r="J2594" s="16"/>
      <c r="K2594" s="15"/>
      <c r="L2594" s="15"/>
      <c r="M2594" s="36" t="str">
        <f t="array" ref="M2594">IF($A2594="","",IF($L2594="Atendido",IFERROR($I2594*INDEX(Config!$B:$B,MATCH($C2594,Config!$A:$A,0)),0),0))</f>
        <v/>
      </c>
      <c r="N2594" s="36" t="str">
        <f t="shared" si="2"/>
        <v/>
      </c>
      <c r="O2594" s="36" t="str">
        <f t="shared" si="3"/>
        <v/>
      </c>
      <c r="P2594" s="15"/>
      <c r="Q2594" s="37" t="str">
        <f t="shared" si="4"/>
        <v/>
      </c>
      <c r="R2594" s="37" t="str">
        <f t="shared" si="5"/>
        <v/>
      </c>
      <c r="S2594" s="32" t="str">
        <f t="shared" si="6"/>
        <v/>
      </c>
      <c r="T2594" s="37" t="str">
        <f t="shared" si="7"/>
        <v/>
      </c>
      <c r="U2594" s="37" t="str">
        <f t="array" ref="U2594">IF($F2594="","",IFERROR(INDEX(Config!$F:$F,MATCH($F2594,Config!$D:$D,0)),0))</f>
        <v/>
      </c>
    </row>
    <row r="2595" ht="15.0" customHeight="1">
      <c r="A2595" s="34"/>
      <c r="B2595" s="35"/>
      <c r="C2595" s="15"/>
      <c r="D2595" s="15"/>
      <c r="E2595" s="15"/>
      <c r="F2595" s="15"/>
      <c r="G2595" s="36" t="str">
        <f t="array" ref="G2595">IF($F2595="","",IFERROR(INDEX(Config!$E:$E,MATCH($F2595,Config!$D:$D,0)),0))</f>
        <v/>
      </c>
      <c r="H2595" s="16"/>
      <c r="I2595" s="36" t="str">
        <f t="shared" si="1"/>
        <v/>
      </c>
      <c r="J2595" s="16"/>
      <c r="K2595" s="15"/>
      <c r="L2595" s="15"/>
      <c r="M2595" s="36" t="str">
        <f t="array" ref="M2595">IF($A2595="","",IF($L2595="Atendido",IFERROR($I2595*INDEX(Config!$B:$B,MATCH($C2595,Config!$A:$A,0)),0),0))</f>
        <v/>
      </c>
      <c r="N2595" s="36" t="str">
        <f t="shared" si="2"/>
        <v/>
      </c>
      <c r="O2595" s="36" t="str">
        <f t="shared" si="3"/>
        <v/>
      </c>
      <c r="P2595" s="15"/>
      <c r="Q2595" s="37" t="str">
        <f t="shared" si="4"/>
        <v/>
      </c>
      <c r="R2595" s="37" t="str">
        <f t="shared" si="5"/>
        <v/>
      </c>
      <c r="S2595" s="32" t="str">
        <f t="shared" si="6"/>
        <v/>
      </c>
      <c r="T2595" s="37" t="str">
        <f t="shared" si="7"/>
        <v/>
      </c>
      <c r="U2595" s="37" t="str">
        <f t="array" ref="U2595">IF($F2595="","",IFERROR(INDEX(Config!$F:$F,MATCH($F2595,Config!$D:$D,0)),0))</f>
        <v/>
      </c>
    </row>
    <row r="2596" ht="15.0" customHeight="1">
      <c r="A2596" s="34"/>
      <c r="B2596" s="35"/>
      <c r="C2596" s="15"/>
      <c r="D2596" s="15"/>
      <c r="E2596" s="15"/>
      <c r="F2596" s="15"/>
      <c r="G2596" s="36" t="str">
        <f t="array" ref="G2596">IF($F2596="","",IFERROR(INDEX(Config!$E:$E,MATCH($F2596,Config!$D:$D,0)),0))</f>
        <v/>
      </c>
      <c r="H2596" s="16"/>
      <c r="I2596" s="36" t="str">
        <f t="shared" si="1"/>
        <v/>
      </c>
      <c r="J2596" s="16"/>
      <c r="K2596" s="15"/>
      <c r="L2596" s="15"/>
      <c r="M2596" s="36" t="str">
        <f t="array" ref="M2596">IF($A2596="","",IF($L2596="Atendido",IFERROR($I2596*INDEX(Config!$B:$B,MATCH($C2596,Config!$A:$A,0)),0),0))</f>
        <v/>
      </c>
      <c r="N2596" s="36" t="str">
        <f t="shared" si="2"/>
        <v/>
      </c>
      <c r="O2596" s="36" t="str">
        <f t="shared" si="3"/>
        <v/>
      </c>
      <c r="P2596" s="15"/>
      <c r="Q2596" s="37" t="str">
        <f t="shared" si="4"/>
        <v/>
      </c>
      <c r="R2596" s="37" t="str">
        <f t="shared" si="5"/>
        <v/>
      </c>
      <c r="S2596" s="32" t="str">
        <f t="shared" si="6"/>
        <v/>
      </c>
      <c r="T2596" s="37" t="str">
        <f t="shared" si="7"/>
        <v/>
      </c>
      <c r="U2596" s="37" t="str">
        <f t="array" ref="U2596">IF($F2596="","",IFERROR(INDEX(Config!$F:$F,MATCH($F2596,Config!$D:$D,0)),0))</f>
        <v/>
      </c>
    </row>
    <row r="2597" ht="15.0" customHeight="1">
      <c r="A2597" s="34"/>
      <c r="B2597" s="35"/>
      <c r="C2597" s="15"/>
      <c r="D2597" s="15"/>
      <c r="E2597" s="15"/>
      <c r="F2597" s="15"/>
      <c r="G2597" s="36" t="str">
        <f t="array" ref="G2597">IF($F2597="","",IFERROR(INDEX(Config!$E:$E,MATCH($F2597,Config!$D:$D,0)),0))</f>
        <v/>
      </c>
      <c r="H2597" s="16"/>
      <c r="I2597" s="36" t="str">
        <f t="shared" si="1"/>
        <v/>
      </c>
      <c r="J2597" s="16"/>
      <c r="K2597" s="15"/>
      <c r="L2597" s="15"/>
      <c r="M2597" s="36" t="str">
        <f t="array" ref="M2597">IF($A2597="","",IF($L2597="Atendido",IFERROR($I2597*INDEX(Config!$B:$B,MATCH($C2597,Config!$A:$A,0)),0),0))</f>
        <v/>
      </c>
      <c r="N2597" s="36" t="str">
        <f t="shared" si="2"/>
        <v/>
      </c>
      <c r="O2597" s="36" t="str">
        <f t="shared" si="3"/>
        <v/>
      </c>
      <c r="P2597" s="15"/>
      <c r="Q2597" s="37" t="str">
        <f t="shared" si="4"/>
        <v/>
      </c>
      <c r="R2597" s="37" t="str">
        <f t="shared" si="5"/>
        <v/>
      </c>
      <c r="S2597" s="32" t="str">
        <f t="shared" si="6"/>
        <v/>
      </c>
      <c r="T2597" s="37" t="str">
        <f t="shared" si="7"/>
        <v/>
      </c>
      <c r="U2597" s="37" t="str">
        <f t="array" ref="U2597">IF($F2597="","",IFERROR(INDEX(Config!$F:$F,MATCH($F2597,Config!$D:$D,0)),0))</f>
        <v/>
      </c>
    </row>
    <row r="2598" ht="15.0" customHeight="1">
      <c r="A2598" s="34"/>
      <c r="B2598" s="35"/>
      <c r="C2598" s="15"/>
      <c r="D2598" s="15"/>
      <c r="E2598" s="15"/>
      <c r="F2598" s="15"/>
      <c r="G2598" s="36" t="str">
        <f t="array" ref="G2598">IF($F2598="","",IFERROR(INDEX(Config!$E:$E,MATCH($F2598,Config!$D:$D,0)),0))</f>
        <v/>
      </c>
      <c r="H2598" s="16"/>
      <c r="I2598" s="36" t="str">
        <f t="shared" si="1"/>
        <v/>
      </c>
      <c r="J2598" s="16"/>
      <c r="K2598" s="15"/>
      <c r="L2598" s="15"/>
      <c r="M2598" s="36" t="str">
        <f t="array" ref="M2598">IF($A2598="","",IF($L2598="Atendido",IFERROR($I2598*INDEX(Config!$B:$B,MATCH($C2598,Config!$A:$A,0)),0),0))</f>
        <v/>
      </c>
      <c r="N2598" s="36" t="str">
        <f t="shared" si="2"/>
        <v/>
      </c>
      <c r="O2598" s="36" t="str">
        <f t="shared" si="3"/>
        <v/>
      </c>
      <c r="P2598" s="15"/>
      <c r="Q2598" s="37" t="str">
        <f t="shared" si="4"/>
        <v/>
      </c>
      <c r="R2598" s="37" t="str">
        <f t="shared" si="5"/>
        <v/>
      </c>
      <c r="S2598" s="32" t="str">
        <f t="shared" si="6"/>
        <v/>
      </c>
      <c r="T2598" s="37" t="str">
        <f t="shared" si="7"/>
        <v/>
      </c>
      <c r="U2598" s="37" t="str">
        <f t="array" ref="U2598">IF($F2598="","",IFERROR(INDEX(Config!$F:$F,MATCH($F2598,Config!$D:$D,0)),0))</f>
        <v/>
      </c>
    </row>
    <row r="2599" ht="15.0" customHeight="1">
      <c r="A2599" s="34"/>
      <c r="B2599" s="35"/>
      <c r="C2599" s="15"/>
      <c r="D2599" s="15"/>
      <c r="E2599" s="15"/>
      <c r="F2599" s="15"/>
      <c r="G2599" s="36" t="str">
        <f t="array" ref="G2599">IF($F2599="","",IFERROR(INDEX(Config!$E:$E,MATCH($F2599,Config!$D:$D,0)),0))</f>
        <v/>
      </c>
      <c r="H2599" s="16"/>
      <c r="I2599" s="36" t="str">
        <f t="shared" si="1"/>
        <v/>
      </c>
      <c r="J2599" s="16"/>
      <c r="K2599" s="15"/>
      <c r="L2599" s="15"/>
      <c r="M2599" s="36" t="str">
        <f t="array" ref="M2599">IF($A2599="","",IF($L2599="Atendido",IFERROR($I2599*INDEX(Config!$B:$B,MATCH($C2599,Config!$A:$A,0)),0),0))</f>
        <v/>
      </c>
      <c r="N2599" s="36" t="str">
        <f t="shared" si="2"/>
        <v/>
      </c>
      <c r="O2599" s="36" t="str">
        <f t="shared" si="3"/>
        <v/>
      </c>
      <c r="P2599" s="15"/>
      <c r="Q2599" s="37" t="str">
        <f t="shared" si="4"/>
        <v/>
      </c>
      <c r="R2599" s="37" t="str">
        <f t="shared" si="5"/>
        <v/>
      </c>
      <c r="S2599" s="32" t="str">
        <f t="shared" si="6"/>
        <v/>
      </c>
      <c r="T2599" s="37" t="str">
        <f t="shared" si="7"/>
        <v/>
      </c>
      <c r="U2599" s="37" t="str">
        <f t="array" ref="U2599">IF($F2599="","",IFERROR(INDEX(Config!$F:$F,MATCH($F2599,Config!$D:$D,0)),0))</f>
        <v/>
      </c>
    </row>
    <row r="2600" ht="15.0" customHeight="1">
      <c r="A2600" s="34"/>
      <c r="B2600" s="35"/>
      <c r="C2600" s="15"/>
      <c r="D2600" s="15"/>
      <c r="E2600" s="15"/>
      <c r="F2600" s="15"/>
      <c r="G2600" s="36" t="str">
        <f t="array" ref="G2600">IF($F2600="","",IFERROR(INDEX(Config!$E:$E,MATCH($F2600,Config!$D:$D,0)),0))</f>
        <v/>
      </c>
      <c r="H2600" s="16"/>
      <c r="I2600" s="36" t="str">
        <f t="shared" si="1"/>
        <v/>
      </c>
      <c r="J2600" s="16"/>
      <c r="K2600" s="15"/>
      <c r="L2600" s="15"/>
      <c r="M2600" s="36" t="str">
        <f t="array" ref="M2600">IF($A2600="","",IF($L2600="Atendido",IFERROR($I2600*INDEX(Config!$B:$B,MATCH($C2600,Config!$A:$A,0)),0),0))</f>
        <v/>
      </c>
      <c r="N2600" s="36" t="str">
        <f t="shared" si="2"/>
        <v/>
      </c>
      <c r="O2600" s="36" t="str">
        <f t="shared" si="3"/>
        <v/>
      </c>
      <c r="P2600" s="15"/>
      <c r="Q2600" s="37" t="str">
        <f t="shared" si="4"/>
        <v/>
      </c>
      <c r="R2600" s="37" t="str">
        <f t="shared" si="5"/>
        <v/>
      </c>
      <c r="S2600" s="32" t="str">
        <f t="shared" si="6"/>
        <v/>
      </c>
      <c r="T2600" s="37" t="str">
        <f t="shared" si="7"/>
        <v/>
      </c>
      <c r="U2600" s="37" t="str">
        <f t="array" ref="U2600">IF($F2600="","",IFERROR(INDEX(Config!$F:$F,MATCH($F2600,Config!$D:$D,0)),0))</f>
        <v/>
      </c>
    </row>
    <row r="2601" ht="15.0" customHeight="1">
      <c r="A2601" s="34"/>
      <c r="B2601" s="35"/>
      <c r="C2601" s="15"/>
      <c r="D2601" s="15"/>
      <c r="E2601" s="15"/>
      <c r="F2601" s="15"/>
      <c r="G2601" s="36" t="str">
        <f t="array" ref="G2601">IF($F2601="","",IFERROR(INDEX(Config!$E:$E,MATCH($F2601,Config!$D:$D,0)),0))</f>
        <v/>
      </c>
      <c r="H2601" s="16"/>
      <c r="I2601" s="36" t="str">
        <f t="shared" si="1"/>
        <v/>
      </c>
      <c r="J2601" s="16"/>
      <c r="K2601" s="15"/>
      <c r="L2601" s="15"/>
      <c r="M2601" s="36" t="str">
        <f t="array" ref="M2601">IF($A2601="","",IF($L2601="Atendido",IFERROR($I2601*INDEX(Config!$B:$B,MATCH($C2601,Config!$A:$A,0)),0),0))</f>
        <v/>
      </c>
      <c r="N2601" s="36" t="str">
        <f t="shared" si="2"/>
        <v/>
      </c>
      <c r="O2601" s="36" t="str">
        <f t="shared" si="3"/>
        <v/>
      </c>
      <c r="P2601" s="15"/>
      <c r="Q2601" s="37" t="str">
        <f t="shared" si="4"/>
        <v/>
      </c>
      <c r="R2601" s="37" t="str">
        <f t="shared" si="5"/>
        <v/>
      </c>
      <c r="S2601" s="32" t="str">
        <f t="shared" si="6"/>
        <v/>
      </c>
      <c r="T2601" s="37" t="str">
        <f t="shared" si="7"/>
        <v/>
      </c>
      <c r="U2601" s="37" t="str">
        <f t="array" ref="U2601">IF($F2601="","",IFERROR(INDEX(Config!$F:$F,MATCH($F2601,Config!$D:$D,0)),0))</f>
        <v/>
      </c>
    </row>
    <row r="2602" ht="15.0" customHeight="1">
      <c r="A2602" s="34"/>
      <c r="B2602" s="35"/>
      <c r="C2602" s="15"/>
      <c r="D2602" s="15"/>
      <c r="E2602" s="15"/>
      <c r="F2602" s="15"/>
      <c r="G2602" s="36" t="str">
        <f t="array" ref="G2602">IF($F2602="","",IFERROR(INDEX(Config!$E:$E,MATCH($F2602,Config!$D:$D,0)),0))</f>
        <v/>
      </c>
      <c r="H2602" s="16"/>
      <c r="I2602" s="36" t="str">
        <f t="shared" si="1"/>
        <v/>
      </c>
      <c r="J2602" s="16"/>
      <c r="K2602" s="15"/>
      <c r="L2602" s="15"/>
      <c r="M2602" s="36" t="str">
        <f t="array" ref="M2602">IF($A2602="","",IF($L2602="Atendido",IFERROR($I2602*INDEX(Config!$B:$B,MATCH($C2602,Config!$A:$A,0)),0),0))</f>
        <v/>
      </c>
      <c r="N2602" s="36" t="str">
        <f t="shared" si="2"/>
        <v/>
      </c>
      <c r="O2602" s="36" t="str">
        <f t="shared" si="3"/>
        <v/>
      </c>
      <c r="P2602" s="15"/>
      <c r="Q2602" s="37" t="str">
        <f t="shared" si="4"/>
        <v/>
      </c>
      <c r="R2602" s="37" t="str">
        <f t="shared" si="5"/>
        <v/>
      </c>
      <c r="S2602" s="32" t="str">
        <f t="shared" si="6"/>
        <v/>
      </c>
      <c r="T2602" s="37" t="str">
        <f t="shared" si="7"/>
        <v/>
      </c>
      <c r="U2602" s="37" t="str">
        <f t="array" ref="U2602">IF($F2602="","",IFERROR(INDEX(Config!$F:$F,MATCH($F2602,Config!$D:$D,0)),0))</f>
        <v/>
      </c>
    </row>
    <row r="2603" ht="15.0" customHeight="1">
      <c r="A2603" s="34"/>
      <c r="B2603" s="35"/>
      <c r="C2603" s="15"/>
      <c r="D2603" s="15"/>
      <c r="E2603" s="15"/>
      <c r="F2603" s="15"/>
      <c r="G2603" s="36" t="str">
        <f t="array" ref="G2603">IF($F2603="","",IFERROR(INDEX(Config!$E:$E,MATCH($F2603,Config!$D:$D,0)),0))</f>
        <v/>
      </c>
      <c r="H2603" s="16"/>
      <c r="I2603" s="36" t="str">
        <f t="shared" si="1"/>
        <v/>
      </c>
      <c r="J2603" s="16"/>
      <c r="K2603" s="15"/>
      <c r="L2603" s="15"/>
      <c r="M2603" s="36" t="str">
        <f t="array" ref="M2603">IF($A2603="","",IF($L2603="Atendido",IFERROR($I2603*INDEX(Config!$B:$B,MATCH($C2603,Config!$A:$A,0)),0),0))</f>
        <v/>
      </c>
      <c r="N2603" s="36" t="str">
        <f t="shared" si="2"/>
        <v/>
      </c>
      <c r="O2603" s="36" t="str">
        <f t="shared" si="3"/>
        <v/>
      </c>
      <c r="P2603" s="15"/>
      <c r="Q2603" s="37" t="str">
        <f t="shared" si="4"/>
        <v/>
      </c>
      <c r="R2603" s="37" t="str">
        <f t="shared" si="5"/>
        <v/>
      </c>
      <c r="S2603" s="32" t="str">
        <f t="shared" si="6"/>
        <v/>
      </c>
      <c r="T2603" s="37" t="str">
        <f t="shared" si="7"/>
        <v/>
      </c>
      <c r="U2603" s="37" t="str">
        <f t="array" ref="U2603">IF($F2603="","",IFERROR(INDEX(Config!$F:$F,MATCH($F2603,Config!$D:$D,0)),0))</f>
        <v/>
      </c>
    </row>
    <row r="2604" ht="15.0" customHeight="1">
      <c r="A2604" s="34"/>
      <c r="B2604" s="35"/>
      <c r="C2604" s="15"/>
      <c r="D2604" s="15"/>
      <c r="E2604" s="15"/>
      <c r="F2604" s="15"/>
      <c r="G2604" s="36" t="str">
        <f t="array" ref="G2604">IF($F2604="","",IFERROR(INDEX(Config!$E:$E,MATCH($F2604,Config!$D:$D,0)),0))</f>
        <v/>
      </c>
      <c r="H2604" s="16"/>
      <c r="I2604" s="36" t="str">
        <f t="shared" si="1"/>
        <v/>
      </c>
      <c r="J2604" s="16"/>
      <c r="K2604" s="15"/>
      <c r="L2604" s="15"/>
      <c r="M2604" s="36" t="str">
        <f t="array" ref="M2604">IF($A2604="","",IF($L2604="Atendido",IFERROR($I2604*INDEX(Config!$B:$B,MATCH($C2604,Config!$A:$A,0)),0),0))</f>
        <v/>
      </c>
      <c r="N2604" s="36" t="str">
        <f t="shared" si="2"/>
        <v/>
      </c>
      <c r="O2604" s="36" t="str">
        <f t="shared" si="3"/>
        <v/>
      </c>
      <c r="P2604" s="15"/>
      <c r="Q2604" s="37" t="str">
        <f t="shared" si="4"/>
        <v/>
      </c>
      <c r="R2604" s="37" t="str">
        <f t="shared" si="5"/>
        <v/>
      </c>
      <c r="S2604" s="32" t="str">
        <f t="shared" si="6"/>
        <v/>
      </c>
      <c r="T2604" s="37" t="str">
        <f t="shared" si="7"/>
        <v/>
      </c>
      <c r="U2604" s="37" t="str">
        <f t="array" ref="U2604">IF($F2604="","",IFERROR(INDEX(Config!$F:$F,MATCH($F2604,Config!$D:$D,0)),0))</f>
        <v/>
      </c>
    </row>
    <row r="2605" ht="15.0" customHeight="1">
      <c r="A2605" s="34"/>
      <c r="B2605" s="35"/>
      <c r="C2605" s="15"/>
      <c r="D2605" s="15"/>
      <c r="E2605" s="15"/>
      <c r="F2605" s="15"/>
      <c r="G2605" s="36" t="str">
        <f t="array" ref="G2605">IF($F2605="","",IFERROR(INDEX(Config!$E:$E,MATCH($F2605,Config!$D:$D,0)),0))</f>
        <v/>
      </c>
      <c r="H2605" s="16"/>
      <c r="I2605" s="36" t="str">
        <f t="shared" si="1"/>
        <v/>
      </c>
      <c r="J2605" s="16"/>
      <c r="K2605" s="15"/>
      <c r="L2605" s="15"/>
      <c r="M2605" s="36" t="str">
        <f t="array" ref="M2605">IF($A2605="","",IF($L2605="Atendido",IFERROR($I2605*INDEX(Config!$B:$B,MATCH($C2605,Config!$A:$A,0)),0),0))</f>
        <v/>
      </c>
      <c r="N2605" s="36" t="str">
        <f t="shared" si="2"/>
        <v/>
      </c>
      <c r="O2605" s="36" t="str">
        <f t="shared" si="3"/>
        <v/>
      </c>
      <c r="P2605" s="15"/>
      <c r="Q2605" s="37" t="str">
        <f t="shared" si="4"/>
        <v/>
      </c>
      <c r="R2605" s="37" t="str">
        <f t="shared" si="5"/>
        <v/>
      </c>
      <c r="S2605" s="32" t="str">
        <f t="shared" si="6"/>
        <v/>
      </c>
      <c r="T2605" s="37" t="str">
        <f t="shared" si="7"/>
        <v/>
      </c>
      <c r="U2605" s="37" t="str">
        <f t="array" ref="U2605">IF($F2605="","",IFERROR(INDEX(Config!$F:$F,MATCH($F2605,Config!$D:$D,0)),0))</f>
        <v/>
      </c>
    </row>
    <row r="2606" ht="15.0" customHeight="1">
      <c r="A2606" s="34"/>
      <c r="B2606" s="35"/>
      <c r="C2606" s="15"/>
      <c r="D2606" s="15"/>
      <c r="E2606" s="15"/>
      <c r="F2606" s="15"/>
      <c r="G2606" s="36" t="str">
        <f t="array" ref="G2606">IF($F2606="","",IFERROR(INDEX(Config!$E:$E,MATCH($F2606,Config!$D:$D,0)),0))</f>
        <v/>
      </c>
      <c r="H2606" s="16"/>
      <c r="I2606" s="36" t="str">
        <f t="shared" si="1"/>
        <v/>
      </c>
      <c r="J2606" s="16"/>
      <c r="K2606" s="15"/>
      <c r="L2606" s="15"/>
      <c r="M2606" s="36" t="str">
        <f t="array" ref="M2606">IF($A2606="","",IF($L2606="Atendido",IFERROR($I2606*INDEX(Config!$B:$B,MATCH($C2606,Config!$A:$A,0)),0),0))</f>
        <v/>
      </c>
      <c r="N2606" s="36" t="str">
        <f t="shared" si="2"/>
        <v/>
      </c>
      <c r="O2606" s="36" t="str">
        <f t="shared" si="3"/>
        <v/>
      </c>
      <c r="P2606" s="15"/>
      <c r="Q2606" s="37" t="str">
        <f t="shared" si="4"/>
        <v/>
      </c>
      <c r="R2606" s="37" t="str">
        <f t="shared" si="5"/>
        <v/>
      </c>
      <c r="S2606" s="32" t="str">
        <f t="shared" si="6"/>
        <v/>
      </c>
      <c r="T2606" s="37" t="str">
        <f t="shared" si="7"/>
        <v/>
      </c>
      <c r="U2606" s="37" t="str">
        <f t="array" ref="U2606">IF($F2606="","",IFERROR(INDEX(Config!$F:$F,MATCH($F2606,Config!$D:$D,0)),0))</f>
        <v/>
      </c>
    </row>
    <row r="2607" ht="15.0" customHeight="1">
      <c r="A2607" s="34"/>
      <c r="B2607" s="35"/>
      <c r="C2607" s="15"/>
      <c r="D2607" s="15"/>
      <c r="E2607" s="15"/>
      <c r="F2607" s="15"/>
      <c r="G2607" s="36" t="str">
        <f t="array" ref="G2607">IF($F2607="","",IFERROR(INDEX(Config!$E:$E,MATCH($F2607,Config!$D:$D,0)),0))</f>
        <v/>
      </c>
      <c r="H2607" s="16"/>
      <c r="I2607" s="36" t="str">
        <f t="shared" si="1"/>
        <v/>
      </c>
      <c r="J2607" s="16"/>
      <c r="K2607" s="15"/>
      <c r="L2607" s="15"/>
      <c r="M2607" s="36" t="str">
        <f t="array" ref="M2607">IF($A2607="","",IF($L2607="Atendido",IFERROR($I2607*INDEX(Config!$B:$B,MATCH($C2607,Config!$A:$A,0)),0),0))</f>
        <v/>
      </c>
      <c r="N2607" s="36" t="str">
        <f t="shared" si="2"/>
        <v/>
      </c>
      <c r="O2607" s="36" t="str">
        <f t="shared" si="3"/>
        <v/>
      </c>
      <c r="P2607" s="15"/>
      <c r="Q2607" s="37" t="str">
        <f t="shared" si="4"/>
        <v/>
      </c>
      <c r="R2607" s="37" t="str">
        <f t="shared" si="5"/>
        <v/>
      </c>
      <c r="S2607" s="32" t="str">
        <f t="shared" si="6"/>
        <v/>
      </c>
      <c r="T2607" s="37" t="str">
        <f t="shared" si="7"/>
        <v/>
      </c>
      <c r="U2607" s="37" t="str">
        <f t="array" ref="U2607">IF($F2607="","",IFERROR(INDEX(Config!$F:$F,MATCH($F2607,Config!$D:$D,0)),0))</f>
        <v/>
      </c>
    </row>
    <row r="2608" ht="15.0" customHeight="1">
      <c r="A2608" s="34"/>
      <c r="B2608" s="35"/>
      <c r="C2608" s="15"/>
      <c r="D2608" s="15"/>
      <c r="E2608" s="15"/>
      <c r="F2608" s="15"/>
      <c r="G2608" s="36" t="str">
        <f t="array" ref="G2608">IF($F2608="","",IFERROR(INDEX(Config!$E:$E,MATCH($F2608,Config!$D:$D,0)),0))</f>
        <v/>
      </c>
      <c r="H2608" s="16"/>
      <c r="I2608" s="36" t="str">
        <f t="shared" si="1"/>
        <v/>
      </c>
      <c r="J2608" s="16"/>
      <c r="K2608" s="15"/>
      <c r="L2608" s="15"/>
      <c r="M2608" s="36" t="str">
        <f t="array" ref="M2608">IF($A2608="","",IF($L2608="Atendido",IFERROR($I2608*INDEX(Config!$B:$B,MATCH($C2608,Config!$A:$A,0)),0),0))</f>
        <v/>
      </c>
      <c r="N2608" s="36" t="str">
        <f t="shared" si="2"/>
        <v/>
      </c>
      <c r="O2608" s="36" t="str">
        <f t="shared" si="3"/>
        <v/>
      </c>
      <c r="P2608" s="15"/>
      <c r="Q2608" s="37" t="str">
        <f t="shared" si="4"/>
        <v/>
      </c>
      <c r="R2608" s="37" t="str">
        <f t="shared" si="5"/>
        <v/>
      </c>
      <c r="S2608" s="32" t="str">
        <f t="shared" si="6"/>
        <v/>
      </c>
      <c r="T2608" s="37" t="str">
        <f t="shared" si="7"/>
        <v/>
      </c>
      <c r="U2608" s="37" t="str">
        <f t="array" ref="U2608">IF($F2608="","",IFERROR(INDEX(Config!$F:$F,MATCH($F2608,Config!$D:$D,0)),0))</f>
        <v/>
      </c>
    </row>
    <row r="2609" ht="15.0" customHeight="1">
      <c r="A2609" s="34"/>
      <c r="B2609" s="35"/>
      <c r="C2609" s="15"/>
      <c r="D2609" s="15"/>
      <c r="E2609" s="15"/>
      <c r="F2609" s="15"/>
      <c r="G2609" s="36" t="str">
        <f t="array" ref="G2609">IF($F2609="","",IFERROR(INDEX(Config!$E:$E,MATCH($F2609,Config!$D:$D,0)),0))</f>
        <v/>
      </c>
      <c r="H2609" s="16"/>
      <c r="I2609" s="36" t="str">
        <f t="shared" si="1"/>
        <v/>
      </c>
      <c r="J2609" s="16"/>
      <c r="K2609" s="15"/>
      <c r="L2609" s="15"/>
      <c r="M2609" s="36" t="str">
        <f t="array" ref="M2609">IF($A2609="","",IF($L2609="Atendido",IFERROR($I2609*INDEX(Config!$B:$B,MATCH($C2609,Config!$A:$A,0)),0),0))</f>
        <v/>
      </c>
      <c r="N2609" s="36" t="str">
        <f t="shared" si="2"/>
        <v/>
      </c>
      <c r="O2609" s="36" t="str">
        <f t="shared" si="3"/>
        <v/>
      </c>
      <c r="P2609" s="15"/>
      <c r="Q2609" s="37" t="str">
        <f t="shared" si="4"/>
        <v/>
      </c>
      <c r="R2609" s="37" t="str">
        <f t="shared" si="5"/>
        <v/>
      </c>
      <c r="S2609" s="32" t="str">
        <f t="shared" si="6"/>
        <v/>
      </c>
      <c r="T2609" s="37" t="str">
        <f t="shared" si="7"/>
        <v/>
      </c>
      <c r="U2609" s="37" t="str">
        <f t="array" ref="U2609">IF($F2609="","",IFERROR(INDEX(Config!$F:$F,MATCH($F2609,Config!$D:$D,0)),0))</f>
        <v/>
      </c>
    </row>
    <row r="2610" ht="15.0" customHeight="1">
      <c r="A2610" s="34"/>
      <c r="B2610" s="35"/>
      <c r="C2610" s="15"/>
      <c r="D2610" s="15"/>
      <c r="E2610" s="15"/>
      <c r="F2610" s="15"/>
      <c r="G2610" s="36" t="str">
        <f t="array" ref="G2610">IF($F2610="","",IFERROR(INDEX(Config!$E:$E,MATCH($F2610,Config!$D:$D,0)),0))</f>
        <v/>
      </c>
      <c r="H2610" s="16"/>
      <c r="I2610" s="36" t="str">
        <f t="shared" si="1"/>
        <v/>
      </c>
      <c r="J2610" s="16"/>
      <c r="K2610" s="15"/>
      <c r="L2610" s="15"/>
      <c r="M2610" s="36" t="str">
        <f t="array" ref="M2610">IF($A2610="","",IF($L2610="Atendido",IFERROR($I2610*INDEX(Config!$B:$B,MATCH($C2610,Config!$A:$A,0)),0),0))</f>
        <v/>
      </c>
      <c r="N2610" s="36" t="str">
        <f t="shared" si="2"/>
        <v/>
      </c>
      <c r="O2610" s="36" t="str">
        <f t="shared" si="3"/>
        <v/>
      </c>
      <c r="P2610" s="15"/>
      <c r="Q2610" s="37" t="str">
        <f t="shared" si="4"/>
        <v/>
      </c>
      <c r="R2610" s="37" t="str">
        <f t="shared" si="5"/>
        <v/>
      </c>
      <c r="S2610" s="32" t="str">
        <f t="shared" si="6"/>
        <v/>
      </c>
      <c r="T2610" s="37" t="str">
        <f t="shared" si="7"/>
        <v/>
      </c>
      <c r="U2610" s="37" t="str">
        <f t="array" ref="U2610">IF($F2610="","",IFERROR(INDEX(Config!$F:$F,MATCH($F2610,Config!$D:$D,0)),0))</f>
        <v/>
      </c>
    </row>
    <row r="2611" ht="15.0" customHeight="1">
      <c r="A2611" s="34"/>
      <c r="B2611" s="35"/>
      <c r="C2611" s="15"/>
      <c r="D2611" s="15"/>
      <c r="E2611" s="15"/>
      <c r="F2611" s="15"/>
      <c r="G2611" s="36" t="str">
        <f t="array" ref="G2611">IF($F2611="","",IFERROR(INDEX(Config!$E:$E,MATCH($F2611,Config!$D:$D,0)),0))</f>
        <v/>
      </c>
      <c r="H2611" s="16"/>
      <c r="I2611" s="36" t="str">
        <f t="shared" si="1"/>
        <v/>
      </c>
      <c r="J2611" s="16"/>
      <c r="K2611" s="15"/>
      <c r="L2611" s="15"/>
      <c r="M2611" s="36" t="str">
        <f t="array" ref="M2611">IF($A2611="","",IF($L2611="Atendido",IFERROR($I2611*INDEX(Config!$B:$B,MATCH($C2611,Config!$A:$A,0)),0),0))</f>
        <v/>
      </c>
      <c r="N2611" s="36" t="str">
        <f t="shared" si="2"/>
        <v/>
      </c>
      <c r="O2611" s="36" t="str">
        <f t="shared" si="3"/>
        <v/>
      </c>
      <c r="P2611" s="15"/>
      <c r="Q2611" s="37" t="str">
        <f t="shared" si="4"/>
        <v/>
      </c>
      <c r="R2611" s="37" t="str">
        <f t="shared" si="5"/>
        <v/>
      </c>
      <c r="S2611" s="32" t="str">
        <f t="shared" si="6"/>
        <v/>
      </c>
      <c r="T2611" s="37" t="str">
        <f t="shared" si="7"/>
        <v/>
      </c>
      <c r="U2611" s="37" t="str">
        <f t="array" ref="U2611">IF($F2611="","",IFERROR(INDEX(Config!$F:$F,MATCH($F2611,Config!$D:$D,0)),0))</f>
        <v/>
      </c>
    </row>
    <row r="2612" ht="15.0" customHeight="1">
      <c r="A2612" s="34"/>
      <c r="B2612" s="35"/>
      <c r="C2612" s="15"/>
      <c r="D2612" s="15"/>
      <c r="E2612" s="15"/>
      <c r="F2612" s="15"/>
      <c r="G2612" s="36" t="str">
        <f t="array" ref="G2612">IF($F2612="","",IFERROR(INDEX(Config!$E:$E,MATCH($F2612,Config!$D:$D,0)),0))</f>
        <v/>
      </c>
      <c r="H2612" s="16"/>
      <c r="I2612" s="36" t="str">
        <f t="shared" si="1"/>
        <v/>
      </c>
      <c r="J2612" s="16"/>
      <c r="K2612" s="15"/>
      <c r="L2612" s="15"/>
      <c r="M2612" s="36" t="str">
        <f t="array" ref="M2612">IF($A2612="","",IF($L2612="Atendido",IFERROR($I2612*INDEX(Config!$B:$B,MATCH($C2612,Config!$A:$A,0)),0),0))</f>
        <v/>
      </c>
      <c r="N2612" s="36" t="str">
        <f t="shared" si="2"/>
        <v/>
      </c>
      <c r="O2612" s="36" t="str">
        <f t="shared" si="3"/>
        <v/>
      </c>
      <c r="P2612" s="15"/>
      <c r="Q2612" s="37" t="str">
        <f t="shared" si="4"/>
        <v/>
      </c>
      <c r="R2612" s="37" t="str">
        <f t="shared" si="5"/>
        <v/>
      </c>
      <c r="S2612" s="32" t="str">
        <f t="shared" si="6"/>
        <v/>
      </c>
      <c r="T2612" s="37" t="str">
        <f t="shared" si="7"/>
        <v/>
      </c>
      <c r="U2612" s="37" t="str">
        <f t="array" ref="U2612">IF($F2612="","",IFERROR(INDEX(Config!$F:$F,MATCH($F2612,Config!$D:$D,0)),0))</f>
        <v/>
      </c>
    </row>
    <row r="2613" ht="15.0" customHeight="1">
      <c r="A2613" s="34"/>
      <c r="B2613" s="35"/>
      <c r="C2613" s="15"/>
      <c r="D2613" s="15"/>
      <c r="E2613" s="15"/>
      <c r="F2613" s="15"/>
      <c r="G2613" s="36" t="str">
        <f t="array" ref="G2613">IF($F2613="","",IFERROR(INDEX(Config!$E:$E,MATCH($F2613,Config!$D:$D,0)),0))</f>
        <v/>
      </c>
      <c r="H2613" s="16"/>
      <c r="I2613" s="36" t="str">
        <f t="shared" si="1"/>
        <v/>
      </c>
      <c r="J2613" s="16"/>
      <c r="K2613" s="15"/>
      <c r="L2613" s="15"/>
      <c r="M2613" s="36" t="str">
        <f t="array" ref="M2613">IF($A2613="","",IF($L2613="Atendido",IFERROR($I2613*INDEX(Config!$B:$B,MATCH($C2613,Config!$A:$A,0)),0),0))</f>
        <v/>
      </c>
      <c r="N2613" s="36" t="str">
        <f t="shared" si="2"/>
        <v/>
      </c>
      <c r="O2613" s="36" t="str">
        <f t="shared" si="3"/>
        <v/>
      </c>
      <c r="P2613" s="15"/>
      <c r="Q2613" s="37" t="str">
        <f t="shared" si="4"/>
        <v/>
      </c>
      <c r="R2613" s="37" t="str">
        <f t="shared" si="5"/>
        <v/>
      </c>
      <c r="S2613" s="32" t="str">
        <f t="shared" si="6"/>
        <v/>
      </c>
      <c r="T2613" s="37" t="str">
        <f t="shared" si="7"/>
        <v/>
      </c>
      <c r="U2613" s="37" t="str">
        <f t="array" ref="U2613">IF($F2613="","",IFERROR(INDEX(Config!$F:$F,MATCH($F2613,Config!$D:$D,0)),0))</f>
        <v/>
      </c>
    </row>
    <row r="2614" ht="15.0" customHeight="1">
      <c r="A2614" s="34"/>
      <c r="B2614" s="35"/>
      <c r="C2614" s="15"/>
      <c r="D2614" s="15"/>
      <c r="E2614" s="15"/>
      <c r="F2614" s="15"/>
      <c r="G2614" s="36" t="str">
        <f t="array" ref="G2614">IF($F2614="","",IFERROR(INDEX(Config!$E:$E,MATCH($F2614,Config!$D:$D,0)),0))</f>
        <v/>
      </c>
      <c r="H2614" s="16"/>
      <c r="I2614" s="36" t="str">
        <f t="shared" si="1"/>
        <v/>
      </c>
      <c r="J2614" s="16"/>
      <c r="K2614" s="15"/>
      <c r="L2614" s="15"/>
      <c r="M2614" s="36" t="str">
        <f t="array" ref="M2614">IF($A2614="","",IF($L2614="Atendido",IFERROR($I2614*INDEX(Config!$B:$B,MATCH($C2614,Config!$A:$A,0)),0),0))</f>
        <v/>
      </c>
      <c r="N2614" s="36" t="str">
        <f t="shared" si="2"/>
        <v/>
      </c>
      <c r="O2614" s="36" t="str">
        <f t="shared" si="3"/>
        <v/>
      </c>
      <c r="P2614" s="15"/>
      <c r="Q2614" s="37" t="str">
        <f t="shared" si="4"/>
        <v/>
      </c>
      <c r="R2614" s="37" t="str">
        <f t="shared" si="5"/>
        <v/>
      </c>
      <c r="S2614" s="32" t="str">
        <f t="shared" si="6"/>
        <v/>
      </c>
      <c r="T2614" s="37" t="str">
        <f t="shared" si="7"/>
        <v/>
      </c>
      <c r="U2614" s="37" t="str">
        <f t="array" ref="U2614">IF($F2614="","",IFERROR(INDEX(Config!$F:$F,MATCH($F2614,Config!$D:$D,0)),0))</f>
        <v/>
      </c>
    </row>
    <row r="2615" ht="15.0" customHeight="1">
      <c r="A2615" s="34"/>
      <c r="B2615" s="35"/>
      <c r="C2615" s="15"/>
      <c r="D2615" s="15"/>
      <c r="E2615" s="15"/>
      <c r="F2615" s="15"/>
      <c r="G2615" s="36" t="str">
        <f t="array" ref="G2615">IF($F2615="","",IFERROR(INDEX(Config!$E:$E,MATCH($F2615,Config!$D:$D,0)),0))</f>
        <v/>
      </c>
      <c r="H2615" s="16"/>
      <c r="I2615" s="36" t="str">
        <f t="shared" si="1"/>
        <v/>
      </c>
      <c r="J2615" s="16"/>
      <c r="K2615" s="15"/>
      <c r="L2615" s="15"/>
      <c r="M2615" s="36" t="str">
        <f t="array" ref="M2615">IF($A2615="","",IF($L2615="Atendido",IFERROR($I2615*INDEX(Config!$B:$B,MATCH($C2615,Config!$A:$A,0)),0),0))</f>
        <v/>
      </c>
      <c r="N2615" s="36" t="str">
        <f t="shared" si="2"/>
        <v/>
      </c>
      <c r="O2615" s="36" t="str">
        <f t="shared" si="3"/>
        <v/>
      </c>
      <c r="P2615" s="15"/>
      <c r="Q2615" s="37" t="str">
        <f t="shared" si="4"/>
        <v/>
      </c>
      <c r="R2615" s="37" t="str">
        <f t="shared" si="5"/>
        <v/>
      </c>
      <c r="S2615" s="32" t="str">
        <f t="shared" si="6"/>
        <v/>
      </c>
      <c r="T2615" s="37" t="str">
        <f t="shared" si="7"/>
        <v/>
      </c>
      <c r="U2615" s="37" t="str">
        <f t="array" ref="U2615">IF($F2615="","",IFERROR(INDEX(Config!$F:$F,MATCH($F2615,Config!$D:$D,0)),0))</f>
        <v/>
      </c>
    </row>
    <row r="2616" ht="15.0" customHeight="1">
      <c r="A2616" s="34"/>
      <c r="B2616" s="35"/>
      <c r="C2616" s="15"/>
      <c r="D2616" s="15"/>
      <c r="E2616" s="15"/>
      <c r="F2616" s="15"/>
      <c r="G2616" s="36" t="str">
        <f t="array" ref="G2616">IF($F2616="","",IFERROR(INDEX(Config!$E:$E,MATCH($F2616,Config!$D:$D,0)),0))</f>
        <v/>
      </c>
      <c r="H2616" s="16"/>
      <c r="I2616" s="36" t="str">
        <f t="shared" si="1"/>
        <v/>
      </c>
      <c r="J2616" s="16"/>
      <c r="K2616" s="15"/>
      <c r="L2616" s="15"/>
      <c r="M2616" s="36" t="str">
        <f t="array" ref="M2616">IF($A2616="","",IF($L2616="Atendido",IFERROR($I2616*INDEX(Config!$B:$B,MATCH($C2616,Config!$A:$A,0)),0),0))</f>
        <v/>
      </c>
      <c r="N2616" s="36" t="str">
        <f t="shared" si="2"/>
        <v/>
      </c>
      <c r="O2616" s="36" t="str">
        <f t="shared" si="3"/>
        <v/>
      </c>
      <c r="P2616" s="15"/>
      <c r="Q2616" s="37" t="str">
        <f t="shared" si="4"/>
        <v/>
      </c>
      <c r="R2616" s="37" t="str">
        <f t="shared" si="5"/>
        <v/>
      </c>
      <c r="S2616" s="32" t="str">
        <f t="shared" si="6"/>
        <v/>
      </c>
      <c r="T2616" s="37" t="str">
        <f t="shared" si="7"/>
        <v/>
      </c>
      <c r="U2616" s="37" t="str">
        <f t="array" ref="U2616">IF($F2616="","",IFERROR(INDEX(Config!$F:$F,MATCH($F2616,Config!$D:$D,0)),0))</f>
        <v/>
      </c>
    </row>
    <row r="2617" ht="15.0" customHeight="1">
      <c r="A2617" s="34"/>
      <c r="B2617" s="35"/>
      <c r="C2617" s="15"/>
      <c r="D2617" s="15"/>
      <c r="E2617" s="15"/>
      <c r="F2617" s="15"/>
      <c r="G2617" s="36" t="str">
        <f t="array" ref="G2617">IF($F2617="","",IFERROR(INDEX(Config!$E:$E,MATCH($F2617,Config!$D:$D,0)),0))</f>
        <v/>
      </c>
      <c r="H2617" s="16"/>
      <c r="I2617" s="36" t="str">
        <f t="shared" si="1"/>
        <v/>
      </c>
      <c r="J2617" s="16"/>
      <c r="K2617" s="15"/>
      <c r="L2617" s="15"/>
      <c r="M2617" s="36" t="str">
        <f t="array" ref="M2617">IF($A2617="","",IF($L2617="Atendido",IFERROR($I2617*INDEX(Config!$B:$B,MATCH($C2617,Config!$A:$A,0)),0),0))</f>
        <v/>
      </c>
      <c r="N2617" s="36" t="str">
        <f t="shared" si="2"/>
        <v/>
      </c>
      <c r="O2617" s="36" t="str">
        <f t="shared" si="3"/>
        <v/>
      </c>
      <c r="P2617" s="15"/>
      <c r="Q2617" s="37" t="str">
        <f t="shared" si="4"/>
        <v/>
      </c>
      <c r="R2617" s="37" t="str">
        <f t="shared" si="5"/>
        <v/>
      </c>
      <c r="S2617" s="32" t="str">
        <f t="shared" si="6"/>
        <v/>
      </c>
      <c r="T2617" s="37" t="str">
        <f t="shared" si="7"/>
        <v/>
      </c>
      <c r="U2617" s="37" t="str">
        <f t="array" ref="U2617">IF($F2617="","",IFERROR(INDEX(Config!$F:$F,MATCH($F2617,Config!$D:$D,0)),0))</f>
        <v/>
      </c>
    </row>
    <row r="2618" ht="15.0" customHeight="1">
      <c r="A2618" s="34"/>
      <c r="B2618" s="35"/>
      <c r="C2618" s="15"/>
      <c r="D2618" s="15"/>
      <c r="E2618" s="15"/>
      <c r="F2618" s="15"/>
      <c r="G2618" s="36" t="str">
        <f t="array" ref="G2618">IF($F2618="","",IFERROR(INDEX(Config!$E:$E,MATCH($F2618,Config!$D:$D,0)),0))</f>
        <v/>
      </c>
      <c r="H2618" s="16"/>
      <c r="I2618" s="36" t="str">
        <f t="shared" si="1"/>
        <v/>
      </c>
      <c r="J2618" s="16"/>
      <c r="K2618" s="15"/>
      <c r="L2618" s="15"/>
      <c r="M2618" s="36" t="str">
        <f t="array" ref="M2618">IF($A2618="","",IF($L2618="Atendido",IFERROR($I2618*INDEX(Config!$B:$B,MATCH($C2618,Config!$A:$A,0)),0),0))</f>
        <v/>
      </c>
      <c r="N2618" s="36" t="str">
        <f t="shared" si="2"/>
        <v/>
      </c>
      <c r="O2618" s="36" t="str">
        <f t="shared" si="3"/>
        <v/>
      </c>
      <c r="P2618" s="15"/>
      <c r="Q2618" s="37" t="str">
        <f t="shared" si="4"/>
        <v/>
      </c>
      <c r="R2618" s="37" t="str">
        <f t="shared" si="5"/>
        <v/>
      </c>
      <c r="S2618" s="32" t="str">
        <f t="shared" si="6"/>
        <v/>
      </c>
      <c r="T2618" s="37" t="str">
        <f t="shared" si="7"/>
        <v/>
      </c>
      <c r="U2618" s="37" t="str">
        <f t="array" ref="U2618">IF($F2618="","",IFERROR(INDEX(Config!$F:$F,MATCH($F2618,Config!$D:$D,0)),0))</f>
        <v/>
      </c>
    </row>
    <row r="2619" ht="15.0" customHeight="1">
      <c r="A2619" s="34"/>
      <c r="B2619" s="35"/>
      <c r="C2619" s="15"/>
      <c r="D2619" s="15"/>
      <c r="E2619" s="15"/>
      <c r="F2619" s="15"/>
      <c r="G2619" s="36" t="str">
        <f t="array" ref="G2619">IF($F2619="","",IFERROR(INDEX(Config!$E:$E,MATCH($F2619,Config!$D:$D,0)),0))</f>
        <v/>
      </c>
      <c r="H2619" s="16"/>
      <c r="I2619" s="36" t="str">
        <f t="shared" si="1"/>
        <v/>
      </c>
      <c r="J2619" s="16"/>
      <c r="K2619" s="15"/>
      <c r="L2619" s="15"/>
      <c r="M2619" s="36" t="str">
        <f t="array" ref="M2619">IF($A2619="","",IF($L2619="Atendido",IFERROR($I2619*INDEX(Config!$B:$B,MATCH($C2619,Config!$A:$A,0)),0),0))</f>
        <v/>
      </c>
      <c r="N2619" s="36" t="str">
        <f t="shared" si="2"/>
        <v/>
      </c>
      <c r="O2619" s="36" t="str">
        <f t="shared" si="3"/>
        <v/>
      </c>
      <c r="P2619" s="15"/>
      <c r="Q2619" s="37" t="str">
        <f t="shared" si="4"/>
        <v/>
      </c>
      <c r="R2619" s="37" t="str">
        <f t="shared" si="5"/>
        <v/>
      </c>
      <c r="S2619" s="32" t="str">
        <f t="shared" si="6"/>
        <v/>
      </c>
      <c r="T2619" s="37" t="str">
        <f t="shared" si="7"/>
        <v/>
      </c>
      <c r="U2619" s="37" t="str">
        <f t="array" ref="U2619">IF($F2619="","",IFERROR(INDEX(Config!$F:$F,MATCH($F2619,Config!$D:$D,0)),0))</f>
        <v/>
      </c>
    </row>
    <row r="2620" ht="15.0" customHeight="1">
      <c r="A2620" s="34"/>
      <c r="B2620" s="35"/>
      <c r="C2620" s="15"/>
      <c r="D2620" s="15"/>
      <c r="E2620" s="15"/>
      <c r="F2620" s="15"/>
      <c r="G2620" s="36" t="str">
        <f t="array" ref="G2620">IF($F2620="","",IFERROR(INDEX(Config!$E:$E,MATCH($F2620,Config!$D:$D,0)),0))</f>
        <v/>
      </c>
      <c r="H2620" s="16"/>
      <c r="I2620" s="36" t="str">
        <f t="shared" si="1"/>
        <v/>
      </c>
      <c r="J2620" s="16"/>
      <c r="K2620" s="15"/>
      <c r="L2620" s="15"/>
      <c r="M2620" s="36" t="str">
        <f t="array" ref="M2620">IF($A2620="","",IF($L2620="Atendido",IFERROR($I2620*INDEX(Config!$B:$B,MATCH($C2620,Config!$A:$A,0)),0),0))</f>
        <v/>
      </c>
      <c r="N2620" s="36" t="str">
        <f t="shared" si="2"/>
        <v/>
      </c>
      <c r="O2620" s="36" t="str">
        <f t="shared" si="3"/>
        <v/>
      </c>
      <c r="P2620" s="15"/>
      <c r="Q2620" s="37" t="str">
        <f t="shared" si="4"/>
        <v/>
      </c>
      <c r="R2620" s="37" t="str">
        <f t="shared" si="5"/>
        <v/>
      </c>
      <c r="S2620" s="32" t="str">
        <f t="shared" si="6"/>
        <v/>
      </c>
      <c r="T2620" s="37" t="str">
        <f t="shared" si="7"/>
        <v/>
      </c>
      <c r="U2620" s="37" t="str">
        <f t="array" ref="U2620">IF($F2620="","",IFERROR(INDEX(Config!$F:$F,MATCH($F2620,Config!$D:$D,0)),0))</f>
        <v/>
      </c>
    </row>
    <row r="2621" ht="15.0" customHeight="1">
      <c r="A2621" s="34"/>
      <c r="B2621" s="35"/>
      <c r="C2621" s="15"/>
      <c r="D2621" s="15"/>
      <c r="E2621" s="15"/>
      <c r="F2621" s="15"/>
      <c r="G2621" s="36" t="str">
        <f t="array" ref="G2621">IF($F2621="","",IFERROR(INDEX(Config!$E:$E,MATCH($F2621,Config!$D:$D,0)),0))</f>
        <v/>
      </c>
      <c r="H2621" s="16"/>
      <c r="I2621" s="36" t="str">
        <f t="shared" si="1"/>
        <v/>
      </c>
      <c r="J2621" s="16"/>
      <c r="K2621" s="15"/>
      <c r="L2621" s="15"/>
      <c r="M2621" s="36" t="str">
        <f t="array" ref="M2621">IF($A2621="","",IF($L2621="Atendido",IFERROR($I2621*INDEX(Config!$B:$B,MATCH($C2621,Config!$A:$A,0)),0),0))</f>
        <v/>
      </c>
      <c r="N2621" s="36" t="str">
        <f t="shared" si="2"/>
        <v/>
      </c>
      <c r="O2621" s="36" t="str">
        <f t="shared" si="3"/>
        <v/>
      </c>
      <c r="P2621" s="15"/>
      <c r="Q2621" s="37" t="str">
        <f t="shared" si="4"/>
        <v/>
      </c>
      <c r="R2621" s="37" t="str">
        <f t="shared" si="5"/>
        <v/>
      </c>
      <c r="S2621" s="32" t="str">
        <f t="shared" si="6"/>
        <v/>
      </c>
      <c r="T2621" s="37" t="str">
        <f t="shared" si="7"/>
        <v/>
      </c>
      <c r="U2621" s="37" t="str">
        <f t="array" ref="U2621">IF($F2621="","",IFERROR(INDEX(Config!$F:$F,MATCH($F2621,Config!$D:$D,0)),0))</f>
        <v/>
      </c>
    </row>
    <row r="2622" ht="15.0" customHeight="1">
      <c r="A2622" s="34"/>
      <c r="B2622" s="35"/>
      <c r="C2622" s="15"/>
      <c r="D2622" s="15"/>
      <c r="E2622" s="15"/>
      <c r="F2622" s="15"/>
      <c r="G2622" s="36" t="str">
        <f t="array" ref="G2622">IF($F2622="","",IFERROR(INDEX(Config!$E:$E,MATCH($F2622,Config!$D:$D,0)),0))</f>
        <v/>
      </c>
      <c r="H2622" s="16"/>
      <c r="I2622" s="36" t="str">
        <f t="shared" si="1"/>
        <v/>
      </c>
      <c r="J2622" s="16"/>
      <c r="K2622" s="15"/>
      <c r="L2622" s="15"/>
      <c r="M2622" s="36" t="str">
        <f t="array" ref="M2622">IF($A2622="","",IF($L2622="Atendido",IFERROR($I2622*INDEX(Config!$B:$B,MATCH($C2622,Config!$A:$A,0)),0),0))</f>
        <v/>
      </c>
      <c r="N2622" s="36" t="str">
        <f t="shared" si="2"/>
        <v/>
      </c>
      <c r="O2622" s="36" t="str">
        <f t="shared" si="3"/>
        <v/>
      </c>
      <c r="P2622" s="15"/>
      <c r="Q2622" s="37" t="str">
        <f t="shared" si="4"/>
        <v/>
      </c>
      <c r="R2622" s="37" t="str">
        <f t="shared" si="5"/>
        <v/>
      </c>
      <c r="S2622" s="32" t="str">
        <f t="shared" si="6"/>
        <v/>
      </c>
      <c r="T2622" s="37" t="str">
        <f t="shared" si="7"/>
        <v/>
      </c>
      <c r="U2622" s="37" t="str">
        <f t="array" ref="U2622">IF($F2622="","",IFERROR(INDEX(Config!$F:$F,MATCH($F2622,Config!$D:$D,0)),0))</f>
        <v/>
      </c>
    </row>
    <row r="2623" ht="15.0" customHeight="1">
      <c r="A2623" s="34"/>
      <c r="B2623" s="35"/>
      <c r="C2623" s="15"/>
      <c r="D2623" s="15"/>
      <c r="E2623" s="15"/>
      <c r="F2623" s="15"/>
      <c r="G2623" s="36" t="str">
        <f t="array" ref="G2623">IF($F2623="","",IFERROR(INDEX(Config!$E:$E,MATCH($F2623,Config!$D:$D,0)),0))</f>
        <v/>
      </c>
      <c r="H2623" s="16"/>
      <c r="I2623" s="36" t="str">
        <f t="shared" si="1"/>
        <v/>
      </c>
      <c r="J2623" s="16"/>
      <c r="K2623" s="15"/>
      <c r="L2623" s="15"/>
      <c r="M2623" s="36" t="str">
        <f t="array" ref="M2623">IF($A2623="","",IF($L2623="Atendido",IFERROR($I2623*INDEX(Config!$B:$B,MATCH($C2623,Config!$A:$A,0)),0),0))</f>
        <v/>
      </c>
      <c r="N2623" s="36" t="str">
        <f t="shared" si="2"/>
        <v/>
      </c>
      <c r="O2623" s="36" t="str">
        <f t="shared" si="3"/>
        <v/>
      </c>
      <c r="P2623" s="15"/>
      <c r="Q2623" s="37" t="str">
        <f t="shared" si="4"/>
        <v/>
      </c>
      <c r="R2623" s="37" t="str">
        <f t="shared" si="5"/>
        <v/>
      </c>
      <c r="S2623" s="32" t="str">
        <f t="shared" si="6"/>
        <v/>
      </c>
      <c r="T2623" s="37" t="str">
        <f t="shared" si="7"/>
        <v/>
      </c>
      <c r="U2623" s="37" t="str">
        <f t="array" ref="U2623">IF($F2623="","",IFERROR(INDEX(Config!$F:$F,MATCH($F2623,Config!$D:$D,0)),0))</f>
        <v/>
      </c>
    </row>
    <row r="2624" ht="15.0" customHeight="1">
      <c r="A2624" s="34"/>
      <c r="B2624" s="35"/>
      <c r="C2624" s="15"/>
      <c r="D2624" s="15"/>
      <c r="E2624" s="15"/>
      <c r="F2624" s="15"/>
      <c r="G2624" s="36" t="str">
        <f t="array" ref="G2624">IF($F2624="","",IFERROR(INDEX(Config!$E:$E,MATCH($F2624,Config!$D:$D,0)),0))</f>
        <v/>
      </c>
      <c r="H2624" s="16"/>
      <c r="I2624" s="36" t="str">
        <f t="shared" si="1"/>
        <v/>
      </c>
      <c r="J2624" s="16"/>
      <c r="K2624" s="15"/>
      <c r="L2624" s="15"/>
      <c r="M2624" s="36" t="str">
        <f t="array" ref="M2624">IF($A2624="","",IF($L2624="Atendido",IFERROR($I2624*INDEX(Config!$B:$B,MATCH($C2624,Config!$A:$A,0)),0),0))</f>
        <v/>
      </c>
      <c r="N2624" s="36" t="str">
        <f t="shared" si="2"/>
        <v/>
      </c>
      <c r="O2624" s="36" t="str">
        <f t="shared" si="3"/>
        <v/>
      </c>
      <c r="P2624" s="15"/>
      <c r="Q2624" s="37" t="str">
        <f t="shared" si="4"/>
        <v/>
      </c>
      <c r="R2624" s="37" t="str">
        <f t="shared" si="5"/>
        <v/>
      </c>
      <c r="S2624" s="32" t="str">
        <f t="shared" si="6"/>
        <v/>
      </c>
      <c r="T2624" s="37" t="str">
        <f t="shared" si="7"/>
        <v/>
      </c>
      <c r="U2624" s="37" t="str">
        <f t="array" ref="U2624">IF($F2624="","",IFERROR(INDEX(Config!$F:$F,MATCH($F2624,Config!$D:$D,0)),0))</f>
        <v/>
      </c>
    </row>
    <row r="2625" ht="15.0" customHeight="1">
      <c r="A2625" s="34"/>
      <c r="B2625" s="35"/>
      <c r="C2625" s="15"/>
      <c r="D2625" s="15"/>
      <c r="E2625" s="15"/>
      <c r="F2625" s="15"/>
      <c r="G2625" s="36" t="str">
        <f t="array" ref="G2625">IF($F2625="","",IFERROR(INDEX(Config!$E:$E,MATCH($F2625,Config!$D:$D,0)),0))</f>
        <v/>
      </c>
      <c r="H2625" s="16"/>
      <c r="I2625" s="36" t="str">
        <f t="shared" si="1"/>
        <v/>
      </c>
      <c r="J2625" s="16"/>
      <c r="K2625" s="15"/>
      <c r="L2625" s="15"/>
      <c r="M2625" s="36" t="str">
        <f t="array" ref="M2625">IF($A2625="","",IF($L2625="Atendido",IFERROR($I2625*INDEX(Config!$B:$B,MATCH($C2625,Config!$A:$A,0)),0),0))</f>
        <v/>
      </c>
      <c r="N2625" s="36" t="str">
        <f t="shared" si="2"/>
        <v/>
      </c>
      <c r="O2625" s="36" t="str">
        <f t="shared" si="3"/>
        <v/>
      </c>
      <c r="P2625" s="15"/>
      <c r="Q2625" s="37" t="str">
        <f t="shared" si="4"/>
        <v/>
      </c>
      <c r="R2625" s="37" t="str">
        <f t="shared" si="5"/>
        <v/>
      </c>
      <c r="S2625" s="32" t="str">
        <f t="shared" si="6"/>
        <v/>
      </c>
      <c r="T2625" s="37" t="str">
        <f t="shared" si="7"/>
        <v/>
      </c>
      <c r="U2625" s="37" t="str">
        <f t="array" ref="U2625">IF($F2625="","",IFERROR(INDEX(Config!$F:$F,MATCH($F2625,Config!$D:$D,0)),0))</f>
        <v/>
      </c>
    </row>
    <row r="2626" ht="15.0" customHeight="1">
      <c r="A2626" s="34"/>
      <c r="B2626" s="35"/>
      <c r="C2626" s="15"/>
      <c r="D2626" s="15"/>
      <c r="E2626" s="15"/>
      <c r="F2626" s="15"/>
      <c r="G2626" s="36" t="str">
        <f t="array" ref="G2626">IF($F2626="","",IFERROR(INDEX(Config!$E:$E,MATCH($F2626,Config!$D:$D,0)),0))</f>
        <v/>
      </c>
      <c r="H2626" s="16"/>
      <c r="I2626" s="36" t="str">
        <f t="shared" si="1"/>
        <v/>
      </c>
      <c r="J2626" s="16"/>
      <c r="K2626" s="15"/>
      <c r="L2626" s="15"/>
      <c r="M2626" s="36" t="str">
        <f t="array" ref="M2626">IF($A2626="","",IF($L2626="Atendido",IFERROR($I2626*INDEX(Config!$B:$B,MATCH($C2626,Config!$A:$A,0)),0),0))</f>
        <v/>
      </c>
      <c r="N2626" s="36" t="str">
        <f t="shared" si="2"/>
        <v/>
      </c>
      <c r="O2626" s="36" t="str">
        <f t="shared" si="3"/>
        <v/>
      </c>
      <c r="P2626" s="15"/>
      <c r="Q2626" s="37" t="str">
        <f t="shared" si="4"/>
        <v/>
      </c>
      <c r="R2626" s="37" t="str">
        <f t="shared" si="5"/>
        <v/>
      </c>
      <c r="S2626" s="32" t="str">
        <f t="shared" si="6"/>
        <v/>
      </c>
      <c r="T2626" s="37" t="str">
        <f t="shared" si="7"/>
        <v/>
      </c>
      <c r="U2626" s="37" t="str">
        <f t="array" ref="U2626">IF($F2626="","",IFERROR(INDEX(Config!$F:$F,MATCH($F2626,Config!$D:$D,0)),0))</f>
        <v/>
      </c>
    </row>
    <row r="2627" ht="15.0" customHeight="1">
      <c r="A2627" s="34"/>
      <c r="B2627" s="35"/>
      <c r="C2627" s="15"/>
      <c r="D2627" s="15"/>
      <c r="E2627" s="15"/>
      <c r="F2627" s="15"/>
      <c r="G2627" s="36" t="str">
        <f t="array" ref="G2627">IF($F2627="","",IFERROR(INDEX(Config!$E:$E,MATCH($F2627,Config!$D:$D,0)),0))</f>
        <v/>
      </c>
      <c r="H2627" s="16"/>
      <c r="I2627" s="36" t="str">
        <f t="shared" si="1"/>
        <v/>
      </c>
      <c r="J2627" s="16"/>
      <c r="K2627" s="15"/>
      <c r="L2627" s="15"/>
      <c r="M2627" s="36" t="str">
        <f t="array" ref="M2627">IF($A2627="","",IF($L2627="Atendido",IFERROR($I2627*INDEX(Config!$B:$B,MATCH($C2627,Config!$A:$A,0)),0),0))</f>
        <v/>
      </c>
      <c r="N2627" s="36" t="str">
        <f t="shared" si="2"/>
        <v/>
      </c>
      <c r="O2627" s="36" t="str">
        <f t="shared" si="3"/>
        <v/>
      </c>
      <c r="P2627" s="15"/>
      <c r="Q2627" s="37" t="str">
        <f t="shared" si="4"/>
        <v/>
      </c>
      <c r="R2627" s="37" t="str">
        <f t="shared" si="5"/>
        <v/>
      </c>
      <c r="S2627" s="32" t="str">
        <f t="shared" si="6"/>
        <v/>
      </c>
      <c r="T2627" s="37" t="str">
        <f t="shared" si="7"/>
        <v/>
      </c>
      <c r="U2627" s="37" t="str">
        <f t="array" ref="U2627">IF($F2627="","",IFERROR(INDEX(Config!$F:$F,MATCH($F2627,Config!$D:$D,0)),0))</f>
        <v/>
      </c>
    </row>
    <row r="2628" ht="15.0" customHeight="1">
      <c r="A2628" s="34"/>
      <c r="B2628" s="35"/>
      <c r="C2628" s="15"/>
      <c r="D2628" s="15"/>
      <c r="E2628" s="15"/>
      <c r="F2628" s="15"/>
      <c r="G2628" s="36" t="str">
        <f t="array" ref="G2628">IF($F2628="","",IFERROR(INDEX(Config!$E:$E,MATCH($F2628,Config!$D:$D,0)),0))</f>
        <v/>
      </c>
      <c r="H2628" s="16"/>
      <c r="I2628" s="36" t="str">
        <f t="shared" si="1"/>
        <v/>
      </c>
      <c r="J2628" s="16"/>
      <c r="K2628" s="15"/>
      <c r="L2628" s="15"/>
      <c r="M2628" s="36" t="str">
        <f t="array" ref="M2628">IF($A2628="","",IF($L2628="Atendido",IFERROR($I2628*INDEX(Config!$B:$B,MATCH($C2628,Config!$A:$A,0)),0),0))</f>
        <v/>
      </c>
      <c r="N2628" s="36" t="str">
        <f t="shared" si="2"/>
        <v/>
      </c>
      <c r="O2628" s="36" t="str">
        <f t="shared" si="3"/>
        <v/>
      </c>
      <c r="P2628" s="15"/>
      <c r="Q2628" s="37" t="str">
        <f t="shared" si="4"/>
        <v/>
      </c>
      <c r="R2628" s="37" t="str">
        <f t="shared" si="5"/>
        <v/>
      </c>
      <c r="S2628" s="32" t="str">
        <f t="shared" si="6"/>
        <v/>
      </c>
      <c r="T2628" s="37" t="str">
        <f t="shared" si="7"/>
        <v/>
      </c>
      <c r="U2628" s="37" t="str">
        <f t="array" ref="U2628">IF($F2628="","",IFERROR(INDEX(Config!$F:$F,MATCH($F2628,Config!$D:$D,0)),0))</f>
        <v/>
      </c>
    </row>
    <row r="2629" ht="15.0" customHeight="1">
      <c r="A2629" s="34"/>
      <c r="B2629" s="35"/>
      <c r="C2629" s="15"/>
      <c r="D2629" s="15"/>
      <c r="E2629" s="15"/>
      <c r="F2629" s="15"/>
      <c r="G2629" s="36" t="str">
        <f t="array" ref="G2629">IF($F2629="","",IFERROR(INDEX(Config!$E:$E,MATCH($F2629,Config!$D:$D,0)),0))</f>
        <v/>
      </c>
      <c r="H2629" s="16"/>
      <c r="I2629" s="36" t="str">
        <f t="shared" si="1"/>
        <v/>
      </c>
      <c r="J2629" s="16"/>
      <c r="K2629" s="15"/>
      <c r="L2629" s="15"/>
      <c r="M2629" s="36" t="str">
        <f t="array" ref="M2629">IF($A2629="","",IF($L2629="Atendido",IFERROR($I2629*INDEX(Config!$B:$B,MATCH($C2629,Config!$A:$A,0)),0),0))</f>
        <v/>
      </c>
      <c r="N2629" s="36" t="str">
        <f t="shared" si="2"/>
        <v/>
      </c>
      <c r="O2629" s="36" t="str">
        <f t="shared" si="3"/>
        <v/>
      </c>
      <c r="P2629" s="15"/>
      <c r="Q2629" s="37" t="str">
        <f t="shared" si="4"/>
        <v/>
      </c>
      <c r="R2629" s="37" t="str">
        <f t="shared" si="5"/>
        <v/>
      </c>
      <c r="S2629" s="32" t="str">
        <f t="shared" si="6"/>
        <v/>
      </c>
      <c r="T2629" s="37" t="str">
        <f t="shared" si="7"/>
        <v/>
      </c>
      <c r="U2629" s="37" t="str">
        <f t="array" ref="U2629">IF($F2629="","",IFERROR(INDEX(Config!$F:$F,MATCH($F2629,Config!$D:$D,0)),0))</f>
        <v/>
      </c>
    </row>
    <row r="2630" ht="15.0" customHeight="1">
      <c r="A2630" s="34"/>
      <c r="B2630" s="35"/>
      <c r="C2630" s="15"/>
      <c r="D2630" s="15"/>
      <c r="E2630" s="15"/>
      <c r="F2630" s="15"/>
      <c r="G2630" s="36" t="str">
        <f t="array" ref="G2630">IF($F2630="","",IFERROR(INDEX(Config!$E:$E,MATCH($F2630,Config!$D:$D,0)),0))</f>
        <v/>
      </c>
      <c r="H2630" s="16"/>
      <c r="I2630" s="36" t="str">
        <f t="shared" si="1"/>
        <v/>
      </c>
      <c r="J2630" s="16"/>
      <c r="K2630" s="15"/>
      <c r="L2630" s="15"/>
      <c r="M2630" s="36" t="str">
        <f t="array" ref="M2630">IF($A2630="","",IF($L2630="Atendido",IFERROR($I2630*INDEX(Config!$B:$B,MATCH($C2630,Config!$A:$A,0)),0),0))</f>
        <v/>
      </c>
      <c r="N2630" s="36" t="str">
        <f t="shared" si="2"/>
        <v/>
      </c>
      <c r="O2630" s="36" t="str">
        <f t="shared" si="3"/>
        <v/>
      </c>
      <c r="P2630" s="15"/>
      <c r="Q2630" s="37" t="str">
        <f t="shared" si="4"/>
        <v/>
      </c>
      <c r="R2630" s="37" t="str">
        <f t="shared" si="5"/>
        <v/>
      </c>
      <c r="S2630" s="32" t="str">
        <f t="shared" si="6"/>
        <v/>
      </c>
      <c r="T2630" s="37" t="str">
        <f t="shared" si="7"/>
        <v/>
      </c>
      <c r="U2630" s="37" t="str">
        <f t="array" ref="U2630">IF($F2630="","",IFERROR(INDEX(Config!$F:$F,MATCH($F2630,Config!$D:$D,0)),0))</f>
        <v/>
      </c>
    </row>
    <row r="2631" ht="15.0" customHeight="1">
      <c r="A2631" s="34"/>
      <c r="B2631" s="35"/>
      <c r="C2631" s="15"/>
      <c r="D2631" s="15"/>
      <c r="E2631" s="15"/>
      <c r="F2631" s="15"/>
      <c r="G2631" s="36" t="str">
        <f t="array" ref="G2631">IF($F2631="","",IFERROR(INDEX(Config!$E:$E,MATCH($F2631,Config!$D:$D,0)),0))</f>
        <v/>
      </c>
      <c r="H2631" s="16"/>
      <c r="I2631" s="36" t="str">
        <f t="shared" si="1"/>
        <v/>
      </c>
      <c r="J2631" s="16"/>
      <c r="K2631" s="15"/>
      <c r="L2631" s="15"/>
      <c r="M2631" s="36" t="str">
        <f t="array" ref="M2631">IF($A2631="","",IF($L2631="Atendido",IFERROR($I2631*INDEX(Config!$B:$B,MATCH($C2631,Config!$A:$A,0)),0),0))</f>
        <v/>
      </c>
      <c r="N2631" s="36" t="str">
        <f t="shared" si="2"/>
        <v/>
      </c>
      <c r="O2631" s="36" t="str">
        <f t="shared" si="3"/>
        <v/>
      </c>
      <c r="P2631" s="15"/>
      <c r="Q2631" s="37" t="str">
        <f t="shared" si="4"/>
        <v/>
      </c>
      <c r="R2631" s="37" t="str">
        <f t="shared" si="5"/>
        <v/>
      </c>
      <c r="S2631" s="32" t="str">
        <f t="shared" si="6"/>
        <v/>
      </c>
      <c r="T2631" s="37" t="str">
        <f t="shared" si="7"/>
        <v/>
      </c>
      <c r="U2631" s="37" t="str">
        <f t="array" ref="U2631">IF($F2631="","",IFERROR(INDEX(Config!$F:$F,MATCH($F2631,Config!$D:$D,0)),0))</f>
        <v/>
      </c>
    </row>
    <row r="2632" ht="15.0" customHeight="1">
      <c r="A2632" s="34"/>
      <c r="B2632" s="35"/>
      <c r="C2632" s="15"/>
      <c r="D2632" s="15"/>
      <c r="E2632" s="15"/>
      <c r="F2632" s="15"/>
      <c r="G2632" s="36" t="str">
        <f t="array" ref="G2632">IF($F2632="","",IFERROR(INDEX(Config!$E:$E,MATCH($F2632,Config!$D:$D,0)),0))</f>
        <v/>
      </c>
      <c r="H2632" s="16"/>
      <c r="I2632" s="36" t="str">
        <f t="shared" si="1"/>
        <v/>
      </c>
      <c r="J2632" s="16"/>
      <c r="K2632" s="15"/>
      <c r="L2632" s="15"/>
      <c r="M2632" s="36" t="str">
        <f t="array" ref="M2632">IF($A2632="","",IF($L2632="Atendido",IFERROR($I2632*INDEX(Config!$B:$B,MATCH($C2632,Config!$A:$A,0)),0),0))</f>
        <v/>
      </c>
      <c r="N2632" s="36" t="str">
        <f t="shared" si="2"/>
        <v/>
      </c>
      <c r="O2632" s="36" t="str">
        <f t="shared" si="3"/>
        <v/>
      </c>
      <c r="P2632" s="15"/>
      <c r="Q2632" s="37" t="str">
        <f t="shared" si="4"/>
        <v/>
      </c>
      <c r="R2632" s="37" t="str">
        <f t="shared" si="5"/>
        <v/>
      </c>
      <c r="S2632" s="32" t="str">
        <f t="shared" si="6"/>
        <v/>
      </c>
      <c r="T2632" s="37" t="str">
        <f t="shared" si="7"/>
        <v/>
      </c>
      <c r="U2632" s="37" t="str">
        <f t="array" ref="U2632">IF($F2632="","",IFERROR(INDEX(Config!$F:$F,MATCH($F2632,Config!$D:$D,0)),0))</f>
        <v/>
      </c>
    </row>
    <row r="2633" ht="15.0" customHeight="1">
      <c r="A2633" s="34"/>
      <c r="B2633" s="35"/>
      <c r="C2633" s="15"/>
      <c r="D2633" s="15"/>
      <c r="E2633" s="15"/>
      <c r="F2633" s="15"/>
      <c r="G2633" s="36" t="str">
        <f t="array" ref="G2633">IF($F2633="","",IFERROR(INDEX(Config!$E:$E,MATCH($F2633,Config!$D:$D,0)),0))</f>
        <v/>
      </c>
      <c r="H2633" s="16"/>
      <c r="I2633" s="36" t="str">
        <f t="shared" si="1"/>
        <v/>
      </c>
      <c r="J2633" s="16"/>
      <c r="K2633" s="15"/>
      <c r="L2633" s="15"/>
      <c r="M2633" s="36" t="str">
        <f t="array" ref="M2633">IF($A2633="","",IF($L2633="Atendido",IFERROR($I2633*INDEX(Config!$B:$B,MATCH($C2633,Config!$A:$A,0)),0),0))</f>
        <v/>
      </c>
      <c r="N2633" s="36" t="str">
        <f t="shared" si="2"/>
        <v/>
      </c>
      <c r="O2633" s="36" t="str">
        <f t="shared" si="3"/>
        <v/>
      </c>
      <c r="P2633" s="15"/>
      <c r="Q2633" s="37" t="str">
        <f t="shared" si="4"/>
        <v/>
      </c>
      <c r="R2633" s="37" t="str">
        <f t="shared" si="5"/>
        <v/>
      </c>
      <c r="S2633" s="32" t="str">
        <f t="shared" si="6"/>
        <v/>
      </c>
      <c r="T2633" s="37" t="str">
        <f t="shared" si="7"/>
        <v/>
      </c>
      <c r="U2633" s="37" t="str">
        <f t="array" ref="U2633">IF($F2633="","",IFERROR(INDEX(Config!$F:$F,MATCH($F2633,Config!$D:$D,0)),0))</f>
        <v/>
      </c>
    </row>
    <row r="2634" ht="15.0" customHeight="1">
      <c r="A2634" s="34"/>
      <c r="B2634" s="35"/>
      <c r="C2634" s="15"/>
      <c r="D2634" s="15"/>
      <c r="E2634" s="15"/>
      <c r="F2634" s="15"/>
      <c r="G2634" s="36" t="str">
        <f t="array" ref="G2634">IF($F2634="","",IFERROR(INDEX(Config!$E:$E,MATCH($F2634,Config!$D:$D,0)),0))</f>
        <v/>
      </c>
      <c r="H2634" s="16"/>
      <c r="I2634" s="36" t="str">
        <f t="shared" si="1"/>
        <v/>
      </c>
      <c r="J2634" s="16"/>
      <c r="K2634" s="15"/>
      <c r="L2634" s="15"/>
      <c r="M2634" s="36" t="str">
        <f t="array" ref="M2634">IF($A2634="","",IF($L2634="Atendido",IFERROR($I2634*INDEX(Config!$B:$B,MATCH($C2634,Config!$A:$A,0)),0),0))</f>
        <v/>
      </c>
      <c r="N2634" s="36" t="str">
        <f t="shared" si="2"/>
        <v/>
      </c>
      <c r="O2634" s="36" t="str">
        <f t="shared" si="3"/>
        <v/>
      </c>
      <c r="P2634" s="15"/>
      <c r="Q2634" s="37" t="str">
        <f t="shared" si="4"/>
        <v/>
      </c>
      <c r="R2634" s="37" t="str">
        <f t="shared" si="5"/>
        <v/>
      </c>
      <c r="S2634" s="32" t="str">
        <f t="shared" si="6"/>
        <v/>
      </c>
      <c r="T2634" s="37" t="str">
        <f t="shared" si="7"/>
        <v/>
      </c>
      <c r="U2634" s="37" t="str">
        <f t="array" ref="U2634">IF($F2634="","",IFERROR(INDEX(Config!$F:$F,MATCH($F2634,Config!$D:$D,0)),0))</f>
        <v/>
      </c>
    </row>
    <row r="2635" ht="15.0" customHeight="1">
      <c r="A2635" s="34"/>
      <c r="B2635" s="35"/>
      <c r="C2635" s="15"/>
      <c r="D2635" s="15"/>
      <c r="E2635" s="15"/>
      <c r="F2635" s="15"/>
      <c r="G2635" s="36" t="str">
        <f t="array" ref="G2635">IF($F2635="","",IFERROR(INDEX(Config!$E:$E,MATCH($F2635,Config!$D:$D,0)),0))</f>
        <v/>
      </c>
      <c r="H2635" s="16"/>
      <c r="I2635" s="36" t="str">
        <f t="shared" si="1"/>
        <v/>
      </c>
      <c r="J2635" s="16"/>
      <c r="K2635" s="15"/>
      <c r="L2635" s="15"/>
      <c r="M2635" s="36" t="str">
        <f t="array" ref="M2635">IF($A2635="","",IF($L2635="Atendido",IFERROR($I2635*INDEX(Config!$B:$B,MATCH($C2635,Config!$A:$A,0)),0),0))</f>
        <v/>
      </c>
      <c r="N2635" s="36" t="str">
        <f t="shared" si="2"/>
        <v/>
      </c>
      <c r="O2635" s="36" t="str">
        <f t="shared" si="3"/>
        <v/>
      </c>
      <c r="P2635" s="15"/>
      <c r="Q2635" s="37" t="str">
        <f t="shared" si="4"/>
        <v/>
      </c>
      <c r="R2635" s="37" t="str">
        <f t="shared" si="5"/>
        <v/>
      </c>
      <c r="S2635" s="32" t="str">
        <f t="shared" si="6"/>
        <v/>
      </c>
      <c r="T2635" s="37" t="str">
        <f t="shared" si="7"/>
        <v/>
      </c>
      <c r="U2635" s="37" t="str">
        <f t="array" ref="U2635">IF($F2635="","",IFERROR(INDEX(Config!$F:$F,MATCH($F2635,Config!$D:$D,0)),0))</f>
        <v/>
      </c>
    </row>
    <row r="2636" ht="15.0" customHeight="1">
      <c r="A2636" s="34"/>
      <c r="B2636" s="35"/>
      <c r="C2636" s="15"/>
      <c r="D2636" s="15"/>
      <c r="E2636" s="15"/>
      <c r="F2636" s="15"/>
      <c r="G2636" s="36" t="str">
        <f t="array" ref="G2636">IF($F2636="","",IFERROR(INDEX(Config!$E:$E,MATCH($F2636,Config!$D:$D,0)),0))</f>
        <v/>
      </c>
      <c r="H2636" s="16"/>
      <c r="I2636" s="36" t="str">
        <f t="shared" si="1"/>
        <v/>
      </c>
      <c r="J2636" s="16"/>
      <c r="K2636" s="15"/>
      <c r="L2636" s="15"/>
      <c r="M2636" s="36" t="str">
        <f t="array" ref="M2636">IF($A2636="","",IF($L2636="Atendido",IFERROR($I2636*INDEX(Config!$B:$B,MATCH($C2636,Config!$A:$A,0)),0),0))</f>
        <v/>
      </c>
      <c r="N2636" s="36" t="str">
        <f t="shared" si="2"/>
        <v/>
      </c>
      <c r="O2636" s="36" t="str">
        <f t="shared" si="3"/>
        <v/>
      </c>
      <c r="P2636" s="15"/>
      <c r="Q2636" s="37" t="str">
        <f t="shared" si="4"/>
        <v/>
      </c>
      <c r="R2636" s="37" t="str">
        <f t="shared" si="5"/>
        <v/>
      </c>
      <c r="S2636" s="32" t="str">
        <f t="shared" si="6"/>
        <v/>
      </c>
      <c r="T2636" s="37" t="str">
        <f t="shared" si="7"/>
        <v/>
      </c>
      <c r="U2636" s="37" t="str">
        <f t="array" ref="U2636">IF($F2636="","",IFERROR(INDEX(Config!$F:$F,MATCH($F2636,Config!$D:$D,0)),0))</f>
        <v/>
      </c>
    </row>
    <row r="2637" ht="15.0" customHeight="1">
      <c r="A2637" s="34"/>
      <c r="B2637" s="35"/>
      <c r="C2637" s="15"/>
      <c r="D2637" s="15"/>
      <c r="E2637" s="15"/>
      <c r="F2637" s="15"/>
      <c r="G2637" s="36" t="str">
        <f t="array" ref="G2637">IF($F2637="","",IFERROR(INDEX(Config!$E:$E,MATCH($F2637,Config!$D:$D,0)),0))</f>
        <v/>
      </c>
      <c r="H2637" s="16"/>
      <c r="I2637" s="36" t="str">
        <f t="shared" si="1"/>
        <v/>
      </c>
      <c r="J2637" s="16"/>
      <c r="K2637" s="15"/>
      <c r="L2637" s="15"/>
      <c r="M2637" s="36" t="str">
        <f t="array" ref="M2637">IF($A2637="","",IF($L2637="Atendido",IFERROR($I2637*INDEX(Config!$B:$B,MATCH($C2637,Config!$A:$A,0)),0),0))</f>
        <v/>
      </c>
      <c r="N2637" s="36" t="str">
        <f t="shared" si="2"/>
        <v/>
      </c>
      <c r="O2637" s="36" t="str">
        <f t="shared" si="3"/>
        <v/>
      </c>
      <c r="P2637" s="15"/>
      <c r="Q2637" s="37" t="str">
        <f t="shared" si="4"/>
        <v/>
      </c>
      <c r="R2637" s="37" t="str">
        <f t="shared" si="5"/>
        <v/>
      </c>
      <c r="S2637" s="32" t="str">
        <f t="shared" si="6"/>
        <v/>
      </c>
      <c r="T2637" s="37" t="str">
        <f t="shared" si="7"/>
        <v/>
      </c>
      <c r="U2637" s="37" t="str">
        <f t="array" ref="U2637">IF($F2637="","",IFERROR(INDEX(Config!$F:$F,MATCH($F2637,Config!$D:$D,0)),0))</f>
        <v/>
      </c>
    </row>
    <row r="2638" ht="15.0" customHeight="1">
      <c r="A2638" s="34"/>
      <c r="B2638" s="35"/>
      <c r="C2638" s="15"/>
      <c r="D2638" s="15"/>
      <c r="E2638" s="15"/>
      <c r="F2638" s="15"/>
      <c r="G2638" s="36" t="str">
        <f t="array" ref="G2638">IF($F2638="","",IFERROR(INDEX(Config!$E:$E,MATCH($F2638,Config!$D:$D,0)),0))</f>
        <v/>
      </c>
      <c r="H2638" s="16"/>
      <c r="I2638" s="36" t="str">
        <f t="shared" si="1"/>
        <v/>
      </c>
      <c r="J2638" s="16"/>
      <c r="K2638" s="15"/>
      <c r="L2638" s="15"/>
      <c r="M2638" s="36" t="str">
        <f t="array" ref="M2638">IF($A2638="","",IF($L2638="Atendido",IFERROR($I2638*INDEX(Config!$B:$B,MATCH($C2638,Config!$A:$A,0)),0),0))</f>
        <v/>
      </c>
      <c r="N2638" s="36" t="str">
        <f t="shared" si="2"/>
        <v/>
      </c>
      <c r="O2638" s="36" t="str">
        <f t="shared" si="3"/>
        <v/>
      </c>
      <c r="P2638" s="15"/>
      <c r="Q2638" s="37" t="str">
        <f t="shared" si="4"/>
        <v/>
      </c>
      <c r="R2638" s="37" t="str">
        <f t="shared" si="5"/>
        <v/>
      </c>
      <c r="S2638" s="32" t="str">
        <f t="shared" si="6"/>
        <v/>
      </c>
      <c r="T2638" s="37" t="str">
        <f t="shared" si="7"/>
        <v/>
      </c>
      <c r="U2638" s="37" t="str">
        <f t="array" ref="U2638">IF($F2638="","",IFERROR(INDEX(Config!$F:$F,MATCH($F2638,Config!$D:$D,0)),0))</f>
        <v/>
      </c>
    </row>
    <row r="2639" ht="15.0" customHeight="1">
      <c r="A2639" s="34"/>
      <c r="B2639" s="35"/>
      <c r="C2639" s="15"/>
      <c r="D2639" s="15"/>
      <c r="E2639" s="15"/>
      <c r="F2639" s="15"/>
      <c r="G2639" s="36" t="str">
        <f t="array" ref="G2639">IF($F2639="","",IFERROR(INDEX(Config!$E:$E,MATCH($F2639,Config!$D:$D,0)),0))</f>
        <v/>
      </c>
      <c r="H2639" s="16"/>
      <c r="I2639" s="36" t="str">
        <f t="shared" si="1"/>
        <v/>
      </c>
      <c r="J2639" s="16"/>
      <c r="K2639" s="15"/>
      <c r="L2639" s="15"/>
      <c r="M2639" s="36" t="str">
        <f t="array" ref="M2639">IF($A2639="","",IF($L2639="Atendido",IFERROR($I2639*INDEX(Config!$B:$B,MATCH($C2639,Config!$A:$A,0)),0),0))</f>
        <v/>
      </c>
      <c r="N2639" s="36" t="str">
        <f t="shared" si="2"/>
        <v/>
      </c>
      <c r="O2639" s="36" t="str">
        <f t="shared" si="3"/>
        <v/>
      </c>
      <c r="P2639" s="15"/>
      <c r="Q2639" s="37" t="str">
        <f t="shared" si="4"/>
        <v/>
      </c>
      <c r="R2639" s="37" t="str">
        <f t="shared" si="5"/>
        <v/>
      </c>
      <c r="S2639" s="32" t="str">
        <f t="shared" si="6"/>
        <v/>
      </c>
      <c r="T2639" s="37" t="str">
        <f t="shared" si="7"/>
        <v/>
      </c>
      <c r="U2639" s="37" t="str">
        <f t="array" ref="U2639">IF($F2639="","",IFERROR(INDEX(Config!$F:$F,MATCH($F2639,Config!$D:$D,0)),0))</f>
        <v/>
      </c>
    </row>
    <row r="2640" ht="15.0" customHeight="1">
      <c r="A2640" s="34"/>
      <c r="B2640" s="35"/>
      <c r="C2640" s="15"/>
      <c r="D2640" s="15"/>
      <c r="E2640" s="15"/>
      <c r="F2640" s="15"/>
      <c r="G2640" s="36" t="str">
        <f t="array" ref="G2640">IF($F2640="","",IFERROR(INDEX(Config!$E:$E,MATCH($F2640,Config!$D:$D,0)),0))</f>
        <v/>
      </c>
      <c r="H2640" s="16"/>
      <c r="I2640" s="36" t="str">
        <f t="shared" si="1"/>
        <v/>
      </c>
      <c r="J2640" s="16"/>
      <c r="K2640" s="15"/>
      <c r="L2640" s="15"/>
      <c r="M2640" s="36" t="str">
        <f t="array" ref="M2640">IF($A2640="","",IF($L2640="Atendido",IFERROR($I2640*INDEX(Config!$B:$B,MATCH($C2640,Config!$A:$A,0)),0),0))</f>
        <v/>
      </c>
      <c r="N2640" s="36" t="str">
        <f t="shared" si="2"/>
        <v/>
      </c>
      <c r="O2640" s="36" t="str">
        <f t="shared" si="3"/>
        <v/>
      </c>
      <c r="P2640" s="15"/>
      <c r="Q2640" s="37" t="str">
        <f t="shared" si="4"/>
        <v/>
      </c>
      <c r="R2640" s="37" t="str">
        <f t="shared" si="5"/>
        <v/>
      </c>
      <c r="S2640" s="32" t="str">
        <f t="shared" si="6"/>
        <v/>
      </c>
      <c r="T2640" s="37" t="str">
        <f t="shared" si="7"/>
        <v/>
      </c>
      <c r="U2640" s="37" t="str">
        <f t="array" ref="U2640">IF($F2640="","",IFERROR(INDEX(Config!$F:$F,MATCH($F2640,Config!$D:$D,0)),0))</f>
        <v/>
      </c>
    </row>
    <row r="2641" ht="15.0" customHeight="1">
      <c r="A2641" s="34"/>
      <c r="B2641" s="35"/>
      <c r="C2641" s="15"/>
      <c r="D2641" s="15"/>
      <c r="E2641" s="15"/>
      <c r="F2641" s="15"/>
      <c r="G2641" s="36" t="str">
        <f t="array" ref="G2641">IF($F2641="","",IFERROR(INDEX(Config!$E:$E,MATCH($F2641,Config!$D:$D,0)),0))</f>
        <v/>
      </c>
      <c r="H2641" s="16"/>
      <c r="I2641" s="36" t="str">
        <f t="shared" si="1"/>
        <v/>
      </c>
      <c r="J2641" s="16"/>
      <c r="K2641" s="15"/>
      <c r="L2641" s="15"/>
      <c r="M2641" s="36" t="str">
        <f t="array" ref="M2641">IF($A2641="","",IF($L2641="Atendido",IFERROR($I2641*INDEX(Config!$B:$B,MATCH($C2641,Config!$A:$A,0)),0),0))</f>
        <v/>
      </c>
      <c r="N2641" s="36" t="str">
        <f t="shared" si="2"/>
        <v/>
      </c>
      <c r="O2641" s="36" t="str">
        <f t="shared" si="3"/>
        <v/>
      </c>
      <c r="P2641" s="15"/>
      <c r="Q2641" s="37" t="str">
        <f t="shared" si="4"/>
        <v/>
      </c>
      <c r="R2641" s="37" t="str">
        <f t="shared" si="5"/>
        <v/>
      </c>
      <c r="S2641" s="32" t="str">
        <f t="shared" si="6"/>
        <v/>
      </c>
      <c r="T2641" s="37" t="str">
        <f t="shared" si="7"/>
        <v/>
      </c>
      <c r="U2641" s="37" t="str">
        <f t="array" ref="U2641">IF($F2641="","",IFERROR(INDEX(Config!$F:$F,MATCH($F2641,Config!$D:$D,0)),0))</f>
        <v/>
      </c>
    </row>
    <row r="2642" ht="15.0" customHeight="1">
      <c r="A2642" s="34"/>
      <c r="B2642" s="35"/>
      <c r="C2642" s="15"/>
      <c r="D2642" s="15"/>
      <c r="E2642" s="15"/>
      <c r="F2642" s="15"/>
      <c r="G2642" s="36" t="str">
        <f t="array" ref="G2642">IF($F2642="","",IFERROR(INDEX(Config!$E:$E,MATCH($F2642,Config!$D:$D,0)),0))</f>
        <v/>
      </c>
      <c r="H2642" s="16"/>
      <c r="I2642" s="36" t="str">
        <f t="shared" si="1"/>
        <v/>
      </c>
      <c r="J2642" s="16"/>
      <c r="K2642" s="15"/>
      <c r="L2642" s="15"/>
      <c r="M2642" s="36" t="str">
        <f t="array" ref="M2642">IF($A2642="","",IF($L2642="Atendido",IFERROR($I2642*INDEX(Config!$B:$B,MATCH($C2642,Config!$A:$A,0)),0),0))</f>
        <v/>
      </c>
      <c r="N2642" s="36" t="str">
        <f t="shared" si="2"/>
        <v/>
      </c>
      <c r="O2642" s="36" t="str">
        <f t="shared" si="3"/>
        <v/>
      </c>
      <c r="P2642" s="15"/>
      <c r="Q2642" s="37" t="str">
        <f t="shared" si="4"/>
        <v/>
      </c>
      <c r="R2642" s="37" t="str">
        <f t="shared" si="5"/>
        <v/>
      </c>
      <c r="S2642" s="32" t="str">
        <f t="shared" si="6"/>
        <v/>
      </c>
      <c r="T2642" s="37" t="str">
        <f t="shared" si="7"/>
        <v/>
      </c>
      <c r="U2642" s="37" t="str">
        <f t="array" ref="U2642">IF($F2642="","",IFERROR(INDEX(Config!$F:$F,MATCH($F2642,Config!$D:$D,0)),0))</f>
        <v/>
      </c>
    </row>
    <row r="2643" ht="15.0" customHeight="1">
      <c r="A2643" s="34"/>
      <c r="B2643" s="35"/>
      <c r="C2643" s="15"/>
      <c r="D2643" s="15"/>
      <c r="E2643" s="15"/>
      <c r="F2643" s="15"/>
      <c r="G2643" s="36" t="str">
        <f t="array" ref="G2643">IF($F2643="","",IFERROR(INDEX(Config!$E:$E,MATCH($F2643,Config!$D:$D,0)),0))</f>
        <v/>
      </c>
      <c r="H2643" s="16"/>
      <c r="I2643" s="36" t="str">
        <f t="shared" si="1"/>
        <v/>
      </c>
      <c r="J2643" s="16"/>
      <c r="K2643" s="15"/>
      <c r="L2643" s="15"/>
      <c r="M2643" s="36" t="str">
        <f t="array" ref="M2643">IF($A2643="","",IF($L2643="Atendido",IFERROR($I2643*INDEX(Config!$B:$B,MATCH($C2643,Config!$A:$A,0)),0),0))</f>
        <v/>
      </c>
      <c r="N2643" s="36" t="str">
        <f t="shared" si="2"/>
        <v/>
      </c>
      <c r="O2643" s="36" t="str">
        <f t="shared" si="3"/>
        <v/>
      </c>
      <c r="P2643" s="15"/>
      <c r="Q2643" s="37" t="str">
        <f t="shared" si="4"/>
        <v/>
      </c>
      <c r="R2643" s="37" t="str">
        <f t="shared" si="5"/>
        <v/>
      </c>
      <c r="S2643" s="32" t="str">
        <f t="shared" si="6"/>
        <v/>
      </c>
      <c r="T2643" s="37" t="str">
        <f t="shared" si="7"/>
        <v/>
      </c>
      <c r="U2643" s="37" t="str">
        <f t="array" ref="U2643">IF($F2643="","",IFERROR(INDEX(Config!$F:$F,MATCH($F2643,Config!$D:$D,0)),0))</f>
        <v/>
      </c>
    </row>
    <row r="2644" ht="15.0" customHeight="1">
      <c r="A2644" s="34"/>
      <c r="B2644" s="35"/>
      <c r="C2644" s="15"/>
      <c r="D2644" s="15"/>
      <c r="E2644" s="15"/>
      <c r="F2644" s="15"/>
      <c r="G2644" s="36" t="str">
        <f t="array" ref="G2644">IF($F2644="","",IFERROR(INDEX(Config!$E:$E,MATCH($F2644,Config!$D:$D,0)),0))</f>
        <v/>
      </c>
      <c r="H2644" s="16"/>
      <c r="I2644" s="36" t="str">
        <f t="shared" si="1"/>
        <v/>
      </c>
      <c r="J2644" s="16"/>
      <c r="K2644" s="15"/>
      <c r="L2644" s="15"/>
      <c r="M2644" s="36" t="str">
        <f t="array" ref="M2644">IF($A2644="","",IF($L2644="Atendido",IFERROR($I2644*INDEX(Config!$B:$B,MATCH($C2644,Config!$A:$A,0)),0),0))</f>
        <v/>
      </c>
      <c r="N2644" s="36" t="str">
        <f t="shared" si="2"/>
        <v/>
      </c>
      <c r="O2644" s="36" t="str">
        <f t="shared" si="3"/>
        <v/>
      </c>
      <c r="P2644" s="15"/>
      <c r="Q2644" s="37" t="str">
        <f t="shared" si="4"/>
        <v/>
      </c>
      <c r="R2644" s="37" t="str">
        <f t="shared" si="5"/>
        <v/>
      </c>
      <c r="S2644" s="32" t="str">
        <f t="shared" si="6"/>
        <v/>
      </c>
      <c r="T2644" s="37" t="str">
        <f t="shared" si="7"/>
        <v/>
      </c>
      <c r="U2644" s="37" t="str">
        <f t="array" ref="U2644">IF($F2644="","",IFERROR(INDEX(Config!$F:$F,MATCH($F2644,Config!$D:$D,0)),0))</f>
        <v/>
      </c>
    </row>
    <row r="2645" ht="15.0" customHeight="1">
      <c r="A2645" s="34"/>
      <c r="B2645" s="35"/>
      <c r="C2645" s="15"/>
      <c r="D2645" s="15"/>
      <c r="E2645" s="15"/>
      <c r="F2645" s="15"/>
      <c r="G2645" s="36" t="str">
        <f t="array" ref="G2645">IF($F2645="","",IFERROR(INDEX(Config!$E:$E,MATCH($F2645,Config!$D:$D,0)),0))</f>
        <v/>
      </c>
      <c r="H2645" s="16"/>
      <c r="I2645" s="36" t="str">
        <f t="shared" si="1"/>
        <v/>
      </c>
      <c r="J2645" s="16"/>
      <c r="K2645" s="15"/>
      <c r="L2645" s="15"/>
      <c r="M2645" s="36" t="str">
        <f t="array" ref="M2645">IF($A2645="","",IF($L2645="Atendido",IFERROR($I2645*INDEX(Config!$B:$B,MATCH($C2645,Config!$A:$A,0)),0),0))</f>
        <v/>
      </c>
      <c r="N2645" s="36" t="str">
        <f t="shared" si="2"/>
        <v/>
      </c>
      <c r="O2645" s="36" t="str">
        <f t="shared" si="3"/>
        <v/>
      </c>
      <c r="P2645" s="15"/>
      <c r="Q2645" s="37" t="str">
        <f t="shared" si="4"/>
        <v/>
      </c>
      <c r="R2645" s="37" t="str">
        <f t="shared" si="5"/>
        <v/>
      </c>
      <c r="S2645" s="32" t="str">
        <f t="shared" si="6"/>
        <v/>
      </c>
      <c r="T2645" s="37" t="str">
        <f t="shared" si="7"/>
        <v/>
      </c>
      <c r="U2645" s="37" t="str">
        <f t="array" ref="U2645">IF($F2645="","",IFERROR(INDEX(Config!$F:$F,MATCH($F2645,Config!$D:$D,0)),0))</f>
        <v/>
      </c>
    </row>
    <row r="2646" ht="15.0" customHeight="1">
      <c r="A2646" s="34"/>
      <c r="B2646" s="35"/>
      <c r="C2646" s="15"/>
      <c r="D2646" s="15"/>
      <c r="E2646" s="15"/>
      <c r="F2646" s="15"/>
      <c r="G2646" s="36" t="str">
        <f t="array" ref="G2646">IF($F2646="","",IFERROR(INDEX(Config!$E:$E,MATCH($F2646,Config!$D:$D,0)),0))</f>
        <v/>
      </c>
      <c r="H2646" s="16"/>
      <c r="I2646" s="36" t="str">
        <f t="shared" si="1"/>
        <v/>
      </c>
      <c r="J2646" s="16"/>
      <c r="K2646" s="15"/>
      <c r="L2646" s="15"/>
      <c r="M2646" s="36" t="str">
        <f t="array" ref="M2646">IF($A2646="","",IF($L2646="Atendido",IFERROR($I2646*INDEX(Config!$B:$B,MATCH($C2646,Config!$A:$A,0)),0),0))</f>
        <v/>
      </c>
      <c r="N2646" s="36" t="str">
        <f t="shared" si="2"/>
        <v/>
      </c>
      <c r="O2646" s="36" t="str">
        <f t="shared" si="3"/>
        <v/>
      </c>
      <c r="P2646" s="15"/>
      <c r="Q2646" s="37" t="str">
        <f t="shared" si="4"/>
        <v/>
      </c>
      <c r="R2646" s="37" t="str">
        <f t="shared" si="5"/>
        <v/>
      </c>
      <c r="S2646" s="32" t="str">
        <f t="shared" si="6"/>
        <v/>
      </c>
      <c r="T2646" s="37" t="str">
        <f t="shared" si="7"/>
        <v/>
      </c>
      <c r="U2646" s="37" t="str">
        <f t="array" ref="U2646">IF($F2646="","",IFERROR(INDEX(Config!$F:$F,MATCH($F2646,Config!$D:$D,0)),0))</f>
        <v/>
      </c>
    </row>
    <row r="2647" ht="15.0" customHeight="1">
      <c r="A2647" s="34"/>
      <c r="B2647" s="35"/>
      <c r="C2647" s="15"/>
      <c r="D2647" s="15"/>
      <c r="E2647" s="15"/>
      <c r="F2647" s="15"/>
      <c r="G2647" s="36" t="str">
        <f t="array" ref="G2647">IF($F2647="","",IFERROR(INDEX(Config!$E:$E,MATCH($F2647,Config!$D:$D,0)),0))</f>
        <v/>
      </c>
      <c r="H2647" s="16"/>
      <c r="I2647" s="36" t="str">
        <f t="shared" si="1"/>
        <v/>
      </c>
      <c r="J2647" s="16"/>
      <c r="K2647" s="15"/>
      <c r="L2647" s="15"/>
      <c r="M2647" s="36" t="str">
        <f t="array" ref="M2647">IF($A2647="","",IF($L2647="Atendido",IFERROR($I2647*INDEX(Config!$B:$B,MATCH($C2647,Config!$A:$A,0)),0),0))</f>
        <v/>
      </c>
      <c r="N2647" s="36" t="str">
        <f t="shared" si="2"/>
        <v/>
      </c>
      <c r="O2647" s="36" t="str">
        <f t="shared" si="3"/>
        <v/>
      </c>
      <c r="P2647" s="15"/>
      <c r="Q2647" s="37" t="str">
        <f t="shared" si="4"/>
        <v/>
      </c>
      <c r="R2647" s="37" t="str">
        <f t="shared" si="5"/>
        <v/>
      </c>
      <c r="S2647" s="32" t="str">
        <f t="shared" si="6"/>
        <v/>
      </c>
      <c r="T2647" s="37" t="str">
        <f t="shared" si="7"/>
        <v/>
      </c>
      <c r="U2647" s="37" t="str">
        <f t="array" ref="U2647">IF($F2647="","",IFERROR(INDEX(Config!$F:$F,MATCH($F2647,Config!$D:$D,0)),0))</f>
        <v/>
      </c>
    </row>
    <row r="2648" ht="15.0" customHeight="1">
      <c r="A2648" s="34"/>
      <c r="B2648" s="35"/>
      <c r="C2648" s="15"/>
      <c r="D2648" s="15"/>
      <c r="E2648" s="15"/>
      <c r="F2648" s="15"/>
      <c r="G2648" s="36" t="str">
        <f t="array" ref="G2648">IF($F2648="","",IFERROR(INDEX(Config!$E:$E,MATCH($F2648,Config!$D:$D,0)),0))</f>
        <v/>
      </c>
      <c r="H2648" s="16"/>
      <c r="I2648" s="36" t="str">
        <f t="shared" si="1"/>
        <v/>
      </c>
      <c r="J2648" s="16"/>
      <c r="K2648" s="15"/>
      <c r="L2648" s="15"/>
      <c r="M2648" s="36" t="str">
        <f t="array" ref="M2648">IF($A2648="","",IF($L2648="Atendido",IFERROR($I2648*INDEX(Config!$B:$B,MATCH($C2648,Config!$A:$A,0)),0),0))</f>
        <v/>
      </c>
      <c r="N2648" s="36" t="str">
        <f t="shared" si="2"/>
        <v/>
      </c>
      <c r="O2648" s="36" t="str">
        <f t="shared" si="3"/>
        <v/>
      </c>
      <c r="P2648" s="15"/>
      <c r="Q2648" s="37" t="str">
        <f t="shared" si="4"/>
        <v/>
      </c>
      <c r="R2648" s="37" t="str">
        <f t="shared" si="5"/>
        <v/>
      </c>
      <c r="S2648" s="32" t="str">
        <f t="shared" si="6"/>
        <v/>
      </c>
      <c r="T2648" s="37" t="str">
        <f t="shared" si="7"/>
        <v/>
      </c>
      <c r="U2648" s="37" t="str">
        <f t="array" ref="U2648">IF($F2648="","",IFERROR(INDEX(Config!$F:$F,MATCH($F2648,Config!$D:$D,0)),0))</f>
        <v/>
      </c>
    </row>
    <row r="2649" ht="15.0" customHeight="1">
      <c r="A2649" s="34"/>
      <c r="B2649" s="35"/>
      <c r="C2649" s="15"/>
      <c r="D2649" s="15"/>
      <c r="E2649" s="15"/>
      <c r="F2649" s="15"/>
      <c r="G2649" s="36" t="str">
        <f t="array" ref="G2649">IF($F2649="","",IFERROR(INDEX(Config!$E:$E,MATCH($F2649,Config!$D:$D,0)),0))</f>
        <v/>
      </c>
      <c r="H2649" s="16"/>
      <c r="I2649" s="36" t="str">
        <f t="shared" si="1"/>
        <v/>
      </c>
      <c r="J2649" s="16"/>
      <c r="K2649" s="15"/>
      <c r="L2649" s="15"/>
      <c r="M2649" s="36" t="str">
        <f t="array" ref="M2649">IF($A2649="","",IF($L2649="Atendido",IFERROR($I2649*INDEX(Config!$B:$B,MATCH($C2649,Config!$A:$A,0)),0),0))</f>
        <v/>
      </c>
      <c r="N2649" s="36" t="str">
        <f t="shared" si="2"/>
        <v/>
      </c>
      <c r="O2649" s="36" t="str">
        <f t="shared" si="3"/>
        <v/>
      </c>
      <c r="P2649" s="15"/>
      <c r="Q2649" s="37" t="str">
        <f t="shared" si="4"/>
        <v/>
      </c>
      <c r="R2649" s="37" t="str">
        <f t="shared" si="5"/>
        <v/>
      </c>
      <c r="S2649" s="32" t="str">
        <f t="shared" si="6"/>
        <v/>
      </c>
      <c r="T2649" s="37" t="str">
        <f t="shared" si="7"/>
        <v/>
      </c>
      <c r="U2649" s="37" t="str">
        <f t="array" ref="U2649">IF($F2649="","",IFERROR(INDEX(Config!$F:$F,MATCH($F2649,Config!$D:$D,0)),0))</f>
        <v/>
      </c>
    </row>
    <row r="2650" ht="15.0" customHeight="1">
      <c r="A2650" s="34"/>
      <c r="B2650" s="35"/>
      <c r="C2650" s="15"/>
      <c r="D2650" s="15"/>
      <c r="E2650" s="15"/>
      <c r="F2650" s="15"/>
      <c r="G2650" s="36" t="str">
        <f t="array" ref="G2650">IF($F2650="","",IFERROR(INDEX(Config!$E:$E,MATCH($F2650,Config!$D:$D,0)),0))</f>
        <v/>
      </c>
      <c r="H2650" s="16"/>
      <c r="I2650" s="36" t="str">
        <f t="shared" si="1"/>
        <v/>
      </c>
      <c r="J2650" s="16"/>
      <c r="K2650" s="15"/>
      <c r="L2650" s="15"/>
      <c r="M2650" s="36" t="str">
        <f t="array" ref="M2650">IF($A2650="","",IF($L2650="Atendido",IFERROR($I2650*INDEX(Config!$B:$B,MATCH($C2650,Config!$A:$A,0)),0),0))</f>
        <v/>
      </c>
      <c r="N2650" s="36" t="str">
        <f t="shared" si="2"/>
        <v/>
      </c>
      <c r="O2650" s="36" t="str">
        <f t="shared" si="3"/>
        <v/>
      </c>
      <c r="P2650" s="15"/>
      <c r="Q2650" s="37" t="str">
        <f t="shared" si="4"/>
        <v/>
      </c>
      <c r="R2650" s="37" t="str">
        <f t="shared" si="5"/>
        <v/>
      </c>
      <c r="S2650" s="32" t="str">
        <f t="shared" si="6"/>
        <v/>
      </c>
      <c r="T2650" s="37" t="str">
        <f t="shared" si="7"/>
        <v/>
      </c>
      <c r="U2650" s="37" t="str">
        <f t="array" ref="U2650">IF($F2650="","",IFERROR(INDEX(Config!$F:$F,MATCH($F2650,Config!$D:$D,0)),0))</f>
        <v/>
      </c>
    </row>
    <row r="2651" ht="15.0" customHeight="1">
      <c r="A2651" s="34"/>
      <c r="B2651" s="35"/>
      <c r="C2651" s="15"/>
      <c r="D2651" s="15"/>
      <c r="E2651" s="15"/>
      <c r="F2651" s="15"/>
      <c r="G2651" s="36" t="str">
        <f t="array" ref="G2651">IF($F2651="","",IFERROR(INDEX(Config!$E:$E,MATCH($F2651,Config!$D:$D,0)),0))</f>
        <v/>
      </c>
      <c r="H2651" s="16"/>
      <c r="I2651" s="36" t="str">
        <f t="shared" si="1"/>
        <v/>
      </c>
      <c r="J2651" s="16"/>
      <c r="K2651" s="15"/>
      <c r="L2651" s="15"/>
      <c r="M2651" s="36" t="str">
        <f t="array" ref="M2651">IF($A2651="","",IF($L2651="Atendido",IFERROR($I2651*INDEX(Config!$B:$B,MATCH($C2651,Config!$A:$A,0)),0),0))</f>
        <v/>
      </c>
      <c r="N2651" s="36" t="str">
        <f t="shared" si="2"/>
        <v/>
      </c>
      <c r="O2651" s="36" t="str">
        <f t="shared" si="3"/>
        <v/>
      </c>
      <c r="P2651" s="15"/>
      <c r="Q2651" s="37" t="str">
        <f t="shared" si="4"/>
        <v/>
      </c>
      <c r="R2651" s="37" t="str">
        <f t="shared" si="5"/>
        <v/>
      </c>
      <c r="S2651" s="32" t="str">
        <f t="shared" si="6"/>
        <v/>
      </c>
      <c r="T2651" s="37" t="str">
        <f t="shared" si="7"/>
        <v/>
      </c>
      <c r="U2651" s="37" t="str">
        <f t="array" ref="U2651">IF($F2651="","",IFERROR(INDEX(Config!$F:$F,MATCH($F2651,Config!$D:$D,0)),0))</f>
        <v/>
      </c>
    </row>
    <row r="2652" ht="15.0" customHeight="1">
      <c r="A2652" s="34"/>
      <c r="B2652" s="35"/>
      <c r="C2652" s="15"/>
      <c r="D2652" s="15"/>
      <c r="E2652" s="15"/>
      <c r="F2652" s="15"/>
      <c r="G2652" s="36" t="str">
        <f t="array" ref="G2652">IF($F2652="","",IFERROR(INDEX(Config!$E:$E,MATCH($F2652,Config!$D:$D,0)),0))</f>
        <v/>
      </c>
      <c r="H2652" s="16"/>
      <c r="I2652" s="36" t="str">
        <f t="shared" si="1"/>
        <v/>
      </c>
      <c r="J2652" s="16"/>
      <c r="K2652" s="15"/>
      <c r="L2652" s="15"/>
      <c r="M2652" s="36" t="str">
        <f t="array" ref="M2652">IF($A2652="","",IF($L2652="Atendido",IFERROR($I2652*INDEX(Config!$B:$B,MATCH($C2652,Config!$A:$A,0)),0),0))</f>
        <v/>
      </c>
      <c r="N2652" s="36" t="str">
        <f t="shared" si="2"/>
        <v/>
      </c>
      <c r="O2652" s="36" t="str">
        <f t="shared" si="3"/>
        <v/>
      </c>
      <c r="P2652" s="15"/>
      <c r="Q2652" s="37" t="str">
        <f t="shared" si="4"/>
        <v/>
      </c>
      <c r="R2652" s="37" t="str">
        <f t="shared" si="5"/>
        <v/>
      </c>
      <c r="S2652" s="32" t="str">
        <f t="shared" si="6"/>
        <v/>
      </c>
      <c r="T2652" s="37" t="str">
        <f t="shared" si="7"/>
        <v/>
      </c>
      <c r="U2652" s="37" t="str">
        <f t="array" ref="U2652">IF($F2652="","",IFERROR(INDEX(Config!$F:$F,MATCH($F2652,Config!$D:$D,0)),0))</f>
        <v/>
      </c>
    </row>
    <row r="2653" ht="15.0" customHeight="1">
      <c r="A2653" s="34"/>
      <c r="B2653" s="35"/>
      <c r="C2653" s="15"/>
      <c r="D2653" s="15"/>
      <c r="E2653" s="15"/>
      <c r="F2653" s="15"/>
      <c r="G2653" s="36" t="str">
        <f t="array" ref="G2653">IF($F2653="","",IFERROR(INDEX(Config!$E:$E,MATCH($F2653,Config!$D:$D,0)),0))</f>
        <v/>
      </c>
      <c r="H2653" s="16"/>
      <c r="I2653" s="36" t="str">
        <f t="shared" si="1"/>
        <v/>
      </c>
      <c r="J2653" s="16"/>
      <c r="K2653" s="15"/>
      <c r="L2653" s="15"/>
      <c r="M2653" s="36" t="str">
        <f t="array" ref="M2653">IF($A2653="","",IF($L2653="Atendido",IFERROR($I2653*INDEX(Config!$B:$B,MATCH($C2653,Config!$A:$A,0)),0),0))</f>
        <v/>
      </c>
      <c r="N2653" s="36" t="str">
        <f t="shared" si="2"/>
        <v/>
      </c>
      <c r="O2653" s="36" t="str">
        <f t="shared" si="3"/>
        <v/>
      </c>
      <c r="P2653" s="15"/>
      <c r="Q2653" s="37" t="str">
        <f t="shared" si="4"/>
        <v/>
      </c>
      <c r="R2653" s="37" t="str">
        <f t="shared" si="5"/>
        <v/>
      </c>
      <c r="S2653" s="32" t="str">
        <f t="shared" si="6"/>
        <v/>
      </c>
      <c r="T2653" s="37" t="str">
        <f t="shared" si="7"/>
        <v/>
      </c>
      <c r="U2653" s="37" t="str">
        <f t="array" ref="U2653">IF($F2653="","",IFERROR(INDEX(Config!$F:$F,MATCH($F2653,Config!$D:$D,0)),0))</f>
        <v/>
      </c>
    </row>
    <row r="2654" ht="15.0" customHeight="1">
      <c r="A2654" s="34"/>
      <c r="B2654" s="35"/>
      <c r="C2654" s="15"/>
      <c r="D2654" s="15"/>
      <c r="E2654" s="15"/>
      <c r="F2654" s="15"/>
      <c r="G2654" s="36" t="str">
        <f t="array" ref="G2654">IF($F2654="","",IFERROR(INDEX(Config!$E:$E,MATCH($F2654,Config!$D:$D,0)),0))</f>
        <v/>
      </c>
      <c r="H2654" s="16"/>
      <c r="I2654" s="36" t="str">
        <f t="shared" si="1"/>
        <v/>
      </c>
      <c r="J2654" s="16"/>
      <c r="K2654" s="15"/>
      <c r="L2654" s="15"/>
      <c r="M2654" s="36" t="str">
        <f t="array" ref="M2654">IF($A2654="","",IF($L2654="Atendido",IFERROR($I2654*INDEX(Config!$B:$B,MATCH($C2654,Config!$A:$A,0)),0),0))</f>
        <v/>
      </c>
      <c r="N2654" s="36" t="str">
        <f t="shared" si="2"/>
        <v/>
      </c>
      <c r="O2654" s="36" t="str">
        <f t="shared" si="3"/>
        <v/>
      </c>
      <c r="P2654" s="15"/>
      <c r="Q2654" s="37" t="str">
        <f t="shared" si="4"/>
        <v/>
      </c>
      <c r="R2654" s="37" t="str">
        <f t="shared" si="5"/>
        <v/>
      </c>
      <c r="S2654" s="32" t="str">
        <f t="shared" si="6"/>
        <v/>
      </c>
      <c r="T2654" s="37" t="str">
        <f t="shared" si="7"/>
        <v/>
      </c>
      <c r="U2654" s="37" t="str">
        <f t="array" ref="U2654">IF($F2654="","",IFERROR(INDEX(Config!$F:$F,MATCH($F2654,Config!$D:$D,0)),0))</f>
        <v/>
      </c>
    </row>
    <row r="2655" ht="15.0" customHeight="1">
      <c r="A2655" s="34"/>
      <c r="B2655" s="35"/>
      <c r="C2655" s="15"/>
      <c r="D2655" s="15"/>
      <c r="E2655" s="15"/>
      <c r="F2655" s="15"/>
      <c r="G2655" s="36" t="str">
        <f t="array" ref="G2655">IF($F2655="","",IFERROR(INDEX(Config!$E:$E,MATCH($F2655,Config!$D:$D,0)),0))</f>
        <v/>
      </c>
      <c r="H2655" s="16"/>
      <c r="I2655" s="36" t="str">
        <f t="shared" si="1"/>
        <v/>
      </c>
      <c r="J2655" s="16"/>
      <c r="K2655" s="15"/>
      <c r="L2655" s="15"/>
      <c r="M2655" s="36" t="str">
        <f t="array" ref="M2655">IF($A2655="","",IF($L2655="Atendido",IFERROR($I2655*INDEX(Config!$B:$B,MATCH($C2655,Config!$A:$A,0)),0),0))</f>
        <v/>
      </c>
      <c r="N2655" s="36" t="str">
        <f t="shared" si="2"/>
        <v/>
      </c>
      <c r="O2655" s="36" t="str">
        <f t="shared" si="3"/>
        <v/>
      </c>
      <c r="P2655" s="15"/>
      <c r="Q2655" s="37" t="str">
        <f t="shared" si="4"/>
        <v/>
      </c>
      <c r="R2655" s="37" t="str">
        <f t="shared" si="5"/>
        <v/>
      </c>
      <c r="S2655" s="32" t="str">
        <f t="shared" si="6"/>
        <v/>
      </c>
      <c r="T2655" s="37" t="str">
        <f t="shared" si="7"/>
        <v/>
      </c>
      <c r="U2655" s="37" t="str">
        <f t="array" ref="U2655">IF($F2655="","",IFERROR(INDEX(Config!$F:$F,MATCH($F2655,Config!$D:$D,0)),0))</f>
        <v/>
      </c>
    </row>
    <row r="2656" ht="15.0" customHeight="1">
      <c r="A2656" s="34"/>
      <c r="B2656" s="35"/>
      <c r="C2656" s="15"/>
      <c r="D2656" s="15"/>
      <c r="E2656" s="15"/>
      <c r="F2656" s="15"/>
      <c r="G2656" s="36" t="str">
        <f t="array" ref="G2656">IF($F2656="","",IFERROR(INDEX(Config!$E:$E,MATCH($F2656,Config!$D:$D,0)),0))</f>
        <v/>
      </c>
      <c r="H2656" s="16"/>
      <c r="I2656" s="36" t="str">
        <f t="shared" si="1"/>
        <v/>
      </c>
      <c r="J2656" s="16"/>
      <c r="K2656" s="15"/>
      <c r="L2656" s="15"/>
      <c r="M2656" s="36" t="str">
        <f t="array" ref="M2656">IF($A2656="","",IF($L2656="Atendido",IFERROR($I2656*INDEX(Config!$B:$B,MATCH($C2656,Config!$A:$A,0)),0),0))</f>
        <v/>
      </c>
      <c r="N2656" s="36" t="str">
        <f t="shared" si="2"/>
        <v/>
      </c>
      <c r="O2656" s="36" t="str">
        <f t="shared" si="3"/>
        <v/>
      </c>
      <c r="P2656" s="15"/>
      <c r="Q2656" s="37" t="str">
        <f t="shared" si="4"/>
        <v/>
      </c>
      <c r="R2656" s="37" t="str">
        <f t="shared" si="5"/>
        <v/>
      </c>
      <c r="S2656" s="32" t="str">
        <f t="shared" si="6"/>
        <v/>
      </c>
      <c r="T2656" s="37" t="str">
        <f t="shared" si="7"/>
        <v/>
      </c>
      <c r="U2656" s="37" t="str">
        <f t="array" ref="U2656">IF($F2656="","",IFERROR(INDEX(Config!$F:$F,MATCH($F2656,Config!$D:$D,0)),0))</f>
        <v/>
      </c>
    </row>
    <row r="2657" ht="15.0" customHeight="1">
      <c r="A2657" s="34"/>
      <c r="B2657" s="35"/>
      <c r="C2657" s="15"/>
      <c r="D2657" s="15"/>
      <c r="E2657" s="15"/>
      <c r="F2657" s="15"/>
      <c r="G2657" s="36" t="str">
        <f t="array" ref="G2657">IF($F2657="","",IFERROR(INDEX(Config!$E:$E,MATCH($F2657,Config!$D:$D,0)),0))</f>
        <v/>
      </c>
      <c r="H2657" s="16"/>
      <c r="I2657" s="36" t="str">
        <f t="shared" si="1"/>
        <v/>
      </c>
      <c r="J2657" s="16"/>
      <c r="K2657" s="15"/>
      <c r="L2657" s="15"/>
      <c r="M2657" s="36" t="str">
        <f t="array" ref="M2657">IF($A2657="","",IF($L2657="Atendido",IFERROR($I2657*INDEX(Config!$B:$B,MATCH($C2657,Config!$A:$A,0)),0),0))</f>
        <v/>
      </c>
      <c r="N2657" s="36" t="str">
        <f t="shared" si="2"/>
        <v/>
      </c>
      <c r="O2657" s="36" t="str">
        <f t="shared" si="3"/>
        <v/>
      </c>
      <c r="P2657" s="15"/>
      <c r="Q2657" s="37" t="str">
        <f t="shared" si="4"/>
        <v/>
      </c>
      <c r="R2657" s="37" t="str">
        <f t="shared" si="5"/>
        <v/>
      </c>
      <c r="S2657" s="32" t="str">
        <f t="shared" si="6"/>
        <v/>
      </c>
      <c r="T2657" s="37" t="str">
        <f t="shared" si="7"/>
        <v/>
      </c>
      <c r="U2657" s="37" t="str">
        <f t="array" ref="U2657">IF($F2657="","",IFERROR(INDEX(Config!$F:$F,MATCH($F2657,Config!$D:$D,0)),0))</f>
        <v/>
      </c>
    </row>
    <row r="2658" ht="15.0" customHeight="1">
      <c r="A2658" s="34"/>
      <c r="B2658" s="35"/>
      <c r="C2658" s="15"/>
      <c r="D2658" s="15"/>
      <c r="E2658" s="15"/>
      <c r="F2658" s="15"/>
      <c r="G2658" s="36" t="str">
        <f t="array" ref="G2658">IF($F2658="","",IFERROR(INDEX(Config!$E:$E,MATCH($F2658,Config!$D:$D,0)),0))</f>
        <v/>
      </c>
      <c r="H2658" s="16"/>
      <c r="I2658" s="36" t="str">
        <f t="shared" si="1"/>
        <v/>
      </c>
      <c r="J2658" s="16"/>
      <c r="K2658" s="15"/>
      <c r="L2658" s="15"/>
      <c r="M2658" s="36" t="str">
        <f t="array" ref="M2658">IF($A2658="","",IF($L2658="Atendido",IFERROR($I2658*INDEX(Config!$B:$B,MATCH($C2658,Config!$A:$A,0)),0),0))</f>
        <v/>
      </c>
      <c r="N2658" s="36" t="str">
        <f t="shared" si="2"/>
        <v/>
      </c>
      <c r="O2658" s="36" t="str">
        <f t="shared" si="3"/>
        <v/>
      </c>
      <c r="P2658" s="15"/>
      <c r="Q2658" s="37" t="str">
        <f t="shared" si="4"/>
        <v/>
      </c>
      <c r="R2658" s="37" t="str">
        <f t="shared" si="5"/>
        <v/>
      </c>
      <c r="S2658" s="32" t="str">
        <f t="shared" si="6"/>
        <v/>
      </c>
      <c r="T2658" s="37" t="str">
        <f t="shared" si="7"/>
        <v/>
      </c>
      <c r="U2658" s="37" t="str">
        <f t="array" ref="U2658">IF($F2658="","",IFERROR(INDEX(Config!$F:$F,MATCH($F2658,Config!$D:$D,0)),0))</f>
        <v/>
      </c>
    </row>
    <row r="2659" ht="15.0" customHeight="1">
      <c r="A2659" s="34"/>
      <c r="B2659" s="35"/>
      <c r="C2659" s="15"/>
      <c r="D2659" s="15"/>
      <c r="E2659" s="15"/>
      <c r="F2659" s="15"/>
      <c r="G2659" s="36" t="str">
        <f t="array" ref="G2659">IF($F2659="","",IFERROR(INDEX(Config!$E:$E,MATCH($F2659,Config!$D:$D,0)),0))</f>
        <v/>
      </c>
      <c r="H2659" s="16"/>
      <c r="I2659" s="36" t="str">
        <f t="shared" si="1"/>
        <v/>
      </c>
      <c r="J2659" s="16"/>
      <c r="K2659" s="15"/>
      <c r="L2659" s="15"/>
      <c r="M2659" s="36" t="str">
        <f t="array" ref="M2659">IF($A2659="","",IF($L2659="Atendido",IFERROR($I2659*INDEX(Config!$B:$B,MATCH($C2659,Config!$A:$A,0)),0),0))</f>
        <v/>
      </c>
      <c r="N2659" s="36" t="str">
        <f t="shared" si="2"/>
        <v/>
      </c>
      <c r="O2659" s="36" t="str">
        <f t="shared" si="3"/>
        <v/>
      </c>
      <c r="P2659" s="15"/>
      <c r="Q2659" s="37" t="str">
        <f t="shared" si="4"/>
        <v/>
      </c>
      <c r="R2659" s="37" t="str">
        <f t="shared" si="5"/>
        <v/>
      </c>
      <c r="S2659" s="32" t="str">
        <f t="shared" si="6"/>
        <v/>
      </c>
      <c r="T2659" s="37" t="str">
        <f t="shared" si="7"/>
        <v/>
      </c>
      <c r="U2659" s="37" t="str">
        <f t="array" ref="U2659">IF($F2659="","",IFERROR(INDEX(Config!$F:$F,MATCH($F2659,Config!$D:$D,0)),0))</f>
        <v/>
      </c>
    </row>
    <row r="2660" ht="15.0" customHeight="1">
      <c r="A2660" s="34"/>
      <c r="B2660" s="35"/>
      <c r="C2660" s="15"/>
      <c r="D2660" s="15"/>
      <c r="E2660" s="15"/>
      <c r="F2660" s="15"/>
      <c r="G2660" s="36" t="str">
        <f t="array" ref="G2660">IF($F2660="","",IFERROR(INDEX(Config!$E:$E,MATCH($F2660,Config!$D:$D,0)),0))</f>
        <v/>
      </c>
      <c r="H2660" s="16"/>
      <c r="I2660" s="36" t="str">
        <f t="shared" si="1"/>
        <v/>
      </c>
      <c r="J2660" s="16"/>
      <c r="K2660" s="15"/>
      <c r="L2660" s="15"/>
      <c r="M2660" s="36" t="str">
        <f t="array" ref="M2660">IF($A2660="","",IF($L2660="Atendido",IFERROR($I2660*INDEX(Config!$B:$B,MATCH($C2660,Config!$A:$A,0)),0),0))</f>
        <v/>
      </c>
      <c r="N2660" s="36" t="str">
        <f t="shared" si="2"/>
        <v/>
      </c>
      <c r="O2660" s="36" t="str">
        <f t="shared" si="3"/>
        <v/>
      </c>
      <c r="P2660" s="15"/>
      <c r="Q2660" s="37" t="str">
        <f t="shared" si="4"/>
        <v/>
      </c>
      <c r="R2660" s="37" t="str">
        <f t="shared" si="5"/>
        <v/>
      </c>
      <c r="S2660" s="32" t="str">
        <f t="shared" si="6"/>
        <v/>
      </c>
      <c r="T2660" s="37" t="str">
        <f t="shared" si="7"/>
        <v/>
      </c>
      <c r="U2660" s="37" t="str">
        <f t="array" ref="U2660">IF($F2660="","",IFERROR(INDEX(Config!$F:$F,MATCH($F2660,Config!$D:$D,0)),0))</f>
        <v/>
      </c>
    </row>
    <row r="2661" ht="15.0" customHeight="1">
      <c r="A2661" s="34"/>
      <c r="B2661" s="35"/>
      <c r="C2661" s="15"/>
      <c r="D2661" s="15"/>
      <c r="E2661" s="15"/>
      <c r="F2661" s="15"/>
      <c r="G2661" s="36" t="str">
        <f t="array" ref="G2661">IF($F2661="","",IFERROR(INDEX(Config!$E:$E,MATCH($F2661,Config!$D:$D,0)),0))</f>
        <v/>
      </c>
      <c r="H2661" s="16"/>
      <c r="I2661" s="36" t="str">
        <f t="shared" si="1"/>
        <v/>
      </c>
      <c r="J2661" s="16"/>
      <c r="K2661" s="15"/>
      <c r="L2661" s="15"/>
      <c r="M2661" s="36" t="str">
        <f t="array" ref="M2661">IF($A2661="","",IF($L2661="Atendido",IFERROR($I2661*INDEX(Config!$B:$B,MATCH($C2661,Config!$A:$A,0)),0),0))</f>
        <v/>
      </c>
      <c r="N2661" s="36" t="str">
        <f t="shared" si="2"/>
        <v/>
      </c>
      <c r="O2661" s="36" t="str">
        <f t="shared" si="3"/>
        <v/>
      </c>
      <c r="P2661" s="15"/>
      <c r="Q2661" s="37" t="str">
        <f t="shared" si="4"/>
        <v/>
      </c>
      <c r="R2661" s="37" t="str">
        <f t="shared" si="5"/>
        <v/>
      </c>
      <c r="S2661" s="32" t="str">
        <f t="shared" si="6"/>
        <v/>
      </c>
      <c r="T2661" s="37" t="str">
        <f t="shared" si="7"/>
        <v/>
      </c>
      <c r="U2661" s="37" t="str">
        <f t="array" ref="U2661">IF($F2661="","",IFERROR(INDEX(Config!$F:$F,MATCH($F2661,Config!$D:$D,0)),0))</f>
        <v/>
      </c>
    </row>
    <row r="2662" ht="15.0" customHeight="1">
      <c r="A2662" s="34"/>
      <c r="B2662" s="35"/>
      <c r="C2662" s="15"/>
      <c r="D2662" s="15"/>
      <c r="E2662" s="15"/>
      <c r="F2662" s="15"/>
      <c r="G2662" s="36" t="str">
        <f t="array" ref="G2662">IF($F2662="","",IFERROR(INDEX(Config!$E:$E,MATCH($F2662,Config!$D:$D,0)),0))</f>
        <v/>
      </c>
      <c r="H2662" s="16"/>
      <c r="I2662" s="36" t="str">
        <f t="shared" si="1"/>
        <v/>
      </c>
      <c r="J2662" s="16"/>
      <c r="K2662" s="15"/>
      <c r="L2662" s="15"/>
      <c r="M2662" s="36" t="str">
        <f t="array" ref="M2662">IF($A2662="","",IF($L2662="Atendido",IFERROR($I2662*INDEX(Config!$B:$B,MATCH($C2662,Config!$A:$A,0)),0),0))</f>
        <v/>
      </c>
      <c r="N2662" s="36" t="str">
        <f t="shared" si="2"/>
        <v/>
      </c>
      <c r="O2662" s="36" t="str">
        <f t="shared" si="3"/>
        <v/>
      </c>
      <c r="P2662" s="15"/>
      <c r="Q2662" s="37" t="str">
        <f t="shared" si="4"/>
        <v/>
      </c>
      <c r="R2662" s="37" t="str">
        <f t="shared" si="5"/>
        <v/>
      </c>
      <c r="S2662" s="32" t="str">
        <f t="shared" si="6"/>
        <v/>
      </c>
      <c r="T2662" s="37" t="str">
        <f t="shared" si="7"/>
        <v/>
      </c>
      <c r="U2662" s="37" t="str">
        <f t="array" ref="U2662">IF($F2662="","",IFERROR(INDEX(Config!$F:$F,MATCH($F2662,Config!$D:$D,0)),0))</f>
        <v/>
      </c>
    </row>
    <row r="2663" ht="15.0" customHeight="1">
      <c r="A2663" s="34"/>
      <c r="B2663" s="35"/>
      <c r="C2663" s="15"/>
      <c r="D2663" s="15"/>
      <c r="E2663" s="15"/>
      <c r="F2663" s="15"/>
      <c r="G2663" s="36" t="str">
        <f t="array" ref="G2663">IF($F2663="","",IFERROR(INDEX(Config!$E:$E,MATCH($F2663,Config!$D:$D,0)),0))</f>
        <v/>
      </c>
      <c r="H2663" s="16"/>
      <c r="I2663" s="36" t="str">
        <f t="shared" si="1"/>
        <v/>
      </c>
      <c r="J2663" s="16"/>
      <c r="K2663" s="15"/>
      <c r="L2663" s="15"/>
      <c r="M2663" s="36" t="str">
        <f t="array" ref="M2663">IF($A2663="","",IF($L2663="Atendido",IFERROR($I2663*INDEX(Config!$B:$B,MATCH($C2663,Config!$A:$A,0)),0),0))</f>
        <v/>
      </c>
      <c r="N2663" s="36" t="str">
        <f t="shared" si="2"/>
        <v/>
      </c>
      <c r="O2663" s="36" t="str">
        <f t="shared" si="3"/>
        <v/>
      </c>
      <c r="P2663" s="15"/>
      <c r="Q2663" s="37" t="str">
        <f t="shared" si="4"/>
        <v/>
      </c>
      <c r="R2663" s="37" t="str">
        <f t="shared" si="5"/>
        <v/>
      </c>
      <c r="S2663" s="32" t="str">
        <f t="shared" si="6"/>
        <v/>
      </c>
      <c r="T2663" s="37" t="str">
        <f t="shared" si="7"/>
        <v/>
      </c>
      <c r="U2663" s="37" t="str">
        <f t="array" ref="U2663">IF($F2663="","",IFERROR(INDEX(Config!$F:$F,MATCH($F2663,Config!$D:$D,0)),0))</f>
        <v/>
      </c>
    </row>
    <row r="2664" ht="15.0" customHeight="1">
      <c r="A2664" s="34"/>
      <c r="B2664" s="35"/>
      <c r="C2664" s="15"/>
      <c r="D2664" s="15"/>
      <c r="E2664" s="15"/>
      <c r="F2664" s="15"/>
      <c r="G2664" s="36" t="str">
        <f t="array" ref="G2664">IF($F2664="","",IFERROR(INDEX(Config!$E:$E,MATCH($F2664,Config!$D:$D,0)),0))</f>
        <v/>
      </c>
      <c r="H2664" s="16"/>
      <c r="I2664" s="36" t="str">
        <f t="shared" si="1"/>
        <v/>
      </c>
      <c r="J2664" s="16"/>
      <c r="K2664" s="15"/>
      <c r="L2664" s="15"/>
      <c r="M2664" s="36" t="str">
        <f t="array" ref="M2664">IF($A2664="","",IF($L2664="Atendido",IFERROR($I2664*INDEX(Config!$B:$B,MATCH($C2664,Config!$A:$A,0)),0),0))</f>
        <v/>
      </c>
      <c r="N2664" s="36" t="str">
        <f t="shared" si="2"/>
        <v/>
      </c>
      <c r="O2664" s="36" t="str">
        <f t="shared" si="3"/>
        <v/>
      </c>
      <c r="P2664" s="15"/>
      <c r="Q2664" s="37" t="str">
        <f t="shared" si="4"/>
        <v/>
      </c>
      <c r="R2664" s="37" t="str">
        <f t="shared" si="5"/>
        <v/>
      </c>
      <c r="S2664" s="32" t="str">
        <f t="shared" si="6"/>
        <v/>
      </c>
      <c r="T2664" s="37" t="str">
        <f t="shared" si="7"/>
        <v/>
      </c>
      <c r="U2664" s="37" t="str">
        <f t="array" ref="U2664">IF($F2664="","",IFERROR(INDEX(Config!$F:$F,MATCH($F2664,Config!$D:$D,0)),0))</f>
        <v/>
      </c>
    </row>
    <row r="2665" ht="15.0" customHeight="1">
      <c r="A2665" s="34"/>
      <c r="B2665" s="35"/>
      <c r="C2665" s="15"/>
      <c r="D2665" s="15"/>
      <c r="E2665" s="15"/>
      <c r="F2665" s="15"/>
      <c r="G2665" s="36" t="str">
        <f t="array" ref="G2665">IF($F2665="","",IFERROR(INDEX(Config!$E:$E,MATCH($F2665,Config!$D:$D,0)),0))</f>
        <v/>
      </c>
      <c r="H2665" s="16"/>
      <c r="I2665" s="36" t="str">
        <f t="shared" si="1"/>
        <v/>
      </c>
      <c r="J2665" s="16"/>
      <c r="K2665" s="15"/>
      <c r="L2665" s="15"/>
      <c r="M2665" s="36" t="str">
        <f t="array" ref="M2665">IF($A2665="","",IF($L2665="Atendido",IFERROR($I2665*INDEX(Config!$B:$B,MATCH($C2665,Config!$A:$A,0)),0),0))</f>
        <v/>
      </c>
      <c r="N2665" s="36" t="str">
        <f t="shared" si="2"/>
        <v/>
      </c>
      <c r="O2665" s="36" t="str">
        <f t="shared" si="3"/>
        <v/>
      </c>
      <c r="P2665" s="15"/>
      <c r="Q2665" s="37" t="str">
        <f t="shared" si="4"/>
        <v/>
      </c>
      <c r="R2665" s="37" t="str">
        <f t="shared" si="5"/>
        <v/>
      </c>
      <c r="S2665" s="32" t="str">
        <f t="shared" si="6"/>
        <v/>
      </c>
      <c r="T2665" s="37" t="str">
        <f t="shared" si="7"/>
        <v/>
      </c>
      <c r="U2665" s="37" t="str">
        <f t="array" ref="U2665">IF($F2665="","",IFERROR(INDEX(Config!$F:$F,MATCH($F2665,Config!$D:$D,0)),0))</f>
        <v/>
      </c>
    </row>
    <row r="2666" ht="15.0" customHeight="1">
      <c r="A2666" s="34"/>
      <c r="B2666" s="35"/>
      <c r="C2666" s="15"/>
      <c r="D2666" s="15"/>
      <c r="E2666" s="15"/>
      <c r="F2666" s="15"/>
      <c r="G2666" s="36" t="str">
        <f t="array" ref="G2666">IF($F2666="","",IFERROR(INDEX(Config!$E:$E,MATCH($F2666,Config!$D:$D,0)),0))</f>
        <v/>
      </c>
      <c r="H2666" s="16"/>
      <c r="I2666" s="36" t="str">
        <f t="shared" si="1"/>
        <v/>
      </c>
      <c r="J2666" s="16"/>
      <c r="K2666" s="15"/>
      <c r="L2666" s="15"/>
      <c r="M2666" s="36" t="str">
        <f t="array" ref="M2666">IF($A2666="","",IF($L2666="Atendido",IFERROR($I2666*INDEX(Config!$B:$B,MATCH($C2666,Config!$A:$A,0)),0),0))</f>
        <v/>
      </c>
      <c r="N2666" s="36" t="str">
        <f t="shared" si="2"/>
        <v/>
      </c>
      <c r="O2666" s="36" t="str">
        <f t="shared" si="3"/>
        <v/>
      </c>
      <c r="P2666" s="15"/>
      <c r="Q2666" s="37" t="str">
        <f t="shared" si="4"/>
        <v/>
      </c>
      <c r="R2666" s="37" t="str">
        <f t="shared" si="5"/>
        <v/>
      </c>
      <c r="S2666" s="32" t="str">
        <f t="shared" si="6"/>
        <v/>
      </c>
      <c r="T2666" s="37" t="str">
        <f t="shared" si="7"/>
        <v/>
      </c>
      <c r="U2666" s="37" t="str">
        <f t="array" ref="U2666">IF($F2666="","",IFERROR(INDEX(Config!$F:$F,MATCH($F2666,Config!$D:$D,0)),0))</f>
        <v/>
      </c>
    </row>
    <row r="2667" ht="15.0" customHeight="1">
      <c r="A2667" s="34"/>
      <c r="B2667" s="35"/>
      <c r="C2667" s="15"/>
      <c r="D2667" s="15"/>
      <c r="E2667" s="15"/>
      <c r="F2667" s="15"/>
      <c r="G2667" s="36" t="str">
        <f t="array" ref="G2667">IF($F2667="","",IFERROR(INDEX(Config!$E:$E,MATCH($F2667,Config!$D:$D,0)),0))</f>
        <v/>
      </c>
      <c r="H2667" s="16"/>
      <c r="I2667" s="36" t="str">
        <f t="shared" si="1"/>
        <v/>
      </c>
      <c r="J2667" s="16"/>
      <c r="K2667" s="15"/>
      <c r="L2667" s="15"/>
      <c r="M2667" s="36" t="str">
        <f t="array" ref="M2667">IF($A2667="","",IF($L2667="Atendido",IFERROR($I2667*INDEX(Config!$B:$B,MATCH($C2667,Config!$A:$A,0)),0),0))</f>
        <v/>
      </c>
      <c r="N2667" s="36" t="str">
        <f t="shared" si="2"/>
        <v/>
      </c>
      <c r="O2667" s="36" t="str">
        <f t="shared" si="3"/>
        <v/>
      </c>
      <c r="P2667" s="15"/>
      <c r="Q2667" s="37" t="str">
        <f t="shared" si="4"/>
        <v/>
      </c>
      <c r="R2667" s="37" t="str">
        <f t="shared" si="5"/>
        <v/>
      </c>
      <c r="S2667" s="32" t="str">
        <f t="shared" si="6"/>
        <v/>
      </c>
      <c r="T2667" s="37" t="str">
        <f t="shared" si="7"/>
        <v/>
      </c>
      <c r="U2667" s="37" t="str">
        <f t="array" ref="U2667">IF($F2667="","",IFERROR(INDEX(Config!$F:$F,MATCH($F2667,Config!$D:$D,0)),0))</f>
        <v/>
      </c>
    </row>
    <row r="2668" ht="15.0" customHeight="1">
      <c r="A2668" s="34"/>
      <c r="B2668" s="35"/>
      <c r="C2668" s="15"/>
      <c r="D2668" s="15"/>
      <c r="E2668" s="15"/>
      <c r="F2668" s="15"/>
      <c r="G2668" s="36" t="str">
        <f t="array" ref="G2668">IF($F2668="","",IFERROR(INDEX(Config!$E:$E,MATCH($F2668,Config!$D:$D,0)),0))</f>
        <v/>
      </c>
      <c r="H2668" s="16"/>
      <c r="I2668" s="36" t="str">
        <f t="shared" si="1"/>
        <v/>
      </c>
      <c r="J2668" s="16"/>
      <c r="K2668" s="15"/>
      <c r="L2668" s="15"/>
      <c r="M2668" s="36" t="str">
        <f t="array" ref="M2668">IF($A2668="","",IF($L2668="Atendido",IFERROR($I2668*INDEX(Config!$B:$B,MATCH($C2668,Config!$A:$A,0)),0),0))</f>
        <v/>
      </c>
      <c r="N2668" s="36" t="str">
        <f t="shared" si="2"/>
        <v/>
      </c>
      <c r="O2668" s="36" t="str">
        <f t="shared" si="3"/>
        <v/>
      </c>
      <c r="P2668" s="15"/>
      <c r="Q2668" s="37" t="str">
        <f t="shared" si="4"/>
        <v/>
      </c>
      <c r="R2668" s="37" t="str">
        <f t="shared" si="5"/>
        <v/>
      </c>
      <c r="S2668" s="32" t="str">
        <f t="shared" si="6"/>
        <v/>
      </c>
      <c r="T2668" s="37" t="str">
        <f t="shared" si="7"/>
        <v/>
      </c>
      <c r="U2668" s="37" t="str">
        <f t="array" ref="U2668">IF($F2668="","",IFERROR(INDEX(Config!$F:$F,MATCH($F2668,Config!$D:$D,0)),0))</f>
        <v/>
      </c>
    </row>
    <row r="2669" ht="15.0" customHeight="1">
      <c r="A2669" s="34"/>
      <c r="B2669" s="35"/>
      <c r="C2669" s="15"/>
      <c r="D2669" s="15"/>
      <c r="E2669" s="15"/>
      <c r="F2669" s="15"/>
      <c r="G2669" s="36" t="str">
        <f t="array" ref="G2669">IF($F2669="","",IFERROR(INDEX(Config!$E:$E,MATCH($F2669,Config!$D:$D,0)),0))</f>
        <v/>
      </c>
      <c r="H2669" s="16"/>
      <c r="I2669" s="36" t="str">
        <f t="shared" si="1"/>
        <v/>
      </c>
      <c r="J2669" s="16"/>
      <c r="K2669" s="15"/>
      <c r="L2669" s="15"/>
      <c r="M2669" s="36" t="str">
        <f t="array" ref="M2669">IF($A2669="","",IF($L2669="Atendido",IFERROR($I2669*INDEX(Config!$B:$B,MATCH($C2669,Config!$A:$A,0)),0),0))</f>
        <v/>
      </c>
      <c r="N2669" s="36" t="str">
        <f t="shared" si="2"/>
        <v/>
      </c>
      <c r="O2669" s="36" t="str">
        <f t="shared" si="3"/>
        <v/>
      </c>
      <c r="P2669" s="15"/>
      <c r="Q2669" s="37" t="str">
        <f t="shared" si="4"/>
        <v/>
      </c>
      <c r="R2669" s="37" t="str">
        <f t="shared" si="5"/>
        <v/>
      </c>
      <c r="S2669" s="32" t="str">
        <f t="shared" si="6"/>
        <v/>
      </c>
      <c r="T2669" s="37" t="str">
        <f t="shared" si="7"/>
        <v/>
      </c>
      <c r="U2669" s="37" t="str">
        <f t="array" ref="U2669">IF($F2669="","",IFERROR(INDEX(Config!$F:$F,MATCH($F2669,Config!$D:$D,0)),0))</f>
        <v/>
      </c>
    </row>
    <row r="2670" ht="15.0" customHeight="1">
      <c r="A2670" s="34"/>
      <c r="B2670" s="35"/>
      <c r="C2670" s="15"/>
      <c r="D2670" s="15"/>
      <c r="E2670" s="15"/>
      <c r="F2670" s="15"/>
      <c r="G2670" s="36" t="str">
        <f t="array" ref="G2670">IF($F2670="","",IFERROR(INDEX(Config!$E:$E,MATCH($F2670,Config!$D:$D,0)),0))</f>
        <v/>
      </c>
      <c r="H2670" s="16"/>
      <c r="I2670" s="36" t="str">
        <f t="shared" si="1"/>
        <v/>
      </c>
      <c r="J2670" s="16"/>
      <c r="K2670" s="15"/>
      <c r="L2670" s="15"/>
      <c r="M2670" s="36" t="str">
        <f t="array" ref="M2670">IF($A2670="","",IF($L2670="Atendido",IFERROR($I2670*INDEX(Config!$B:$B,MATCH($C2670,Config!$A:$A,0)),0),0))</f>
        <v/>
      </c>
      <c r="N2670" s="36" t="str">
        <f t="shared" si="2"/>
        <v/>
      </c>
      <c r="O2670" s="36" t="str">
        <f t="shared" si="3"/>
        <v/>
      </c>
      <c r="P2670" s="15"/>
      <c r="Q2670" s="37" t="str">
        <f t="shared" si="4"/>
        <v/>
      </c>
      <c r="R2670" s="37" t="str">
        <f t="shared" si="5"/>
        <v/>
      </c>
      <c r="S2670" s="32" t="str">
        <f t="shared" si="6"/>
        <v/>
      </c>
      <c r="T2670" s="37" t="str">
        <f t="shared" si="7"/>
        <v/>
      </c>
      <c r="U2670" s="37" t="str">
        <f t="array" ref="U2670">IF($F2670="","",IFERROR(INDEX(Config!$F:$F,MATCH($F2670,Config!$D:$D,0)),0))</f>
        <v/>
      </c>
    </row>
    <row r="2671" ht="15.0" customHeight="1">
      <c r="A2671" s="34"/>
      <c r="B2671" s="35"/>
      <c r="C2671" s="15"/>
      <c r="D2671" s="15"/>
      <c r="E2671" s="15"/>
      <c r="F2671" s="15"/>
      <c r="G2671" s="36" t="str">
        <f t="array" ref="G2671">IF($F2671="","",IFERROR(INDEX(Config!$E:$E,MATCH($F2671,Config!$D:$D,0)),0))</f>
        <v/>
      </c>
      <c r="H2671" s="16"/>
      <c r="I2671" s="36" t="str">
        <f t="shared" si="1"/>
        <v/>
      </c>
      <c r="J2671" s="16"/>
      <c r="K2671" s="15"/>
      <c r="L2671" s="15"/>
      <c r="M2671" s="36" t="str">
        <f t="array" ref="M2671">IF($A2671="","",IF($L2671="Atendido",IFERROR($I2671*INDEX(Config!$B:$B,MATCH($C2671,Config!$A:$A,0)),0),0))</f>
        <v/>
      </c>
      <c r="N2671" s="36" t="str">
        <f t="shared" si="2"/>
        <v/>
      </c>
      <c r="O2671" s="36" t="str">
        <f t="shared" si="3"/>
        <v/>
      </c>
      <c r="P2671" s="15"/>
      <c r="Q2671" s="37" t="str">
        <f t="shared" si="4"/>
        <v/>
      </c>
      <c r="R2671" s="37" t="str">
        <f t="shared" si="5"/>
        <v/>
      </c>
      <c r="S2671" s="32" t="str">
        <f t="shared" si="6"/>
        <v/>
      </c>
      <c r="T2671" s="37" t="str">
        <f t="shared" si="7"/>
        <v/>
      </c>
      <c r="U2671" s="37" t="str">
        <f t="array" ref="U2671">IF($F2671="","",IFERROR(INDEX(Config!$F:$F,MATCH($F2671,Config!$D:$D,0)),0))</f>
        <v/>
      </c>
    </row>
    <row r="2672" ht="15.0" customHeight="1">
      <c r="A2672" s="34"/>
      <c r="B2672" s="35"/>
      <c r="C2672" s="15"/>
      <c r="D2672" s="15"/>
      <c r="E2672" s="15"/>
      <c r="F2672" s="15"/>
      <c r="G2672" s="36" t="str">
        <f t="array" ref="G2672">IF($F2672="","",IFERROR(INDEX(Config!$E:$E,MATCH($F2672,Config!$D:$D,0)),0))</f>
        <v/>
      </c>
      <c r="H2672" s="16"/>
      <c r="I2672" s="36" t="str">
        <f t="shared" si="1"/>
        <v/>
      </c>
      <c r="J2672" s="16"/>
      <c r="K2672" s="15"/>
      <c r="L2672" s="15"/>
      <c r="M2672" s="36" t="str">
        <f t="array" ref="M2672">IF($A2672="","",IF($L2672="Atendido",IFERROR($I2672*INDEX(Config!$B:$B,MATCH($C2672,Config!$A:$A,0)),0),0))</f>
        <v/>
      </c>
      <c r="N2672" s="36" t="str">
        <f t="shared" si="2"/>
        <v/>
      </c>
      <c r="O2672" s="36" t="str">
        <f t="shared" si="3"/>
        <v/>
      </c>
      <c r="P2672" s="15"/>
      <c r="Q2672" s="37" t="str">
        <f t="shared" si="4"/>
        <v/>
      </c>
      <c r="R2672" s="37" t="str">
        <f t="shared" si="5"/>
        <v/>
      </c>
      <c r="S2672" s="32" t="str">
        <f t="shared" si="6"/>
        <v/>
      </c>
      <c r="T2672" s="37" t="str">
        <f t="shared" si="7"/>
        <v/>
      </c>
      <c r="U2672" s="37" t="str">
        <f t="array" ref="U2672">IF($F2672="","",IFERROR(INDEX(Config!$F:$F,MATCH($F2672,Config!$D:$D,0)),0))</f>
        <v/>
      </c>
    </row>
    <row r="2673" ht="15.0" customHeight="1">
      <c r="A2673" s="34"/>
      <c r="B2673" s="35"/>
      <c r="C2673" s="15"/>
      <c r="D2673" s="15"/>
      <c r="E2673" s="15"/>
      <c r="F2673" s="15"/>
      <c r="G2673" s="36" t="str">
        <f t="array" ref="G2673">IF($F2673="","",IFERROR(INDEX(Config!$E:$E,MATCH($F2673,Config!$D:$D,0)),0))</f>
        <v/>
      </c>
      <c r="H2673" s="16"/>
      <c r="I2673" s="36" t="str">
        <f t="shared" si="1"/>
        <v/>
      </c>
      <c r="J2673" s="16"/>
      <c r="K2673" s="15"/>
      <c r="L2673" s="15"/>
      <c r="M2673" s="36" t="str">
        <f t="array" ref="M2673">IF($A2673="","",IF($L2673="Atendido",IFERROR($I2673*INDEX(Config!$B:$B,MATCH($C2673,Config!$A:$A,0)),0),0))</f>
        <v/>
      </c>
      <c r="N2673" s="36" t="str">
        <f t="shared" si="2"/>
        <v/>
      </c>
      <c r="O2673" s="36" t="str">
        <f t="shared" si="3"/>
        <v/>
      </c>
      <c r="P2673" s="15"/>
      <c r="Q2673" s="37" t="str">
        <f t="shared" si="4"/>
        <v/>
      </c>
      <c r="R2673" s="37" t="str">
        <f t="shared" si="5"/>
        <v/>
      </c>
      <c r="S2673" s="32" t="str">
        <f t="shared" si="6"/>
        <v/>
      </c>
      <c r="T2673" s="37" t="str">
        <f t="shared" si="7"/>
        <v/>
      </c>
      <c r="U2673" s="37" t="str">
        <f t="array" ref="U2673">IF($F2673="","",IFERROR(INDEX(Config!$F:$F,MATCH($F2673,Config!$D:$D,0)),0))</f>
        <v/>
      </c>
    </row>
    <row r="2674" ht="15.0" customHeight="1">
      <c r="A2674" s="34"/>
      <c r="B2674" s="35"/>
      <c r="C2674" s="15"/>
      <c r="D2674" s="15"/>
      <c r="E2674" s="15"/>
      <c r="F2674" s="15"/>
      <c r="G2674" s="36" t="str">
        <f t="array" ref="G2674">IF($F2674="","",IFERROR(INDEX(Config!$E:$E,MATCH($F2674,Config!$D:$D,0)),0))</f>
        <v/>
      </c>
      <c r="H2674" s="16"/>
      <c r="I2674" s="36" t="str">
        <f t="shared" si="1"/>
        <v/>
      </c>
      <c r="J2674" s="16"/>
      <c r="K2674" s="15"/>
      <c r="L2674" s="15"/>
      <c r="M2674" s="36" t="str">
        <f t="array" ref="M2674">IF($A2674="","",IF($L2674="Atendido",IFERROR($I2674*INDEX(Config!$B:$B,MATCH($C2674,Config!$A:$A,0)),0),0))</f>
        <v/>
      </c>
      <c r="N2674" s="36" t="str">
        <f t="shared" si="2"/>
        <v/>
      </c>
      <c r="O2674" s="36" t="str">
        <f t="shared" si="3"/>
        <v/>
      </c>
      <c r="P2674" s="15"/>
      <c r="Q2674" s="37" t="str">
        <f t="shared" si="4"/>
        <v/>
      </c>
      <c r="R2674" s="37" t="str">
        <f t="shared" si="5"/>
        <v/>
      </c>
      <c r="S2674" s="32" t="str">
        <f t="shared" si="6"/>
        <v/>
      </c>
      <c r="T2674" s="37" t="str">
        <f t="shared" si="7"/>
        <v/>
      </c>
      <c r="U2674" s="37" t="str">
        <f t="array" ref="U2674">IF($F2674="","",IFERROR(INDEX(Config!$F:$F,MATCH($F2674,Config!$D:$D,0)),0))</f>
        <v/>
      </c>
    </row>
    <row r="2675" ht="15.0" customHeight="1">
      <c r="A2675" s="34"/>
      <c r="B2675" s="35"/>
      <c r="C2675" s="15"/>
      <c r="D2675" s="15"/>
      <c r="E2675" s="15"/>
      <c r="F2675" s="15"/>
      <c r="G2675" s="36" t="str">
        <f t="array" ref="G2675">IF($F2675="","",IFERROR(INDEX(Config!$E:$E,MATCH($F2675,Config!$D:$D,0)),0))</f>
        <v/>
      </c>
      <c r="H2675" s="16"/>
      <c r="I2675" s="36" t="str">
        <f t="shared" si="1"/>
        <v/>
      </c>
      <c r="J2675" s="16"/>
      <c r="K2675" s="15"/>
      <c r="L2675" s="15"/>
      <c r="M2675" s="36" t="str">
        <f t="array" ref="M2675">IF($A2675="","",IF($L2675="Atendido",IFERROR($I2675*INDEX(Config!$B:$B,MATCH($C2675,Config!$A:$A,0)),0),0))</f>
        <v/>
      </c>
      <c r="N2675" s="36" t="str">
        <f t="shared" si="2"/>
        <v/>
      </c>
      <c r="O2675" s="36" t="str">
        <f t="shared" si="3"/>
        <v/>
      </c>
      <c r="P2675" s="15"/>
      <c r="Q2675" s="37" t="str">
        <f t="shared" si="4"/>
        <v/>
      </c>
      <c r="R2675" s="37" t="str">
        <f t="shared" si="5"/>
        <v/>
      </c>
      <c r="S2675" s="32" t="str">
        <f t="shared" si="6"/>
        <v/>
      </c>
      <c r="T2675" s="37" t="str">
        <f t="shared" si="7"/>
        <v/>
      </c>
      <c r="U2675" s="37" t="str">
        <f t="array" ref="U2675">IF($F2675="","",IFERROR(INDEX(Config!$F:$F,MATCH($F2675,Config!$D:$D,0)),0))</f>
        <v/>
      </c>
    </row>
    <row r="2676" ht="15.0" customHeight="1">
      <c r="A2676" s="34"/>
      <c r="B2676" s="35"/>
      <c r="C2676" s="15"/>
      <c r="D2676" s="15"/>
      <c r="E2676" s="15"/>
      <c r="F2676" s="15"/>
      <c r="G2676" s="36" t="str">
        <f t="array" ref="G2676">IF($F2676="","",IFERROR(INDEX(Config!$E:$E,MATCH($F2676,Config!$D:$D,0)),0))</f>
        <v/>
      </c>
      <c r="H2676" s="16"/>
      <c r="I2676" s="36" t="str">
        <f t="shared" si="1"/>
        <v/>
      </c>
      <c r="J2676" s="16"/>
      <c r="K2676" s="15"/>
      <c r="L2676" s="15"/>
      <c r="M2676" s="36" t="str">
        <f t="array" ref="M2676">IF($A2676="","",IF($L2676="Atendido",IFERROR($I2676*INDEX(Config!$B:$B,MATCH($C2676,Config!$A:$A,0)),0),0))</f>
        <v/>
      </c>
      <c r="N2676" s="36" t="str">
        <f t="shared" si="2"/>
        <v/>
      </c>
      <c r="O2676" s="36" t="str">
        <f t="shared" si="3"/>
        <v/>
      </c>
      <c r="P2676" s="15"/>
      <c r="Q2676" s="37" t="str">
        <f t="shared" si="4"/>
        <v/>
      </c>
      <c r="R2676" s="37" t="str">
        <f t="shared" si="5"/>
        <v/>
      </c>
      <c r="S2676" s="32" t="str">
        <f t="shared" si="6"/>
        <v/>
      </c>
      <c r="T2676" s="37" t="str">
        <f t="shared" si="7"/>
        <v/>
      </c>
      <c r="U2676" s="37" t="str">
        <f t="array" ref="U2676">IF($F2676="","",IFERROR(INDEX(Config!$F:$F,MATCH($F2676,Config!$D:$D,0)),0))</f>
        <v/>
      </c>
    </row>
    <row r="2677" ht="15.0" customHeight="1">
      <c r="A2677" s="34"/>
      <c r="B2677" s="35"/>
      <c r="C2677" s="15"/>
      <c r="D2677" s="15"/>
      <c r="E2677" s="15"/>
      <c r="F2677" s="15"/>
      <c r="G2677" s="36" t="str">
        <f t="array" ref="G2677">IF($F2677="","",IFERROR(INDEX(Config!$E:$E,MATCH($F2677,Config!$D:$D,0)),0))</f>
        <v/>
      </c>
      <c r="H2677" s="16"/>
      <c r="I2677" s="36" t="str">
        <f t="shared" si="1"/>
        <v/>
      </c>
      <c r="J2677" s="16"/>
      <c r="K2677" s="15"/>
      <c r="L2677" s="15"/>
      <c r="M2677" s="36" t="str">
        <f t="array" ref="M2677">IF($A2677="","",IF($L2677="Atendido",IFERROR($I2677*INDEX(Config!$B:$B,MATCH($C2677,Config!$A:$A,0)),0),0))</f>
        <v/>
      </c>
      <c r="N2677" s="36" t="str">
        <f t="shared" si="2"/>
        <v/>
      </c>
      <c r="O2677" s="36" t="str">
        <f t="shared" si="3"/>
        <v/>
      </c>
      <c r="P2677" s="15"/>
      <c r="Q2677" s="37" t="str">
        <f t="shared" si="4"/>
        <v/>
      </c>
      <c r="R2677" s="37" t="str">
        <f t="shared" si="5"/>
        <v/>
      </c>
      <c r="S2677" s="32" t="str">
        <f t="shared" si="6"/>
        <v/>
      </c>
      <c r="T2677" s="37" t="str">
        <f t="shared" si="7"/>
        <v/>
      </c>
      <c r="U2677" s="37" t="str">
        <f t="array" ref="U2677">IF($F2677="","",IFERROR(INDEX(Config!$F:$F,MATCH($F2677,Config!$D:$D,0)),0))</f>
        <v/>
      </c>
    </row>
    <row r="2678" ht="15.0" customHeight="1">
      <c r="A2678" s="34"/>
      <c r="B2678" s="35"/>
      <c r="C2678" s="15"/>
      <c r="D2678" s="15"/>
      <c r="E2678" s="15"/>
      <c r="F2678" s="15"/>
      <c r="G2678" s="36" t="str">
        <f t="array" ref="G2678">IF($F2678="","",IFERROR(INDEX(Config!$E:$E,MATCH($F2678,Config!$D:$D,0)),0))</f>
        <v/>
      </c>
      <c r="H2678" s="16"/>
      <c r="I2678" s="36" t="str">
        <f t="shared" si="1"/>
        <v/>
      </c>
      <c r="J2678" s="16"/>
      <c r="K2678" s="15"/>
      <c r="L2678" s="15"/>
      <c r="M2678" s="36" t="str">
        <f t="array" ref="M2678">IF($A2678="","",IF($L2678="Atendido",IFERROR($I2678*INDEX(Config!$B:$B,MATCH($C2678,Config!$A:$A,0)),0),0))</f>
        <v/>
      </c>
      <c r="N2678" s="36" t="str">
        <f t="shared" si="2"/>
        <v/>
      </c>
      <c r="O2678" s="36" t="str">
        <f t="shared" si="3"/>
        <v/>
      </c>
      <c r="P2678" s="15"/>
      <c r="Q2678" s="37" t="str">
        <f t="shared" si="4"/>
        <v/>
      </c>
      <c r="R2678" s="37" t="str">
        <f t="shared" si="5"/>
        <v/>
      </c>
      <c r="S2678" s="32" t="str">
        <f t="shared" si="6"/>
        <v/>
      </c>
      <c r="T2678" s="37" t="str">
        <f t="shared" si="7"/>
        <v/>
      </c>
      <c r="U2678" s="37" t="str">
        <f t="array" ref="U2678">IF($F2678="","",IFERROR(INDEX(Config!$F:$F,MATCH($F2678,Config!$D:$D,0)),0))</f>
        <v/>
      </c>
    </row>
    <row r="2679" ht="15.0" customHeight="1">
      <c r="A2679" s="34"/>
      <c r="B2679" s="35"/>
      <c r="C2679" s="15"/>
      <c r="D2679" s="15"/>
      <c r="E2679" s="15"/>
      <c r="F2679" s="15"/>
      <c r="G2679" s="36" t="str">
        <f t="array" ref="G2679">IF($F2679="","",IFERROR(INDEX(Config!$E:$E,MATCH($F2679,Config!$D:$D,0)),0))</f>
        <v/>
      </c>
      <c r="H2679" s="16"/>
      <c r="I2679" s="36" t="str">
        <f t="shared" si="1"/>
        <v/>
      </c>
      <c r="J2679" s="16"/>
      <c r="K2679" s="15"/>
      <c r="L2679" s="15"/>
      <c r="M2679" s="36" t="str">
        <f t="array" ref="M2679">IF($A2679="","",IF($L2679="Atendido",IFERROR($I2679*INDEX(Config!$B:$B,MATCH($C2679,Config!$A:$A,0)),0),0))</f>
        <v/>
      </c>
      <c r="N2679" s="36" t="str">
        <f t="shared" si="2"/>
        <v/>
      </c>
      <c r="O2679" s="36" t="str">
        <f t="shared" si="3"/>
        <v/>
      </c>
      <c r="P2679" s="15"/>
      <c r="Q2679" s="37" t="str">
        <f t="shared" si="4"/>
        <v/>
      </c>
      <c r="R2679" s="37" t="str">
        <f t="shared" si="5"/>
        <v/>
      </c>
      <c r="S2679" s="32" t="str">
        <f t="shared" si="6"/>
        <v/>
      </c>
      <c r="T2679" s="37" t="str">
        <f t="shared" si="7"/>
        <v/>
      </c>
      <c r="U2679" s="37" t="str">
        <f t="array" ref="U2679">IF($F2679="","",IFERROR(INDEX(Config!$F:$F,MATCH($F2679,Config!$D:$D,0)),0))</f>
        <v/>
      </c>
    </row>
    <row r="2680" ht="15.0" customHeight="1">
      <c r="A2680" s="34"/>
      <c r="B2680" s="35"/>
      <c r="C2680" s="15"/>
      <c r="D2680" s="15"/>
      <c r="E2680" s="15"/>
      <c r="F2680" s="15"/>
      <c r="G2680" s="36" t="str">
        <f t="array" ref="G2680">IF($F2680="","",IFERROR(INDEX(Config!$E:$E,MATCH($F2680,Config!$D:$D,0)),0))</f>
        <v/>
      </c>
      <c r="H2680" s="16"/>
      <c r="I2680" s="36" t="str">
        <f t="shared" si="1"/>
        <v/>
      </c>
      <c r="J2680" s="16"/>
      <c r="K2680" s="15"/>
      <c r="L2680" s="15"/>
      <c r="M2680" s="36" t="str">
        <f t="array" ref="M2680">IF($A2680="","",IF($L2680="Atendido",IFERROR($I2680*INDEX(Config!$B:$B,MATCH($C2680,Config!$A:$A,0)),0),0))</f>
        <v/>
      </c>
      <c r="N2680" s="36" t="str">
        <f t="shared" si="2"/>
        <v/>
      </c>
      <c r="O2680" s="36" t="str">
        <f t="shared" si="3"/>
        <v/>
      </c>
      <c r="P2680" s="15"/>
      <c r="Q2680" s="37" t="str">
        <f t="shared" si="4"/>
        <v/>
      </c>
      <c r="R2680" s="37" t="str">
        <f t="shared" si="5"/>
        <v/>
      </c>
      <c r="S2680" s="32" t="str">
        <f t="shared" si="6"/>
        <v/>
      </c>
      <c r="T2680" s="37" t="str">
        <f t="shared" si="7"/>
        <v/>
      </c>
      <c r="U2680" s="37" t="str">
        <f t="array" ref="U2680">IF($F2680="","",IFERROR(INDEX(Config!$F:$F,MATCH($F2680,Config!$D:$D,0)),0))</f>
        <v/>
      </c>
    </row>
    <row r="2681" ht="15.0" customHeight="1">
      <c r="A2681" s="34"/>
      <c r="B2681" s="35"/>
      <c r="C2681" s="15"/>
      <c r="D2681" s="15"/>
      <c r="E2681" s="15"/>
      <c r="F2681" s="15"/>
      <c r="G2681" s="36" t="str">
        <f t="array" ref="G2681">IF($F2681="","",IFERROR(INDEX(Config!$E:$E,MATCH($F2681,Config!$D:$D,0)),0))</f>
        <v/>
      </c>
      <c r="H2681" s="16"/>
      <c r="I2681" s="36" t="str">
        <f t="shared" si="1"/>
        <v/>
      </c>
      <c r="J2681" s="16"/>
      <c r="K2681" s="15"/>
      <c r="L2681" s="15"/>
      <c r="M2681" s="36" t="str">
        <f t="array" ref="M2681">IF($A2681="","",IF($L2681="Atendido",IFERROR($I2681*INDEX(Config!$B:$B,MATCH($C2681,Config!$A:$A,0)),0),0))</f>
        <v/>
      </c>
      <c r="N2681" s="36" t="str">
        <f t="shared" si="2"/>
        <v/>
      </c>
      <c r="O2681" s="36" t="str">
        <f t="shared" si="3"/>
        <v/>
      </c>
      <c r="P2681" s="15"/>
      <c r="Q2681" s="37" t="str">
        <f t="shared" si="4"/>
        <v/>
      </c>
      <c r="R2681" s="37" t="str">
        <f t="shared" si="5"/>
        <v/>
      </c>
      <c r="S2681" s="32" t="str">
        <f t="shared" si="6"/>
        <v/>
      </c>
      <c r="T2681" s="37" t="str">
        <f t="shared" si="7"/>
        <v/>
      </c>
      <c r="U2681" s="37" t="str">
        <f t="array" ref="U2681">IF($F2681="","",IFERROR(INDEX(Config!$F:$F,MATCH($F2681,Config!$D:$D,0)),0))</f>
        <v/>
      </c>
    </row>
    <row r="2682" ht="15.0" customHeight="1">
      <c r="A2682" s="34"/>
      <c r="B2682" s="35"/>
      <c r="C2682" s="15"/>
      <c r="D2682" s="15"/>
      <c r="E2682" s="15"/>
      <c r="F2682" s="15"/>
      <c r="G2682" s="36" t="str">
        <f t="array" ref="G2682">IF($F2682="","",IFERROR(INDEX(Config!$E:$E,MATCH($F2682,Config!$D:$D,0)),0))</f>
        <v/>
      </c>
      <c r="H2682" s="16"/>
      <c r="I2682" s="36" t="str">
        <f t="shared" si="1"/>
        <v/>
      </c>
      <c r="J2682" s="16"/>
      <c r="K2682" s="15"/>
      <c r="L2682" s="15"/>
      <c r="M2682" s="36" t="str">
        <f t="array" ref="M2682">IF($A2682="","",IF($L2682="Atendido",IFERROR($I2682*INDEX(Config!$B:$B,MATCH($C2682,Config!$A:$A,0)),0),0))</f>
        <v/>
      </c>
      <c r="N2682" s="36" t="str">
        <f t="shared" si="2"/>
        <v/>
      </c>
      <c r="O2682" s="36" t="str">
        <f t="shared" si="3"/>
        <v/>
      </c>
      <c r="P2682" s="15"/>
      <c r="Q2682" s="37" t="str">
        <f t="shared" si="4"/>
        <v/>
      </c>
      <c r="R2682" s="37" t="str">
        <f t="shared" si="5"/>
        <v/>
      </c>
      <c r="S2682" s="32" t="str">
        <f t="shared" si="6"/>
        <v/>
      </c>
      <c r="T2682" s="37" t="str">
        <f t="shared" si="7"/>
        <v/>
      </c>
      <c r="U2682" s="37" t="str">
        <f t="array" ref="U2682">IF($F2682="","",IFERROR(INDEX(Config!$F:$F,MATCH($F2682,Config!$D:$D,0)),0))</f>
        <v/>
      </c>
    </row>
    <row r="2683" ht="15.0" customHeight="1">
      <c r="A2683" s="34"/>
      <c r="B2683" s="35"/>
      <c r="C2683" s="15"/>
      <c r="D2683" s="15"/>
      <c r="E2683" s="15"/>
      <c r="F2683" s="15"/>
      <c r="G2683" s="36" t="str">
        <f t="array" ref="G2683">IF($F2683="","",IFERROR(INDEX(Config!$E:$E,MATCH($F2683,Config!$D:$D,0)),0))</f>
        <v/>
      </c>
      <c r="H2683" s="16"/>
      <c r="I2683" s="36" t="str">
        <f t="shared" si="1"/>
        <v/>
      </c>
      <c r="J2683" s="16"/>
      <c r="K2683" s="15"/>
      <c r="L2683" s="15"/>
      <c r="M2683" s="36" t="str">
        <f t="array" ref="M2683">IF($A2683="","",IF($L2683="Atendido",IFERROR($I2683*INDEX(Config!$B:$B,MATCH($C2683,Config!$A:$A,0)),0),0))</f>
        <v/>
      </c>
      <c r="N2683" s="36" t="str">
        <f t="shared" si="2"/>
        <v/>
      </c>
      <c r="O2683" s="36" t="str">
        <f t="shared" si="3"/>
        <v/>
      </c>
      <c r="P2683" s="15"/>
      <c r="Q2683" s="37" t="str">
        <f t="shared" si="4"/>
        <v/>
      </c>
      <c r="R2683" s="37" t="str">
        <f t="shared" si="5"/>
        <v/>
      </c>
      <c r="S2683" s="32" t="str">
        <f t="shared" si="6"/>
        <v/>
      </c>
      <c r="T2683" s="37" t="str">
        <f t="shared" si="7"/>
        <v/>
      </c>
      <c r="U2683" s="37" t="str">
        <f t="array" ref="U2683">IF($F2683="","",IFERROR(INDEX(Config!$F:$F,MATCH($F2683,Config!$D:$D,0)),0))</f>
        <v/>
      </c>
    </row>
    <row r="2684" ht="15.0" customHeight="1">
      <c r="A2684" s="34"/>
      <c r="B2684" s="35"/>
      <c r="C2684" s="15"/>
      <c r="D2684" s="15"/>
      <c r="E2684" s="15"/>
      <c r="F2684" s="15"/>
      <c r="G2684" s="36" t="str">
        <f t="array" ref="G2684">IF($F2684="","",IFERROR(INDEX(Config!$E:$E,MATCH($F2684,Config!$D:$D,0)),0))</f>
        <v/>
      </c>
      <c r="H2684" s="16"/>
      <c r="I2684" s="36" t="str">
        <f t="shared" si="1"/>
        <v/>
      </c>
      <c r="J2684" s="16"/>
      <c r="K2684" s="15"/>
      <c r="L2684" s="15"/>
      <c r="M2684" s="36" t="str">
        <f t="array" ref="M2684">IF($A2684="","",IF($L2684="Atendido",IFERROR($I2684*INDEX(Config!$B:$B,MATCH($C2684,Config!$A:$A,0)),0),0))</f>
        <v/>
      </c>
      <c r="N2684" s="36" t="str">
        <f t="shared" si="2"/>
        <v/>
      </c>
      <c r="O2684" s="36" t="str">
        <f t="shared" si="3"/>
        <v/>
      </c>
      <c r="P2684" s="15"/>
      <c r="Q2684" s="37" t="str">
        <f t="shared" si="4"/>
        <v/>
      </c>
      <c r="R2684" s="37" t="str">
        <f t="shared" si="5"/>
        <v/>
      </c>
      <c r="S2684" s="32" t="str">
        <f t="shared" si="6"/>
        <v/>
      </c>
      <c r="T2684" s="37" t="str">
        <f t="shared" si="7"/>
        <v/>
      </c>
      <c r="U2684" s="37" t="str">
        <f t="array" ref="U2684">IF($F2684="","",IFERROR(INDEX(Config!$F:$F,MATCH($F2684,Config!$D:$D,0)),0))</f>
        <v/>
      </c>
    </row>
    <row r="2685" ht="15.0" customHeight="1">
      <c r="A2685" s="34"/>
      <c r="B2685" s="35"/>
      <c r="C2685" s="15"/>
      <c r="D2685" s="15"/>
      <c r="E2685" s="15"/>
      <c r="F2685" s="15"/>
      <c r="G2685" s="36" t="str">
        <f t="array" ref="G2685">IF($F2685="","",IFERROR(INDEX(Config!$E:$E,MATCH($F2685,Config!$D:$D,0)),0))</f>
        <v/>
      </c>
      <c r="H2685" s="16"/>
      <c r="I2685" s="36" t="str">
        <f t="shared" si="1"/>
        <v/>
      </c>
      <c r="J2685" s="16"/>
      <c r="K2685" s="15"/>
      <c r="L2685" s="15"/>
      <c r="M2685" s="36" t="str">
        <f t="array" ref="M2685">IF($A2685="","",IF($L2685="Atendido",IFERROR($I2685*INDEX(Config!$B:$B,MATCH($C2685,Config!$A:$A,0)),0),0))</f>
        <v/>
      </c>
      <c r="N2685" s="36" t="str">
        <f t="shared" si="2"/>
        <v/>
      </c>
      <c r="O2685" s="36" t="str">
        <f t="shared" si="3"/>
        <v/>
      </c>
      <c r="P2685" s="15"/>
      <c r="Q2685" s="37" t="str">
        <f t="shared" si="4"/>
        <v/>
      </c>
      <c r="R2685" s="37" t="str">
        <f t="shared" si="5"/>
        <v/>
      </c>
      <c r="S2685" s="32" t="str">
        <f t="shared" si="6"/>
        <v/>
      </c>
      <c r="T2685" s="37" t="str">
        <f t="shared" si="7"/>
        <v/>
      </c>
      <c r="U2685" s="37" t="str">
        <f t="array" ref="U2685">IF($F2685="","",IFERROR(INDEX(Config!$F:$F,MATCH($F2685,Config!$D:$D,0)),0))</f>
        <v/>
      </c>
    </row>
    <row r="2686" ht="15.0" customHeight="1">
      <c r="A2686" s="34"/>
      <c r="B2686" s="35"/>
      <c r="C2686" s="15"/>
      <c r="D2686" s="15"/>
      <c r="E2686" s="15"/>
      <c r="F2686" s="15"/>
      <c r="G2686" s="36" t="str">
        <f t="array" ref="G2686">IF($F2686="","",IFERROR(INDEX(Config!$E:$E,MATCH($F2686,Config!$D:$D,0)),0))</f>
        <v/>
      </c>
      <c r="H2686" s="16"/>
      <c r="I2686" s="36" t="str">
        <f t="shared" si="1"/>
        <v/>
      </c>
      <c r="J2686" s="16"/>
      <c r="K2686" s="15"/>
      <c r="L2686" s="15"/>
      <c r="M2686" s="36" t="str">
        <f t="array" ref="M2686">IF($A2686="","",IF($L2686="Atendido",IFERROR($I2686*INDEX(Config!$B:$B,MATCH($C2686,Config!$A:$A,0)),0),0))</f>
        <v/>
      </c>
      <c r="N2686" s="36" t="str">
        <f t="shared" si="2"/>
        <v/>
      </c>
      <c r="O2686" s="36" t="str">
        <f t="shared" si="3"/>
        <v/>
      </c>
      <c r="P2686" s="15"/>
      <c r="Q2686" s="37" t="str">
        <f t="shared" si="4"/>
        <v/>
      </c>
      <c r="R2686" s="37" t="str">
        <f t="shared" si="5"/>
        <v/>
      </c>
      <c r="S2686" s="32" t="str">
        <f t="shared" si="6"/>
        <v/>
      </c>
      <c r="T2686" s="37" t="str">
        <f t="shared" si="7"/>
        <v/>
      </c>
      <c r="U2686" s="37" t="str">
        <f t="array" ref="U2686">IF($F2686="","",IFERROR(INDEX(Config!$F:$F,MATCH($F2686,Config!$D:$D,0)),0))</f>
        <v/>
      </c>
    </row>
    <row r="2687" ht="15.0" customHeight="1">
      <c r="A2687" s="34"/>
      <c r="B2687" s="35"/>
      <c r="C2687" s="15"/>
      <c r="D2687" s="15"/>
      <c r="E2687" s="15"/>
      <c r="F2687" s="15"/>
      <c r="G2687" s="36" t="str">
        <f t="array" ref="G2687">IF($F2687="","",IFERROR(INDEX(Config!$E:$E,MATCH($F2687,Config!$D:$D,0)),0))</f>
        <v/>
      </c>
      <c r="H2687" s="16"/>
      <c r="I2687" s="36" t="str">
        <f t="shared" si="1"/>
        <v/>
      </c>
      <c r="J2687" s="16"/>
      <c r="K2687" s="15"/>
      <c r="L2687" s="15"/>
      <c r="M2687" s="36" t="str">
        <f t="array" ref="M2687">IF($A2687="","",IF($L2687="Atendido",IFERROR($I2687*INDEX(Config!$B:$B,MATCH($C2687,Config!$A:$A,0)),0),0))</f>
        <v/>
      </c>
      <c r="N2687" s="36" t="str">
        <f t="shared" si="2"/>
        <v/>
      </c>
      <c r="O2687" s="36" t="str">
        <f t="shared" si="3"/>
        <v/>
      </c>
      <c r="P2687" s="15"/>
      <c r="Q2687" s="37" t="str">
        <f t="shared" si="4"/>
        <v/>
      </c>
      <c r="R2687" s="37" t="str">
        <f t="shared" si="5"/>
        <v/>
      </c>
      <c r="S2687" s="32" t="str">
        <f t="shared" si="6"/>
        <v/>
      </c>
      <c r="T2687" s="37" t="str">
        <f t="shared" si="7"/>
        <v/>
      </c>
      <c r="U2687" s="37" t="str">
        <f t="array" ref="U2687">IF($F2687="","",IFERROR(INDEX(Config!$F:$F,MATCH($F2687,Config!$D:$D,0)),0))</f>
        <v/>
      </c>
    </row>
    <row r="2688" ht="15.0" customHeight="1">
      <c r="A2688" s="34"/>
      <c r="B2688" s="35"/>
      <c r="C2688" s="15"/>
      <c r="D2688" s="15"/>
      <c r="E2688" s="15"/>
      <c r="F2688" s="15"/>
      <c r="G2688" s="36" t="str">
        <f t="array" ref="G2688">IF($F2688="","",IFERROR(INDEX(Config!$E:$E,MATCH($F2688,Config!$D:$D,0)),0))</f>
        <v/>
      </c>
      <c r="H2688" s="16"/>
      <c r="I2688" s="36" t="str">
        <f t="shared" si="1"/>
        <v/>
      </c>
      <c r="J2688" s="16"/>
      <c r="K2688" s="15"/>
      <c r="L2688" s="15"/>
      <c r="M2688" s="36" t="str">
        <f t="array" ref="M2688">IF($A2688="","",IF($L2688="Atendido",IFERROR($I2688*INDEX(Config!$B:$B,MATCH($C2688,Config!$A:$A,0)),0),0))</f>
        <v/>
      </c>
      <c r="N2688" s="36" t="str">
        <f t="shared" si="2"/>
        <v/>
      </c>
      <c r="O2688" s="36" t="str">
        <f t="shared" si="3"/>
        <v/>
      </c>
      <c r="P2688" s="15"/>
      <c r="Q2688" s="37" t="str">
        <f t="shared" si="4"/>
        <v/>
      </c>
      <c r="R2688" s="37" t="str">
        <f t="shared" si="5"/>
        <v/>
      </c>
      <c r="S2688" s="32" t="str">
        <f t="shared" si="6"/>
        <v/>
      </c>
      <c r="T2688" s="37" t="str">
        <f t="shared" si="7"/>
        <v/>
      </c>
      <c r="U2688" s="37" t="str">
        <f t="array" ref="U2688">IF($F2688="","",IFERROR(INDEX(Config!$F:$F,MATCH($F2688,Config!$D:$D,0)),0))</f>
        <v/>
      </c>
    </row>
    <row r="2689" ht="15.0" customHeight="1">
      <c r="A2689" s="34"/>
      <c r="B2689" s="35"/>
      <c r="C2689" s="15"/>
      <c r="D2689" s="15"/>
      <c r="E2689" s="15"/>
      <c r="F2689" s="15"/>
      <c r="G2689" s="36" t="str">
        <f t="array" ref="G2689">IF($F2689="","",IFERROR(INDEX(Config!$E:$E,MATCH($F2689,Config!$D:$D,0)),0))</f>
        <v/>
      </c>
      <c r="H2689" s="16"/>
      <c r="I2689" s="36" t="str">
        <f t="shared" si="1"/>
        <v/>
      </c>
      <c r="J2689" s="16"/>
      <c r="K2689" s="15"/>
      <c r="L2689" s="15"/>
      <c r="M2689" s="36" t="str">
        <f t="array" ref="M2689">IF($A2689="","",IF($L2689="Atendido",IFERROR($I2689*INDEX(Config!$B:$B,MATCH($C2689,Config!$A:$A,0)),0),0))</f>
        <v/>
      </c>
      <c r="N2689" s="36" t="str">
        <f t="shared" si="2"/>
        <v/>
      </c>
      <c r="O2689" s="36" t="str">
        <f t="shared" si="3"/>
        <v/>
      </c>
      <c r="P2689" s="15"/>
      <c r="Q2689" s="37" t="str">
        <f t="shared" si="4"/>
        <v/>
      </c>
      <c r="R2689" s="37" t="str">
        <f t="shared" si="5"/>
        <v/>
      </c>
      <c r="S2689" s="32" t="str">
        <f t="shared" si="6"/>
        <v/>
      </c>
      <c r="T2689" s="37" t="str">
        <f t="shared" si="7"/>
        <v/>
      </c>
      <c r="U2689" s="37" t="str">
        <f t="array" ref="U2689">IF($F2689="","",IFERROR(INDEX(Config!$F:$F,MATCH($F2689,Config!$D:$D,0)),0))</f>
        <v/>
      </c>
    </row>
    <row r="2690" ht="15.0" customHeight="1">
      <c r="A2690" s="34"/>
      <c r="B2690" s="35"/>
      <c r="C2690" s="15"/>
      <c r="D2690" s="15"/>
      <c r="E2690" s="15"/>
      <c r="F2690" s="15"/>
      <c r="G2690" s="36" t="str">
        <f t="array" ref="G2690">IF($F2690="","",IFERROR(INDEX(Config!$E:$E,MATCH($F2690,Config!$D:$D,0)),0))</f>
        <v/>
      </c>
      <c r="H2690" s="16"/>
      <c r="I2690" s="36" t="str">
        <f t="shared" si="1"/>
        <v/>
      </c>
      <c r="J2690" s="16"/>
      <c r="K2690" s="15"/>
      <c r="L2690" s="15"/>
      <c r="M2690" s="36" t="str">
        <f t="array" ref="M2690">IF($A2690="","",IF($L2690="Atendido",IFERROR($I2690*INDEX(Config!$B:$B,MATCH($C2690,Config!$A:$A,0)),0),0))</f>
        <v/>
      </c>
      <c r="N2690" s="36" t="str">
        <f t="shared" si="2"/>
        <v/>
      </c>
      <c r="O2690" s="36" t="str">
        <f t="shared" si="3"/>
        <v/>
      </c>
      <c r="P2690" s="15"/>
      <c r="Q2690" s="37" t="str">
        <f t="shared" si="4"/>
        <v/>
      </c>
      <c r="R2690" s="37" t="str">
        <f t="shared" si="5"/>
        <v/>
      </c>
      <c r="S2690" s="32" t="str">
        <f t="shared" si="6"/>
        <v/>
      </c>
      <c r="T2690" s="37" t="str">
        <f t="shared" si="7"/>
        <v/>
      </c>
      <c r="U2690" s="37" t="str">
        <f t="array" ref="U2690">IF($F2690="","",IFERROR(INDEX(Config!$F:$F,MATCH($F2690,Config!$D:$D,0)),0))</f>
        <v/>
      </c>
    </row>
    <row r="2691" ht="15.0" customHeight="1">
      <c r="A2691" s="34"/>
      <c r="B2691" s="35"/>
      <c r="C2691" s="15"/>
      <c r="D2691" s="15"/>
      <c r="E2691" s="15"/>
      <c r="F2691" s="15"/>
      <c r="G2691" s="36" t="str">
        <f t="array" ref="G2691">IF($F2691="","",IFERROR(INDEX(Config!$E:$E,MATCH($F2691,Config!$D:$D,0)),0))</f>
        <v/>
      </c>
      <c r="H2691" s="16"/>
      <c r="I2691" s="36" t="str">
        <f t="shared" si="1"/>
        <v/>
      </c>
      <c r="J2691" s="16"/>
      <c r="K2691" s="15"/>
      <c r="L2691" s="15"/>
      <c r="M2691" s="36" t="str">
        <f t="array" ref="M2691">IF($A2691="","",IF($L2691="Atendido",IFERROR($I2691*INDEX(Config!$B:$B,MATCH($C2691,Config!$A:$A,0)),0),0))</f>
        <v/>
      </c>
      <c r="N2691" s="36" t="str">
        <f t="shared" si="2"/>
        <v/>
      </c>
      <c r="O2691" s="36" t="str">
        <f t="shared" si="3"/>
        <v/>
      </c>
      <c r="P2691" s="15"/>
      <c r="Q2691" s="37" t="str">
        <f t="shared" si="4"/>
        <v/>
      </c>
      <c r="R2691" s="37" t="str">
        <f t="shared" si="5"/>
        <v/>
      </c>
      <c r="S2691" s="32" t="str">
        <f t="shared" si="6"/>
        <v/>
      </c>
      <c r="T2691" s="37" t="str">
        <f t="shared" si="7"/>
        <v/>
      </c>
      <c r="U2691" s="37" t="str">
        <f t="array" ref="U2691">IF($F2691="","",IFERROR(INDEX(Config!$F:$F,MATCH($F2691,Config!$D:$D,0)),0))</f>
        <v/>
      </c>
    </row>
    <row r="2692" ht="15.0" customHeight="1">
      <c r="A2692" s="34"/>
      <c r="B2692" s="35"/>
      <c r="C2692" s="15"/>
      <c r="D2692" s="15"/>
      <c r="E2692" s="15"/>
      <c r="F2692" s="15"/>
      <c r="G2692" s="36" t="str">
        <f t="array" ref="G2692">IF($F2692="","",IFERROR(INDEX(Config!$E:$E,MATCH($F2692,Config!$D:$D,0)),0))</f>
        <v/>
      </c>
      <c r="H2692" s="16"/>
      <c r="I2692" s="36" t="str">
        <f t="shared" si="1"/>
        <v/>
      </c>
      <c r="J2692" s="16"/>
      <c r="K2692" s="15"/>
      <c r="L2692" s="15"/>
      <c r="M2692" s="36" t="str">
        <f t="array" ref="M2692">IF($A2692="","",IF($L2692="Atendido",IFERROR($I2692*INDEX(Config!$B:$B,MATCH($C2692,Config!$A:$A,0)),0),0))</f>
        <v/>
      </c>
      <c r="N2692" s="36" t="str">
        <f t="shared" si="2"/>
        <v/>
      </c>
      <c r="O2692" s="36" t="str">
        <f t="shared" si="3"/>
        <v/>
      </c>
      <c r="P2692" s="15"/>
      <c r="Q2692" s="37" t="str">
        <f t="shared" si="4"/>
        <v/>
      </c>
      <c r="R2692" s="37" t="str">
        <f t="shared" si="5"/>
        <v/>
      </c>
      <c r="S2692" s="32" t="str">
        <f t="shared" si="6"/>
        <v/>
      </c>
      <c r="T2692" s="37" t="str">
        <f t="shared" si="7"/>
        <v/>
      </c>
      <c r="U2692" s="37" t="str">
        <f t="array" ref="U2692">IF($F2692="","",IFERROR(INDEX(Config!$F:$F,MATCH($F2692,Config!$D:$D,0)),0))</f>
        <v/>
      </c>
    </row>
    <row r="2693" ht="15.0" customHeight="1">
      <c r="A2693" s="34"/>
      <c r="B2693" s="35"/>
      <c r="C2693" s="15"/>
      <c r="D2693" s="15"/>
      <c r="E2693" s="15"/>
      <c r="F2693" s="15"/>
      <c r="G2693" s="36" t="str">
        <f t="array" ref="G2693">IF($F2693="","",IFERROR(INDEX(Config!$E:$E,MATCH($F2693,Config!$D:$D,0)),0))</f>
        <v/>
      </c>
      <c r="H2693" s="16"/>
      <c r="I2693" s="36" t="str">
        <f t="shared" si="1"/>
        <v/>
      </c>
      <c r="J2693" s="16"/>
      <c r="K2693" s="15"/>
      <c r="L2693" s="15"/>
      <c r="M2693" s="36" t="str">
        <f t="array" ref="M2693">IF($A2693="","",IF($L2693="Atendido",IFERROR($I2693*INDEX(Config!$B:$B,MATCH($C2693,Config!$A:$A,0)),0),0))</f>
        <v/>
      </c>
      <c r="N2693" s="36" t="str">
        <f t="shared" si="2"/>
        <v/>
      </c>
      <c r="O2693" s="36" t="str">
        <f t="shared" si="3"/>
        <v/>
      </c>
      <c r="P2693" s="15"/>
      <c r="Q2693" s="37" t="str">
        <f t="shared" si="4"/>
        <v/>
      </c>
      <c r="R2693" s="37" t="str">
        <f t="shared" si="5"/>
        <v/>
      </c>
      <c r="S2693" s="32" t="str">
        <f t="shared" si="6"/>
        <v/>
      </c>
      <c r="T2693" s="37" t="str">
        <f t="shared" si="7"/>
        <v/>
      </c>
      <c r="U2693" s="37" t="str">
        <f t="array" ref="U2693">IF($F2693="","",IFERROR(INDEX(Config!$F:$F,MATCH($F2693,Config!$D:$D,0)),0))</f>
        <v/>
      </c>
    </row>
    <row r="2694" ht="15.0" customHeight="1">
      <c r="A2694" s="34"/>
      <c r="B2694" s="35"/>
      <c r="C2694" s="15"/>
      <c r="D2694" s="15"/>
      <c r="E2694" s="15"/>
      <c r="F2694" s="15"/>
      <c r="G2694" s="36" t="str">
        <f t="array" ref="G2694">IF($F2694="","",IFERROR(INDEX(Config!$E:$E,MATCH($F2694,Config!$D:$D,0)),0))</f>
        <v/>
      </c>
      <c r="H2694" s="16"/>
      <c r="I2694" s="36" t="str">
        <f t="shared" si="1"/>
        <v/>
      </c>
      <c r="J2694" s="16"/>
      <c r="K2694" s="15"/>
      <c r="L2694" s="15"/>
      <c r="M2694" s="36" t="str">
        <f t="array" ref="M2694">IF($A2694="","",IF($L2694="Atendido",IFERROR($I2694*INDEX(Config!$B:$B,MATCH($C2694,Config!$A:$A,0)),0),0))</f>
        <v/>
      </c>
      <c r="N2694" s="36" t="str">
        <f t="shared" si="2"/>
        <v/>
      </c>
      <c r="O2694" s="36" t="str">
        <f t="shared" si="3"/>
        <v/>
      </c>
      <c r="P2694" s="15"/>
      <c r="Q2694" s="37" t="str">
        <f t="shared" si="4"/>
        <v/>
      </c>
      <c r="R2694" s="37" t="str">
        <f t="shared" si="5"/>
        <v/>
      </c>
      <c r="S2694" s="32" t="str">
        <f t="shared" si="6"/>
        <v/>
      </c>
      <c r="T2694" s="37" t="str">
        <f t="shared" si="7"/>
        <v/>
      </c>
      <c r="U2694" s="37" t="str">
        <f t="array" ref="U2694">IF($F2694="","",IFERROR(INDEX(Config!$F:$F,MATCH($F2694,Config!$D:$D,0)),0))</f>
        <v/>
      </c>
    </row>
    <row r="2695" ht="15.0" customHeight="1">
      <c r="A2695" s="34"/>
      <c r="B2695" s="35"/>
      <c r="C2695" s="15"/>
      <c r="D2695" s="15"/>
      <c r="E2695" s="15"/>
      <c r="F2695" s="15"/>
      <c r="G2695" s="36" t="str">
        <f t="array" ref="G2695">IF($F2695="","",IFERROR(INDEX(Config!$E:$E,MATCH($F2695,Config!$D:$D,0)),0))</f>
        <v/>
      </c>
      <c r="H2695" s="16"/>
      <c r="I2695" s="36" t="str">
        <f t="shared" si="1"/>
        <v/>
      </c>
      <c r="J2695" s="16"/>
      <c r="K2695" s="15"/>
      <c r="L2695" s="15"/>
      <c r="M2695" s="36" t="str">
        <f t="array" ref="M2695">IF($A2695="","",IF($L2695="Atendido",IFERROR($I2695*INDEX(Config!$B:$B,MATCH($C2695,Config!$A:$A,0)),0),0))</f>
        <v/>
      </c>
      <c r="N2695" s="36" t="str">
        <f t="shared" si="2"/>
        <v/>
      </c>
      <c r="O2695" s="36" t="str">
        <f t="shared" si="3"/>
        <v/>
      </c>
      <c r="P2695" s="15"/>
      <c r="Q2695" s="37" t="str">
        <f t="shared" si="4"/>
        <v/>
      </c>
      <c r="R2695" s="37" t="str">
        <f t="shared" si="5"/>
        <v/>
      </c>
      <c r="S2695" s="32" t="str">
        <f t="shared" si="6"/>
        <v/>
      </c>
      <c r="T2695" s="37" t="str">
        <f t="shared" si="7"/>
        <v/>
      </c>
      <c r="U2695" s="37" t="str">
        <f t="array" ref="U2695">IF($F2695="","",IFERROR(INDEX(Config!$F:$F,MATCH($F2695,Config!$D:$D,0)),0))</f>
        <v/>
      </c>
    </row>
    <row r="2696" ht="15.0" customHeight="1">
      <c r="A2696" s="34"/>
      <c r="B2696" s="35"/>
      <c r="C2696" s="15"/>
      <c r="D2696" s="15"/>
      <c r="E2696" s="15"/>
      <c r="F2696" s="15"/>
      <c r="G2696" s="36" t="str">
        <f t="array" ref="G2696">IF($F2696="","",IFERROR(INDEX(Config!$E:$E,MATCH($F2696,Config!$D:$D,0)),0))</f>
        <v/>
      </c>
      <c r="H2696" s="16"/>
      <c r="I2696" s="36" t="str">
        <f t="shared" si="1"/>
        <v/>
      </c>
      <c r="J2696" s="16"/>
      <c r="K2696" s="15"/>
      <c r="L2696" s="15"/>
      <c r="M2696" s="36" t="str">
        <f t="array" ref="M2696">IF($A2696="","",IF($L2696="Atendido",IFERROR($I2696*INDEX(Config!$B:$B,MATCH($C2696,Config!$A:$A,0)),0),0))</f>
        <v/>
      </c>
      <c r="N2696" s="36" t="str">
        <f t="shared" si="2"/>
        <v/>
      </c>
      <c r="O2696" s="36" t="str">
        <f t="shared" si="3"/>
        <v/>
      </c>
      <c r="P2696" s="15"/>
      <c r="Q2696" s="37" t="str">
        <f t="shared" si="4"/>
        <v/>
      </c>
      <c r="R2696" s="37" t="str">
        <f t="shared" si="5"/>
        <v/>
      </c>
      <c r="S2696" s="32" t="str">
        <f t="shared" si="6"/>
        <v/>
      </c>
      <c r="T2696" s="37" t="str">
        <f t="shared" si="7"/>
        <v/>
      </c>
      <c r="U2696" s="37" t="str">
        <f t="array" ref="U2696">IF($F2696="","",IFERROR(INDEX(Config!$F:$F,MATCH($F2696,Config!$D:$D,0)),0))</f>
        <v/>
      </c>
    </row>
    <row r="2697" ht="15.0" customHeight="1">
      <c r="A2697" s="34"/>
      <c r="B2697" s="35"/>
      <c r="C2697" s="15"/>
      <c r="D2697" s="15"/>
      <c r="E2697" s="15"/>
      <c r="F2697" s="15"/>
      <c r="G2697" s="36" t="str">
        <f t="array" ref="G2697">IF($F2697="","",IFERROR(INDEX(Config!$E:$E,MATCH($F2697,Config!$D:$D,0)),0))</f>
        <v/>
      </c>
      <c r="H2697" s="16"/>
      <c r="I2697" s="36" t="str">
        <f t="shared" si="1"/>
        <v/>
      </c>
      <c r="J2697" s="16"/>
      <c r="K2697" s="15"/>
      <c r="L2697" s="15"/>
      <c r="M2697" s="36" t="str">
        <f t="array" ref="M2697">IF($A2697="","",IF($L2697="Atendido",IFERROR($I2697*INDEX(Config!$B:$B,MATCH($C2697,Config!$A:$A,0)),0),0))</f>
        <v/>
      </c>
      <c r="N2697" s="36" t="str">
        <f t="shared" si="2"/>
        <v/>
      </c>
      <c r="O2697" s="36" t="str">
        <f t="shared" si="3"/>
        <v/>
      </c>
      <c r="P2697" s="15"/>
      <c r="Q2697" s="37" t="str">
        <f t="shared" si="4"/>
        <v/>
      </c>
      <c r="R2697" s="37" t="str">
        <f t="shared" si="5"/>
        <v/>
      </c>
      <c r="S2697" s="32" t="str">
        <f t="shared" si="6"/>
        <v/>
      </c>
      <c r="T2697" s="37" t="str">
        <f t="shared" si="7"/>
        <v/>
      </c>
      <c r="U2697" s="37" t="str">
        <f t="array" ref="U2697">IF($F2697="","",IFERROR(INDEX(Config!$F:$F,MATCH($F2697,Config!$D:$D,0)),0))</f>
        <v/>
      </c>
    </row>
    <row r="2698" ht="15.0" customHeight="1">
      <c r="A2698" s="34"/>
      <c r="B2698" s="35"/>
      <c r="C2698" s="15"/>
      <c r="D2698" s="15"/>
      <c r="E2698" s="15"/>
      <c r="F2698" s="15"/>
      <c r="G2698" s="36" t="str">
        <f t="array" ref="G2698">IF($F2698="","",IFERROR(INDEX(Config!$E:$E,MATCH($F2698,Config!$D:$D,0)),0))</f>
        <v/>
      </c>
      <c r="H2698" s="16"/>
      <c r="I2698" s="36" t="str">
        <f t="shared" si="1"/>
        <v/>
      </c>
      <c r="J2698" s="16"/>
      <c r="K2698" s="15"/>
      <c r="L2698" s="15"/>
      <c r="M2698" s="36" t="str">
        <f t="array" ref="M2698">IF($A2698="","",IF($L2698="Atendido",IFERROR($I2698*INDEX(Config!$B:$B,MATCH($C2698,Config!$A:$A,0)),0),0))</f>
        <v/>
      </c>
      <c r="N2698" s="36" t="str">
        <f t="shared" si="2"/>
        <v/>
      </c>
      <c r="O2698" s="36" t="str">
        <f t="shared" si="3"/>
        <v/>
      </c>
      <c r="P2698" s="15"/>
      <c r="Q2698" s="37" t="str">
        <f t="shared" si="4"/>
        <v/>
      </c>
      <c r="R2698" s="37" t="str">
        <f t="shared" si="5"/>
        <v/>
      </c>
      <c r="S2698" s="32" t="str">
        <f t="shared" si="6"/>
        <v/>
      </c>
      <c r="T2698" s="37" t="str">
        <f t="shared" si="7"/>
        <v/>
      </c>
      <c r="U2698" s="37" t="str">
        <f t="array" ref="U2698">IF($F2698="","",IFERROR(INDEX(Config!$F:$F,MATCH($F2698,Config!$D:$D,0)),0))</f>
        <v/>
      </c>
    </row>
    <row r="2699" ht="15.0" customHeight="1">
      <c r="A2699" s="34"/>
      <c r="B2699" s="35"/>
      <c r="C2699" s="15"/>
      <c r="D2699" s="15"/>
      <c r="E2699" s="15"/>
      <c r="F2699" s="15"/>
      <c r="G2699" s="36" t="str">
        <f t="array" ref="G2699">IF($F2699="","",IFERROR(INDEX(Config!$E:$E,MATCH($F2699,Config!$D:$D,0)),0))</f>
        <v/>
      </c>
      <c r="H2699" s="16"/>
      <c r="I2699" s="36" t="str">
        <f t="shared" si="1"/>
        <v/>
      </c>
      <c r="J2699" s="16"/>
      <c r="K2699" s="15"/>
      <c r="L2699" s="15"/>
      <c r="M2699" s="36" t="str">
        <f t="array" ref="M2699">IF($A2699="","",IF($L2699="Atendido",IFERROR($I2699*INDEX(Config!$B:$B,MATCH($C2699,Config!$A:$A,0)),0),0))</f>
        <v/>
      </c>
      <c r="N2699" s="36" t="str">
        <f t="shared" si="2"/>
        <v/>
      </c>
      <c r="O2699" s="36" t="str">
        <f t="shared" si="3"/>
        <v/>
      </c>
      <c r="P2699" s="15"/>
      <c r="Q2699" s="37" t="str">
        <f t="shared" si="4"/>
        <v/>
      </c>
      <c r="R2699" s="37" t="str">
        <f t="shared" si="5"/>
        <v/>
      </c>
      <c r="S2699" s="32" t="str">
        <f t="shared" si="6"/>
        <v/>
      </c>
      <c r="T2699" s="37" t="str">
        <f t="shared" si="7"/>
        <v/>
      </c>
      <c r="U2699" s="37" t="str">
        <f t="array" ref="U2699">IF($F2699="","",IFERROR(INDEX(Config!$F:$F,MATCH($F2699,Config!$D:$D,0)),0))</f>
        <v/>
      </c>
    </row>
    <row r="2700" ht="15.0" customHeight="1">
      <c r="A2700" s="34"/>
      <c r="B2700" s="35"/>
      <c r="C2700" s="15"/>
      <c r="D2700" s="15"/>
      <c r="E2700" s="15"/>
      <c r="F2700" s="15"/>
      <c r="G2700" s="36" t="str">
        <f t="array" ref="G2700">IF($F2700="","",IFERROR(INDEX(Config!$E:$E,MATCH($F2700,Config!$D:$D,0)),0))</f>
        <v/>
      </c>
      <c r="H2700" s="16"/>
      <c r="I2700" s="36" t="str">
        <f t="shared" si="1"/>
        <v/>
      </c>
      <c r="J2700" s="16"/>
      <c r="K2700" s="15"/>
      <c r="L2700" s="15"/>
      <c r="M2700" s="36" t="str">
        <f t="array" ref="M2700">IF($A2700="","",IF($L2700="Atendido",IFERROR($I2700*INDEX(Config!$B:$B,MATCH($C2700,Config!$A:$A,0)),0),0))</f>
        <v/>
      </c>
      <c r="N2700" s="36" t="str">
        <f t="shared" si="2"/>
        <v/>
      </c>
      <c r="O2700" s="36" t="str">
        <f t="shared" si="3"/>
        <v/>
      </c>
      <c r="P2700" s="15"/>
      <c r="Q2700" s="37" t="str">
        <f t="shared" si="4"/>
        <v/>
      </c>
      <c r="R2700" s="37" t="str">
        <f t="shared" si="5"/>
        <v/>
      </c>
      <c r="S2700" s="32" t="str">
        <f t="shared" si="6"/>
        <v/>
      </c>
      <c r="T2700" s="37" t="str">
        <f t="shared" si="7"/>
        <v/>
      </c>
      <c r="U2700" s="37" t="str">
        <f t="array" ref="U2700">IF($F2700="","",IFERROR(INDEX(Config!$F:$F,MATCH($F2700,Config!$D:$D,0)),0))</f>
        <v/>
      </c>
    </row>
    <row r="2701" ht="15.0" customHeight="1">
      <c r="A2701" s="34"/>
      <c r="B2701" s="35"/>
      <c r="C2701" s="15"/>
      <c r="D2701" s="15"/>
      <c r="E2701" s="15"/>
      <c r="F2701" s="15"/>
      <c r="G2701" s="36" t="str">
        <f t="array" ref="G2701">IF($F2701="","",IFERROR(INDEX(Config!$E:$E,MATCH($F2701,Config!$D:$D,0)),0))</f>
        <v/>
      </c>
      <c r="H2701" s="16"/>
      <c r="I2701" s="36" t="str">
        <f t="shared" si="1"/>
        <v/>
      </c>
      <c r="J2701" s="16"/>
      <c r="K2701" s="15"/>
      <c r="L2701" s="15"/>
      <c r="M2701" s="36" t="str">
        <f t="array" ref="M2701">IF($A2701="","",IF($L2701="Atendido",IFERROR($I2701*INDEX(Config!$B:$B,MATCH($C2701,Config!$A:$A,0)),0),0))</f>
        <v/>
      </c>
      <c r="N2701" s="36" t="str">
        <f t="shared" si="2"/>
        <v/>
      </c>
      <c r="O2701" s="36" t="str">
        <f t="shared" si="3"/>
        <v/>
      </c>
      <c r="P2701" s="15"/>
      <c r="Q2701" s="37" t="str">
        <f t="shared" si="4"/>
        <v/>
      </c>
      <c r="R2701" s="37" t="str">
        <f t="shared" si="5"/>
        <v/>
      </c>
      <c r="S2701" s="32" t="str">
        <f t="shared" si="6"/>
        <v/>
      </c>
      <c r="T2701" s="37" t="str">
        <f t="shared" si="7"/>
        <v/>
      </c>
      <c r="U2701" s="37" t="str">
        <f t="array" ref="U2701">IF($F2701="","",IFERROR(INDEX(Config!$F:$F,MATCH($F2701,Config!$D:$D,0)),0))</f>
        <v/>
      </c>
    </row>
    <row r="2702" ht="15.0" customHeight="1">
      <c r="A2702" s="34"/>
      <c r="B2702" s="35"/>
      <c r="C2702" s="15"/>
      <c r="D2702" s="15"/>
      <c r="E2702" s="15"/>
      <c r="F2702" s="15"/>
      <c r="G2702" s="36" t="str">
        <f t="array" ref="G2702">IF($F2702="","",IFERROR(INDEX(Config!$E:$E,MATCH($F2702,Config!$D:$D,0)),0))</f>
        <v/>
      </c>
      <c r="H2702" s="16"/>
      <c r="I2702" s="36" t="str">
        <f t="shared" si="1"/>
        <v/>
      </c>
      <c r="J2702" s="16"/>
      <c r="K2702" s="15"/>
      <c r="L2702" s="15"/>
      <c r="M2702" s="36" t="str">
        <f t="array" ref="M2702">IF($A2702="","",IF($L2702="Atendido",IFERROR($I2702*INDEX(Config!$B:$B,MATCH($C2702,Config!$A:$A,0)),0),0))</f>
        <v/>
      </c>
      <c r="N2702" s="36" t="str">
        <f t="shared" si="2"/>
        <v/>
      </c>
      <c r="O2702" s="36" t="str">
        <f t="shared" si="3"/>
        <v/>
      </c>
      <c r="P2702" s="15"/>
      <c r="Q2702" s="37" t="str">
        <f t="shared" si="4"/>
        <v/>
      </c>
      <c r="R2702" s="37" t="str">
        <f t="shared" si="5"/>
        <v/>
      </c>
      <c r="S2702" s="32" t="str">
        <f t="shared" si="6"/>
        <v/>
      </c>
      <c r="T2702" s="37" t="str">
        <f t="shared" si="7"/>
        <v/>
      </c>
      <c r="U2702" s="37" t="str">
        <f t="array" ref="U2702">IF($F2702="","",IFERROR(INDEX(Config!$F:$F,MATCH($F2702,Config!$D:$D,0)),0))</f>
        <v/>
      </c>
    </row>
    <row r="2703" ht="15.0" customHeight="1">
      <c r="A2703" s="34"/>
      <c r="B2703" s="35"/>
      <c r="C2703" s="15"/>
      <c r="D2703" s="15"/>
      <c r="E2703" s="15"/>
      <c r="F2703" s="15"/>
      <c r="G2703" s="36" t="str">
        <f t="array" ref="G2703">IF($F2703="","",IFERROR(INDEX(Config!$E:$E,MATCH($F2703,Config!$D:$D,0)),0))</f>
        <v/>
      </c>
      <c r="H2703" s="16"/>
      <c r="I2703" s="36" t="str">
        <f t="shared" si="1"/>
        <v/>
      </c>
      <c r="J2703" s="16"/>
      <c r="K2703" s="15"/>
      <c r="L2703" s="15"/>
      <c r="M2703" s="36" t="str">
        <f t="array" ref="M2703">IF($A2703="","",IF($L2703="Atendido",IFERROR($I2703*INDEX(Config!$B:$B,MATCH($C2703,Config!$A:$A,0)),0),0))</f>
        <v/>
      </c>
      <c r="N2703" s="36" t="str">
        <f t="shared" si="2"/>
        <v/>
      </c>
      <c r="O2703" s="36" t="str">
        <f t="shared" si="3"/>
        <v/>
      </c>
      <c r="P2703" s="15"/>
      <c r="Q2703" s="37" t="str">
        <f t="shared" si="4"/>
        <v/>
      </c>
      <c r="R2703" s="37" t="str">
        <f t="shared" si="5"/>
        <v/>
      </c>
      <c r="S2703" s="32" t="str">
        <f t="shared" si="6"/>
        <v/>
      </c>
      <c r="T2703" s="37" t="str">
        <f t="shared" si="7"/>
        <v/>
      </c>
      <c r="U2703" s="37" t="str">
        <f t="array" ref="U2703">IF($F2703="","",IFERROR(INDEX(Config!$F:$F,MATCH($F2703,Config!$D:$D,0)),0))</f>
        <v/>
      </c>
    </row>
    <row r="2704" ht="15.0" customHeight="1">
      <c r="A2704" s="34"/>
      <c r="B2704" s="35"/>
      <c r="C2704" s="15"/>
      <c r="D2704" s="15"/>
      <c r="E2704" s="15"/>
      <c r="F2704" s="15"/>
      <c r="G2704" s="36" t="str">
        <f t="array" ref="G2704">IF($F2704="","",IFERROR(INDEX(Config!$E:$E,MATCH($F2704,Config!$D:$D,0)),0))</f>
        <v/>
      </c>
      <c r="H2704" s="16"/>
      <c r="I2704" s="36" t="str">
        <f t="shared" si="1"/>
        <v/>
      </c>
      <c r="J2704" s="16"/>
      <c r="K2704" s="15"/>
      <c r="L2704" s="15"/>
      <c r="M2704" s="36" t="str">
        <f t="array" ref="M2704">IF($A2704="","",IF($L2704="Atendido",IFERROR($I2704*INDEX(Config!$B:$B,MATCH($C2704,Config!$A:$A,0)),0),0))</f>
        <v/>
      </c>
      <c r="N2704" s="36" t="str">
        <f t="shared" si="2"/>
        <v/>
      </c>
      <c r="O2704" s="36" t="str">
        <f t="shared" si="3"/>
        <v/>
      </c>
      <c r="P2704" s="15"/>
      <c r="Q2704" s="37" t="str">
        <f t="shared" si="4"/>
        <v/>
      </c>
      <c r="R2704" s="37" t="str">
        <f t="shared" si="5"/>
        <v/>
      </c>
      <c r="S2704" s="32" t="str">
        <f t="shared" si="6"/>
        <v/>
      </c>
      <c r="T2704" s="37" t="str">
        <f t="shared" si="7"/>
        <v/>
      </c>
      <c r="U2704" s="37" t="str">
        <f t="array" ref="U2704">IF($F2704="","",IFERROR(INDEX(Config!$F:$F,MATCH($F2704,Config!$D:$D,0)),0))</f>
        <v/>
      </c>
    </row>
    <row r="2705" ht="15.0" customHeight="1">
      <c r="A2705" s="34"/>
      <c r="B2705" s="35"/>
      <c r="C2705" s="15"/>
      <c r="D2705" s="15"/>
      <c r="E2705" s="15"/>
      <c r="F2705" s="15"/>
      <c r="G2705" s="36" t="str">
        <f t="array" ref="G2705">IF($F2705="","",IFERROR(INDEX(Config!$E:$E,MATCH($F2705,Config!$D:$D,0)),0))</f>
        <v/>
      </c>
      <c r="H2705" s="16"/>
      <c r="I2705" s="36" t="str">
        <f t="shared" si="1"/>
        <v/>
      </c>
      <c r="J2705" s="16"/>
      <c r="K2705" s="15"/>
      <c r="L2705" s="15"/>
      <c r="M2705" s="36" t="str">
        <f t="array" ref="M2705">IF($A2705="","",IF($L2705="Atendido",IFERROR($I2705*INDEX(Config!$B:$B,MATCH($C2705,Config!$A:$A,0)),0),0))</f>
        <v/>
      </c>
      <c r="N2705" s="36" t="str">
        <f t="shared" si="2"/>
        <v/>
      </c>
      <c r="O2705" s="36" t="str">
        <f t="shared" si="3"/>
        <v/>
      </c>
      <c r="P2705" s="15"/>
      <c r="Q2705" s="37" t="str">
        <f t="shared" si="4"/>
        <v/>
      </c>
      <c r="R2705" s="37" t="str">
        <f t="shared" si="5"/>
        <v/>
      </c>
      <c r="S2705" s="32" t="str">
        <f t="shared" si="6"/>
        <v/>
      </c>
      <c r="T2705" s="37" t="str">
        <f t="shared" si="7"/>
        <v/>
      </c>
      <c r="U2705" s="37" t="str">
        <f t="array" ref="U2705">IF($F2705="","",IFERROR(INDEX(Config!$F:$F,MATCH($F2705,Config!$D:$D,0)),0))</f>
        <v/>
      </c>
    </row>
    <row r="2706" ht="15.0" customHeight="1">
      <c r="A2706" s="34"/>
      <c r="B2706" s="35"/>
      <c r="C2706" s="15"/>
      <c r="D2706" s="15"/>
      <c r="E2706" s="15"/>
      <c r="F2706" s="15"/>
      <c r="G2706" s="36" t="str">
        <f t="array" ref="G2706">IF($F2706="","",IFERROR(INDEX(Config!$E:$E,MATCH($F2706,Config!$D:$D,0)),0))</f>
        <v/>
      </c>
      <c r="H2706" s="16"/>
      <c r="I2706" s="36" t="str">
        <f t="shared" si="1"/>
        <v/>
      </c>
      <c r="J2706" s="16"/>
      <c r="K2706" s="15"/>
      <c r="L2706" s="15"/>
      <c r="M2706" s="36" t="str">
        <f t="array" ref="M2706">IF($A2706="","",IF($L2706="Atendido",IFERROR($I2706*INDEX(Config!$B:$B,MATCH($C2706,Config!$A:$A,0)),0),0))</f>
        <v/>
      </c>
      <c r="N2706" s="36" t="str">
        <f t="shared" si="2"/>
        <v/>
      </c>
      <c r="O2706" s="36" t="str">
        <f t="shared" si="3"/>
        <v/>
      </c>
      <c r="P2706" s="15"/>
      <c r="Q2706" s="37" t="str">
        <f t="shared" si="4"/>
        <v/>
      </c>
      <c r="R2706" s="37" t="str">
        <f t="shared" si="5"/>
        <v/>
      </c>
      <c r="S2706" s="32" t="str">
        <f t="shared" si="6"/>
        <v/>
      </c>
      <c r="T2706" s="37" t="str">
        <f t="shared" si="7"/>
        <v/>
      </c>
      <c r="U2706" s="37" t="str">
        <f t="array" ref="U2706">IF($F2706="","",IFERROR(INDEX(Config!$F:$F,MATCH($F2706,Config!$D:$D,0)),0))</f>
        <v/>
      </c>
    </row>
    <row r="2707" ht="15.0" customHeight="1">
      <c r="A2707" s="34"/>
      <c r="B2707" s="35"/>
      <c r="C2707" s="15"/>
      <c r="D2707" s="15"/>
      <c r="E2707" s="15"/>
      <c r="F2707" s="15"/>
      <c r="G2707" s="36" t="str">
        <f t="array" ref="G2707">IF($F2707="","",IFERROR(INDEX(Config!$E:$E,MATCH($F2707,Config!$D:$D,0)),0))</f>
        <v/>
      </c>
      <c r="H2707" s="16"/>
      <c r="I2707" s="36" t="str">
        <f t="shared" si="1"/>
        <v/>
      </c>
      <c r="J2707" s="16"/>
      <c r="K2707" s="15"/>
      <c r="L2707" s="15"/>
      <c r="M2707" s="36" t="str">
        <f t="array" ref="M2707">IF($A2707="","",IF($L2707="Atendido",IFERROR($I2707*INDEX(Config!$B:$B,MATCH($C2707,Config!$A:$A,0)),0),0))</f>
        <v/>
      </c>
      <c r="N2707" s="36" t="str">
        <f t="shared" si="2"/>
        <v/>
      </c>
      <c r="O2707" s="36" t="str">
        <f t="shared" si="3"/>
        <v/>
      </c>
      <c r="P2707" s="15"/>
      <c r="Q2707" s="37" t="str">
        <f t="shared" si="4"/>
        <v/>
      </c>
      <c r="R2707" s="37" t="str">
        <f t="shared" si="5"/>
        <v/>
      </c>
      <c r="S2707" s="32" t="str">
        <f t="shared" si="6"/>
        <v/>
      </c>
      <c r="T2707" s="37" t="str">
        <f t="shared" si="7"/>
        <v/>
      </c>
      <c r="U2707" s="37" t="str">
        <f t="array" ref="U2707">IF($F2707="","",IFERROR(INDEX(Config!$F:$F,MATCH($F2707,Config!$D:$D,0)),0))</f>
        <v/>
      </c>
    </row>
    <row r="2708" ht="15.0" customHeight="1">
      <c r="A2708" s="34"/>
      <c r="B2708" s="35"/>
      <c r="C2708" s="15"/>
      <c r="D2708" s="15"/>
      <c r="E2708" s="15"/>
      <c r="F2708" s="15"/>
      <c r="G2708" s="36" t="str">
        <f t="array" ref="G2708">IF($F2708="","",IFERROR(INDEX(Config!$E:$E,MATCH($F2708,Config!$D:$D,0)),0))</f>
        <v/>
      </c>
      <c r="H2708" s="16"/>
      <c r="I2708" s="36" t="str">
        <f t="shared" si="1"/>
        <v/>
      </c>
      <c r="J2708" s="16"/>
      <c r="K2708" s="15"/>
      <c r="L2708" s="15"/>
      <c r="M2708" s="36" t="str">
        <f t="array" ref="M2708">IF($A2708="","",IF($L2708="Atendido",IFERROR($I2708*INDEX(Config!$B:$B,MATCH($C2708,Config!$A:$A,0)),0),0))</f>
        <v/>
      </c>
      <c r="N2708" s="36" t="str">
        <f t="shared" si="2"/>
        <v/>
      </c>
      <c r="O2708" s="36" t="str">
        <f t="shared" si="3"/>
        <v/>
      </c>
      <c r="P2708" s="15"/>
      <c r="Q2708" s="37" t="str">
        <f t="shared" si="4"/>
        <v/>
      </c>
      <c r="R2708" s="37" t="str">
        <f t="shared" si="5"/>
        <v/>
      </c>
      <c r="S2708" s="32" t="str">
        <f t="shared" si="6"/>
        <v/>
      </c>
      <c r="T2708" s="37" t="str">
        <f t="shared" si="7"/>
        <v/>
      </c>
      <c r="U2708" s="37" t="str">
        <f t="array" ref="U2708">IF($F2708="","",IFERROR(INDEX(Config!$F:$F,MATCH($F2708,Config!$D:$D,0)),0))</f>
        <v/>
      </c>
    </row>
    <row r="2709" ht="15.0" customHeight="1">
      <c r="A2709" s="34"/>
      <c r="B2709" s="35"/>
      <c r="C2709" s="15"/>
      <c r="D2709" s="15"/>
      <c r="E2709" s="15"/>
      <c r="F2709" s="15"/>
      <c r="G2709" s="36" t="str">
        <f t="array" ref="G2709">IF($F2709="","",IFERROR(INDEX(Config!$E:$E,MATCH($F2709,Config!$D:$D,0)),0))</f>
        <v/>
      </c>
      <c r="H2709" s="16"/>
      <c r="I2709" s="36" t="str">
        <f t="shared" si="1"/>
        <v/>
      </c>
      <c r="J2709" s="16"/>
      <c r="K2709" s="15"/>
      <c r="L2709" s="15"/>
      <c r="M2709" s="36" t="str">
        <f t="array" ref="M2709">IF($A2709="","",IF($L2709="Atendido",IFERROR($I2709*INDEX(Config!$B:$B,MATCH($C2709,Config!$A:$A,0)),0),0))</f>
        <v/>
      </c>
      <c r="N2709" s="36" t="str">
        <f t="shared" si="2"/>
        <v/>
      </c>
      <c r="O2709" s="36" t="str">
        <f t="shared" si="3"/>
        <v/>
      </c>
      <c r="P2709" s="15"/>
      <c r="Q2709" s="37" t="str">
        <f t="shared" si="4"/>
        <v/>
      </c>
      <c r="R2709" s="37" t="str">
        <f t="shared" si="5"/>
        <v/>
      </c>
      <c r="S2709" s="32" t="str">
        <f t="shared" si="6"/>
        <v/>
      </c>
      <c r="T2709" s="37" t="str">
        <f t="shared" si="7"/>
        <v/>
      </c>
      <c r="U2709" s="37" t="str">
        <f t="array" ref="U2709">IF($F2709="","",IFERROR(INDEX(Config!$F:$F,MATCH($F2709,Config!$D:$D,0)),0))</f>
        <v/>
      </c>
    </row>
    <row r="2710" ht="15.0" customHeight="1">
      <c r="A2710" s="34"/>
      <c r="B2710" s="35"/>
      <c r="C2710" s="15"/>
      <c r="D2710" s="15"/>
      <c r="E2710" s="15"/>
      <c r="F2710" s="15"/>
      <c r="G2710" s="36" t="str">
        <f t="array" ref="G2710">IF($F2710="","",IFERROR(INDEX(Config!$E:$E,MATCH($F2710,Config!$D:$D,0)),0))</f>
        <v/>
      </c>
      <c r="H2710" s="16"/>
      <c r="I2710" s="36" t="str">
        <f t="shared" si="1"/>
        <v/>
      </c>
      <c r="J2710" s="16"/>
      <c r="K2710" s="15"/>
      <c r="L2710" s="15"/>
      <c r="M2710" s="36" t="str">
        <f t="array" ref="M2710">IF($A2710="","",IF($L2710="Atendido",IFERROR($I2710*INDEX(Config!$B:$B,MATCH($C2710,Config!$A:$A,0)),0),0))</f>
        <v/>
      </c>
      <c r="N2710" s="36" t="str">
        <f t="shared" si="2"/>
        <v/>
      </c>
      <c r="O2710" s="36" t="str">
        <f t="shared" si="3"/>
        <v/>
      </c>
      <c r="P2710" s="15"/>
      <c r="Q2710" s="37" t="str">
        <f t="shared" si="4"/>
        <v/>
      </c>
      <c r="R2710" s="37" t="str">
        <f t="shared" si="5"/>
        <v/>
      </c>
      <c r="S2710" s="32" t="str">
        <f t="shared" si="6"/>
        <v/>
      </c>
      <c r="T2710" s="37" t="str">
        <f t="shared" si="7"/>
        <v/>
      </c>
      <c r="U2710" s="37" t="str">
        <f t="array" ref="U2710">IF($F2710="","",IFERROR(INDEX(Config!$F:$F,MATCH($F2710,Config!$D:$D,0)),0))</f>
        <v/>
      </c>
    </row>
    <row r="2711" ht="15.0" customHeight="1">
      <c r="A2711" s="34"/>
      <c r="B2711" s="35"/>
      <c r="C2711" s="15"/>
      <c r="D2711" s="15"/>
      <c r="E2711" s="15"/>
      <c r="F2711" s="15"/>
      <c r="G2711" s="36" t="str">
        <f t="array" ref="G2711">IF($F2711="","",IFERROR(INDEX(Config!$E:$E,MATCH($F2711,Config!$D:$D,0)),0))</f>
        <v/>
      </c>
      <c r="H2711" s="16"/>
      <c r="I2711" s="36" t="str">
        <f t="shared" si="1"/>
        <v/>
      </c>
      <c r="J2711" s="16"/>
      <c r="K2711" s="15"/>
      <c r="L2711" s="15"/>
      <c r="M2711" s="36" t="str">
        <f t="array" ref="M2711">IF($A2711="","",IF($L2711="Atendido",IFERROR($I2711*INDEX(Config!$B:$B,MATCH($C2711,Config!$A:$A,0)),0),0))</f>
        <v/>
      </c>
      <c r="N2711" s="36" t="str">
        <f t="shared" si="2"/>
        <v/>
      </c>
      <c r="O2711" s="36" t="str">
        <f t="shared" si="3"/>
        <v/>
      </c>
      <c r="P2711" s="15"/>
      <c r="Q2711" s="37" t="str">
        <f t="shared" si="4"/>
        <v/>
      </c>
      <c r="R2711" s="37" t="str">
        <f t="shared" si="5"/>
        <v/>
      </c>
      <c r="S2711" s="32" t="str">
        <f t="shared" si="6"/>
        <v/>
      </c>
      <c r="T2711" s="37" t="str">
        <f t="shared" si="7"/>
        <v/>
      </c>
      <c r="U2711" s="37" t="str">
        <f t="array" ref="U2711">IF($F2711="","",IFERROR(INDEX(Config!$F:$F,MATCH($F2711,Config!$D:$D,0)),0))</f>
        <v/>
      </c>
    </row>
    <row r="2712" ht="15.0" customHeight="1">
      <c r="A2712" s="34"/>
      <c r="B2712" s="35"/>
      <c r="C2712" s="15"/>
      <c r="D2712" s="15"/>
      <c r="E2712" s="15"/>
      <c r="F2712" s="15"/>
      <c r="G2712" s="36" t="str">
        <f t="array" ref="G2712">IF($F2712="","",IFERROR(INDEX(Config!$E:$E,MATCH($F2712,Config!$D:$D,0)),0))</f>
        <v/>
      </c>
      <c r="H2712" s="16"/>
      <c r="I2712" s="36" t="str">
        <f t="shared" si="1"/>
        <v/>
      </c>
      <c r="J2712" s="16"/>
      <c r="K2712" s="15"/>
      <c r="L2712" s="15"/>
      <c r="M2712" s="36" t="str">
        <f t="array" ref="M2712">IF($A2712="","",IF($L2712="Atendido",IFERROR($I2712*INDEX(Config!$B:$B,MATCH($C2712,Config!$A:$A,0)),0),0))</f>
        <v/>
      </c>
      <c r="N2712" s="36" t="str">
        <f t="shared" si="2"/>
        <v/>
      </c>
      <c r="O2712" s="36" t="str">
        <f t="shared" si="3"/>
        <v/>
      </c>
      <c r="P2712" s="15"/>
      <c r="Q2712" s="37" t="str">
        <f t="shared" si="4"/>
        <v/>
      </c>
      <c r="R2712" s="37" t="str">
        <f t="shared" si="5"/>
        <v/>
      </c>
      <c r="S2712" s="32" t="str">
        <f t="shared" si="6"/>
        <v/>
      </c>
      <c r="T2712" s="37" t="str">
        <f t="shared" si="7"/>
        <v/>
      </c>
      <c r="U2712" s="37" t="str">
        <f t="array" ref="U2712">IF($F2712="","",IFERROR(INDEX(Config!$F:$F,MATCH($F2712,Config!$D:$D,0)),0))</f>
        <v/>
      </c>
    </row>
    <row r="2713" ht="15.0" customHeight="1">
      <c r="A2713" s="34"/>
      <c r="B2713" s="35"/>
      <c r="C2713" s="15"/>
      <c r="D2713" s="15"/>
      <c r="E2713" s="15"/>
      <c r="F2713" s="15"/>
      <c r="G2713" s="36" t="str">
        <f t="array" ref="G2713">IF($F2713="","",IFERROR(INDEX(Config!$E:$E,MATCH($F2713,Config!$D:$D,0)),0))</f>
        <v/>
      </c>
      <c r="H2713" s="16"/>
      <c r="I2713" s="36" t="str">
        <f t="shared" si="1"/>
        <v/>
      </c>
      <c r="J2713" s="16"/>
      <c r="K2713" s="15"/>
      <c r="L2713" s="15"/>
      <c r="M2713" s="36" t="str">
        <f t="array" ref="M2713">IF($A2713="","",IF($L2713="Atendido",IFERROR($I2713*INDEX(Config!$B:$B,MATCH($C2713,Config!$A:$A,0)),0),0))</f>
        <v/>
      </c>
      <c r="N2713" s="36" t="str">
        <f t="shared" si="2"/>
        <v/>
      </c>
      <c r="O2713" s="36" t="str">
        <f t="shared" si="3"/>
        <v/>
      </c>
      <c r="P2713" s="15"/>
      <c r="Q2713" s="37" t="str">
        <f t="shared" si="4"/>
        <v/>
      </c>
      <c r="R2713" s="37" t="str">
        <f t="shared" si="5"/>
        <v/>
      </c>
      <c r="S2713" s="32" t="str">
        <f t="shared" si="6"/>
        <v/>
      </c>
      <c r="T2713" s="37" t="str">
        <f t="shared" si="7"/>
        <v/>
      </c>
      <c r="U2713" s="37" t="str">
        <f t="array" ref="U2713">IF($F2713="","",IFERROR(INDEX(Config!$F:$F,MATCH($F2713,Config!$D:$D,0)),0))</f>
        <v/>
      </c>
    </row>
    <row r="2714" ht="15.0" customHeight="1">
      <c r="A2714" s="34"/>
      <c r="B2714" s="35"/>
      <c r="C2714" s="15"/>
      <c r="D2714" s="15"/>
      <c r="E2714" s="15"/>
      <c r="F2714" s="15"/>
      <c r="G2714" s="36" t="str">
        <f t="array" ref="G2714">IF($F2714="","",IFERROR(INDEX(Config!$E:$E,MATCH($F2714,Config!$D:$D,0)),0))</f>
        <v/>
      </c>
      <c r="H2714" s="16"/>
      <c r="I2714" s="36" t="str">
        <f t="shared" si="1"/>
        <v/>
      </c>
      <c r="J2714" s="16"/>
      <c r="K2714" s="15"/>
      <c r="L2714" s="15"/>
      <c r="M2714" s="36" t="str">
        <f t="array" ref="M2714">IF($A2714="","",IF($L2714="Atendido",IFERROR($I2714*INDEX(Config!$B:$B,MATCH($C2714,Config!$A:$A,0)),0),0))</f>
        <v/>
      </c>
      <c r="N2714" s="36" t="str">
        <f t="shared" si="2"/>
        <v/>
      </c>
      <c r="O2714" s="36" t="str">
        <f t="shared" si="3"/>
        <v/>
      </c>
      <c r="P2714" s="15"/>
      <c r="Q2714" s="37" t="str">
        <f t="shared" si="4"/>
        <v/>
      </c>
      <c r="R2714" s="37" t="str">
        <f t="shared" si="5"/>
        <v/>
      </c>
      <c r="S2714" s="32" t="str">
        <f t="shared" si="6"/>
        <v/>
      </c>
      <c r="T2714" s="37" t="str">
        <f t="shared" si="7"/>
        <v/>
      </c>
      <c r="U2714" s="37" t="str">
        <f t="array" ref="U2714">IF($F2714="","",IFERROR(INDEX(Config!$F:$F,MATCH($F2714,Config!$D:$D,0)),0))</f>
        <v/>
      </c>
    </row>
    <row r="2715" ht="15.0" customHeight="1">
      <c r="A2715" s="34"/>
      <c r="B2715" s="35"/>
      <c r="C2715" s="15"/>
      <c r="D2715" s="15"/>
      <c r="E2715" s="15"/>
      <c r="F2715" s="15"/>
      <c r="G2715" s="36" t="str">
        <f t="array" ref="G2715">IF($F2715="","",IFERROR(INDEX(Config!$E:$E,MATCH($F2715,Config!$D:$D,0)),0))</f>
        <v/>
      </c>
      <c r="H2715" s="16"/>
      <c r="I2715" s="36" t="str">
        <f t="shared" si="1"/>
        <v/>
      </c>
      <c r="J2715" s="16"/>
      <c r="K2715" s="15"/>
      <c r="L2715" s="15"/>
      <c r="M2715" s="36" t="str">
        <f t="array" ref="M2715">IF($A2715="","",IF($L2715="Atendido",IFERROR($I2715*INDEX(Config!$B:$B,MATCH($C2715,Config!$A:$A,0)),0),0))</f>
        <v/>
      </c>
      <c r="N2715" s="36" t="str">
        <f t="shared" si="2"/>
        <v/>
      </c>
      <c r="O2715" s="36" t="str">
        <f t="shared" si="3"/>
        <v/>
      </c>
      <c r="P2715" s="15"/>
      <c r="Q2715" s="37" t="str">
        <f t="shared" si="4"/>
        <v/>
      </c>
      <c r="R2715" s="37" t="str">
        <f t="shared" si="5"/>
        <v/>
      </c>
      <c r="S2715" s="32" t="str">
        <f t="shared" si="6"/>
        <v/>
      </c>
      <c r="T2715" s="37" t="str">
        <f t="shared" si="7"/>
        <v/>
      </c>
      <c r="U2715" s="37" t="str">
        <f t="array" ref="U2715">IF($F2715="","",IFERROR(INDEX(Config!$F:$F,MATCH($F2715,Config!$D:$D,0)),0))</f>
        <v/>
      </c>
    </row>
    <row r="2716" ht="15.0" customHeight="1">
      <c r="A2716" s="34"/>
      <c r="B2716" s="35"/>
      <c r="C2716" s="15"/>
      <c r="D2716" s="15"/>
      <c r="E2716" s="15"/>
      <c r="F2716" s="15"/>
      <c r="G2716" s="36" t="str">
        <f t="array" ref="G2716">IF($F2716="","",IFERROR(INDEX(Config!$E:$E,MATCH($F2716,Config!$D:$D,0)),0))</f>
        <v/>
      </c>
      <c r="H2716" s="16"/>
      <c r="I2716" s="36" t="str">
        <f t="shared" si="1"/>
        <v/>
      </c>
      <c r="J2716" s="16"/>
      <c r="K2716" s="15"/>
      <c r="L2716" s="15"/>
      <c r="M2716" s="36" t="str">
        <f t="array" ref="M2716">IF($A2716="","",IF($L2716="Atendido",IFERROR($I2716*INDEX(Config!$B:$B,MATCH($C2716,Config!$A:$A,0)),0),0))</f>
        <v/>
      </c>
      <c r="N2716" s="36" t="str">
        <f t="shared" si="2"/>
        <v/>
      </c>
      <c r="O2716" s="36" t="str">
        <f t="shared" si="3"/>
        <v/>
      </c>
      <c r="P2716" s="15"/>
      <c r="Q2716" s="37" t="str">
        <f t="shared" si="4"/>
        <v/>
      </c>
      <c r="R2716" s="37" t="str">
        <f t="shared" si="5"/>
        <v/>
      </c>
      <c r="S2716" s="32" t="str">
        <f t="shared" si="6"/>
        <v/>
      </c>
      <c r="T2716" s="37" t="str">
        <f t="shared" si="7"/>
        <v/>
      </c>
      <c r="U2716" s="37" t="str">
        <f t="array" ref="U2716">IF($F2716="","",IFERROR(INDEX(Config!$F:$F,MATCH($F2716,Config!$D:$D,0)),0))</f>
        <v/>
      </c>
    </row>
    <row r="2717" ht="15.0" customHeight="1">
      <c r="A2717" s="34"/>
      <c r="B2717" s="35"/>
      <c r="C2717" s="15"/>
      <c r="D2717" s="15"/>
      <c r="E2717" s="15"/>
      <c r="F2717" s="15"/>
      <c r="G2717" s="36" t="str">
        <f t="array" ref="G2717">IF($F2717="","",IFERROR(INDEX(Config!$E:$E,MATCH($F2717,Config!$D:$D,0)),0))</f>
        <v/>
      </c>
      <c r="H2717" s="16"/>
      <c r="I2717" s="36" t="str">
        <f t="shared" si="1"/>
        <v/>
      </c>
      <c r="J2717" s="16"/>
      <c r="K2717" s="15"/>
      <c r="L2717" s="15"/>
      <c r="M2717" s="36" t="str">
        <f t="array" ref="M2717">IF($A2717="","",IF($L2717="Atendido",IFERROR($I2717*INDEX(Config!$B:$B,MATCH($C2717,Config!$A:$A,0)),0),0))</f>
        <v/>
      </c>
      <c r="N2717" s="36" t="str">
        <f t="shared" si="2"/>
        <v/>
      </c>
      <c r="O2717" s="36" t="str">
        <f t="shared" si="3"/>
        <v/>
      </c>
      <c r="P2717" s="15"/>
      <c r="Q2717" s="37" t="str">
        <f t="shared" si="4"/>
        <v/>
      </c>
      <c r="R2717" s="37" t="str">
        <f t="shared" si="5"/>
        <v/>
      </c>
      <c r="S2717" s="32" t="str">
        <f t="shared" si="6"/>
        <v/>
      </c>
      <c r="T2717" s="37" t="str">
        <f t="shared" si="7"/>
        <v/>
      </c>
      <c r="U2717" s="37" t="str">
        <f t="array" ref="U2717">IF($F2717="","",IFERROR(INDEX(Config!$F:$F,MATCH($F2717,Config!$D:$D,0)),0))</f>
        <v/>
      </c>
    </row>
    <row r="2718" ht="15.0" customHeight="1">
      <c r="A2718" s="34"/>
      <c r="B2718" s="35"/>
      <c r="C2718" s="15"/>
      <c r="D2718" s="15"/>
      <c r="E2718" s="15"/>
      <c r="F2718" s="15"/>
      <c r="G2718" s="36" t="str">
        <f t="array" ref="G2718">IF($F2718="","",IFERROR(INDEX(Config!$E:$E,MATCH($F2718,Config!$D:$D,0)),0))</f>
        <v/>
      </c>
      <c r="H2718" s="16"/>
      <c r="I2718" s="36" t="str">
        <f t="shared" si="1"/>
        <v/>
      </c>
      <c r="J2718" s="16"/>
      <c r="K2718" s="15"/>
      <c r="L2718" s="15"/>
      <c r="M2718" s="36" t="str">
        <f t="array" ref="M2718">IF($A2718="","",IF($L2718="Atendido",IFERROR($I2718*INDEX(Config!$B:$B,MATCH($C2718,Config!$A:$A,0)),0),0))</f>
        <v/>
      </c>
      <c r="N2718" s="36" t="str">
        <f t="shared" si="2"/>
        <v/>
      </c>
      <c r="O2718" s="36" t="str">
        <f t="shared" si="3"/>
        <v/>
      </c>
      <c r="P2718" s="15"/>
      <c r="Q2718" s="37" t="str">
        <f t="shared" si="4"/>
        <v/>
      </c>
      <c r="R2718" s="37" t="str">
        <f t="shared" si="5"/>
        <v/>
      </c>
      <c r="S2718" s="32" t="str">
        <f t="shared" si="6"/>
        <v/>
      </c>
      <c r="T2718" s="37" t="str">
        <f t="shared" si="7"/>
        <v/>
      </c>
      <c r="U2718" s="37" t="str">
        <f t="array" ref="U2718">IF($F2718="","",IFERROR(INDEX(Config!$F:$F,MATCH($F2718,Config!$D:$D,0)),0))</f>
        <v/>
      </c>
    </row>
    <row r="2719" ht="15.0" customHeight="1">
      <c r="A2719" s="34"/>
      <c r="B2719" s="35"/>
      <c r="C2719" s="15"/>
      <c r="D2719" s="15"/>
      <c r="E2719" s="15"/>
      <c r="F2719" s="15"/>
      <c r="G2719" s="36" t="str">
        <f t="array" ref="G2719">IF($F2719="","",IFERROR(INDEX(Config!$E:$E,MATCH($F2719,Config!$D:$D,0)),0))</f>
        <v/>
      </c>
      <c r="H2719" s="16"/>
      <c r="I2719" s="36" t="str">
        <f t="shared" si="1"/>
        <v/>
      </c>
      <c r="J2719" s="16"/>
      <c r="K2719" s="15"/>
      <c r="L2719" s="15"/>
      <c r="M2719" s="36" t="str">
        <f t="array" ref="M2719">IF($A2719="","",IF($L2719="Atendido",IFERROR($I2719*INDEX(Config!$B:$B,MATCH($C2719,Config!$A:$A,0)),0),0))</f>
        <v/>
      </c>
      <c r="N2719" s="36" t="str">
        <f t="shared" si="2"/>
        <v/>
      </c>
      <c r="O2719" s="36" t="str">
        <f t="shared" si="3"/>
        <v/>
      </c>
      <c r="P2719" s="15"/>
      <c r="Q2719" s="37" t="str">
        <f t="shared" si="4"/>
        <v/>
      </c>
      <c r="R2719" s="37" t="str">
        <f t="shared" si="5"/>
        <v/>
      </c>
      <c r="S2719" s="32" t="str">
        <f t="shared" si="6"/>
        <v/>
      </c>
      <c r="T2719" s="37" t="str">
        <f t="shared" si="7"/>
        <v/>
      </c>
      <c r="U2719" s="37" t="str">
        <f t="array" ref="U2719">IF($F2719="","",IFERROR(INDEX(Config!$F:$F,MATCH($F2719,Config!$D:$D,0)),0))</f>
        <v/>
      </c>
    </row>
    <row r="2720" ht="15.0" customHeight="1">
      <c r="A2720" s="34"/>
      <c r="B2720" s="35"/>
      <c r="C2720" s="15"/>
      <c r="D2720" s="15"/>
      <c r="E2720" s="15"/>
      <c r="F2720" s="15"/>
      <c r="G2720" s="36" t="str">
        <f t="array" ref="G2720">IF($F2720="","",IFERROR(INDEX(Config!$E:$E,MATCH($F2720,Config!$D:$D,0)),0))</f>
        <v/>
      </c>
      <c r="H2720" s="16"/>
      <c r="I2720" s="36" t="str">
        <f t="shared" si="1"/>
        <v/>
      </c>
      <c r="J2720" s="16"/>
      <c r="K2720" s="15"/>
      <c r="L2720" s="15"/>
      <c r="M2720" s="36" t="str">
        <f t="array" ref="M2720">IF($A2720="","",IF($L2720="Atendido",IFERROR($I2720*INDEX(Config!$B:$B,MATCH($C2720,Config!$A:$A,0)),0),0))</f>
        <v/>
      </c>
      <c r="N2720" s="36" t="str">
        <f t="shared" si="2"/>
        <v/>
      </c>
      <c r="O2720" s="36" t="str">
        <f t="shared" si="3"/>
        <v/>
      </c>
      <c r="P2720" s="15"/>
      <c r="Q2720" s="37" t="str">
        <f t="shared" si="4"/>
        <v/>
      </c>
      <c r="R2720" s="37" t="str">
        <f t="shared" si="5"/>
        <v/>
      </c>
      <c r="S2720" s="32" t="str">
        <f t="shared" si="6"/>
        <v/>
      </c>
      <c r="T2720" s="37" t="str">
        <f t="shared" si="7"/>
        <v/>
      </c>
      <c r="U2720" s="37" t="str">
        <f t="array" ref="U2720">IF($F2720="","",IFERROR(INDEX(Config!$F:$F,MATCH($F2720,Config!$D:$D,0)),0))</f>
        <v/>
      </c>
    </row>
    <row r="2721" ht="15.0" customHeight="1">
      <c r="A2721" s="34"/>
      <c r="B2721" s="35"/>
      <c r="C2721" s="15"/>
      <c r="D2721" s="15"/>
      <c r="E2721" s="15"/>
      <c r="F2721" s="15"/>
      <c r="G2721" s="36" t="str">
        <f t="array" ref="G2721">IF($F2721="","",IFERROR(INDEX(Config!$E:$E,MATCH($F2721,Config!$D:$D,0)),0))</f>
        <v/>
      </c>
      <c r="H2721" s="16"/>
      <c r="I2721" s="36" t="str">
        <f t="shared" si="1"/>
        <v/>
      </c>
      <c r="J2721" s="16"/>
      <c r="K2721" s="15"/>
      <c r="L2721" s="15"/>
      <c r="M2721" s="36" t="str">
        <f t="array" ref="M2721">IF($A2721="","",IF($L2721="Atendido",IFERROR($I2721*INDEX(Config!$B:$B,MATCH($C2721,Config!$A:$A,0)),0),0))</f>
        <v/>
      </c>
      <c r="N2721" s="36" t="str">
        <f t="shared" si="2"/>
        <v/>
      </c>
      <c r="O2721" s="36" t="str">
        <f t="shared" si="3"/>
        <v/>
      </c>
      <c r="P2721" s="15"/>
      <c r="Q2721" s="37" t="str">
        <f t="shared" si="4"/>
        <v/>
      </c>
      <c r="R2721" s="37" t="str">
        <f t="shared" si="5"/>
        <v/>
      </c>
      <c r="S2721" s="32" t="str">
        <f t="shared" si="6"/>
        <v/>
      </c>
      <c r="T2721" s="37" t="str">
        <f t="shared" si="7"/>
        <v/>
      </c>
      <c r="U2721" s="37" t="str">
        <f t="array" ref="U2721">IF($F2721="","",IFERROR(INDEX(Config!$F:$F,MATCH($F2721,Config!$D:$D,0)),0))</f>
        <v/>
      </c>
    </row>
    <row r="2722" ht="15.0" customHeight="1">
      <c r="A2722" s="34"/>
      <c r="B2722" s="35"/>
      <c r="C2722" s="15"/>
      <c r="D2722" s="15"/>
      <c r="E2722" s="15"/>
      <c r="F2722" s="15"/>
      <c r="G2722" s="36" t="str">
        <f t="array" ref="G2722">IF($F2722="","",IFERROR(INDEX(Config!$E:$E,MATCH($F2722,Config!$D:$D,0)),0))</f>
        <v/>
      </c>
      <c r="H2722" s="16"/>
      <c r="I2722" s="36" t="str">
        <f t="shared" si="1"/>
        <v/>
      </c>
      <c r="J2722" s="16"/>
      <c r="K2722" s="15"/>
      <c r="L2722" s="15"/>
      <c r="M2722" s="36" t="str">
        <f t="array" ref="M2722">IF($A2722="","",IF($L2722="Atendido",IFERROR($I2722*INDEX(Config!$B:$B,MATCH($C2722,Config!$A:$A,0)),0),0))</f>
        <v/>
      </c>
      <c r="N2722" s="36" t="str">
        <f t="shared" si="2"/>
        <v/>
      </c>
      <c r="O2722" s="36" t="str">
        <f t="shared" si="3"/>
        <v/>
      </c>
      <c r="P2722" s="15"/>
      <c r="Q2722" s="37" t="str">
        <f t="shared" si="4"/>
        <v/>
      </c>
      <c r="R2722" s="37" t="str">
        <f t="shared" si="5"/>
        <v/>
      </c>
      <c r="S2722" s="32" t="str">
        <f t="shared" si="6"/>
        <v/>
      </c>
      <c r="T2722" s="37" t="str">
        <f t="shared" si="7"/>
        <v/>
      </c>
      <c r="U2722" s="37" t="str">
        <f t="array" ref="U2722">IF($F2722="","",IFERROR(INDEX(Config!$F:$F,MATCH($F2722,Config!$D:$D,0)),0))</f>
        <v/>
      </c>
    </row>
    <row r="2723" ht="15.0" customHeight="1">
      <c r="A2723" s="34"/>
      <c r="B2723" s="35"/>
      <c r="C2723" s="15"/>
      <c r="D2723" s="15"/>
      <c r="E2723" s="15"/>
      <c r="F2723" s="15"/>
      <c r="G2723" s="36" t="str">
        <f t="array" ref="G2723">IF($F2723="","",IFERROR(INDEX(Config!$E:$E,MATCH($F2723,Config!$D:$D,0)),0))</f>
        <v/>
      </c>
      <c r="H2723" s="16"/>
      <c r="I2723" s="36" t="str">
        <f t="shared" si="1"/>
        <v/>
      </c>
      <c r="J2723" s="16"/>
      <c r="K2723" s="15"/>
      <c r="L2723" s="15"/>
      <c r="M2723" s="36" t="str">
        <f t="array" ref="M2723">IF($A2723="","",IF($L2723="Atendido",IFERROR($I2723*INDEX(Config!$B:$B,MATCH($C2723,Config!$A:$A,0)),0),0))</f>
        <v/>
      </c>
      <c r="N2723" s="36" t="str">
        <f t="shared" si="2"/>
        <v/>
      </c>
      <c r="O2723" s="36" t="str">
        <f t="shared" si="3"/>
        <v/>
      </c>
      <c r="P2723" s="15"/>
      <c r="Q2723" s="37" t="str">
        <f t="shared" si="4"/>
        <v/>
      </c>
      <c r="R2723" s="37" t="str">
        <f t="shared" si="5"/>
        <v/>
      </c>
      <c r="S2723" s="32" t="str">
        <f t="shared" si="6"/>
        <v/>
      </c>
      <c r="T2723" s="37" t="str">
        <f t="shared" si="7"/>
        <v/>
      </c>
      <c r="U2723" s="37" t="str">
        <f t="array" ref="U2723">IF($F2723="","",IFERROR(INDEX(Config!$F:$F,MATCH($F2723,Config!$D:$D,0)),0))</f>
        <v/>
      </c>
    </row>
    <row r="2724" ht="15.0" customHeight="1">
      <c r="A2724" s="34"/>
      <c r="B2724" s="35"/>
      <c r="C2724" s="15"/>
      <c r="D2724" s="15"/>
      <c r="E2724" s="15"/>
      <c r="F2724" s="15"/>
      <c r="G2724" s="36" t="str">
        <f t="array" ref="G2724">IF($F2724="","",IFERROR(INDEX(Config!$E:$E,MATCH($F2724,Config!$D:$D,0)),0))</f>
        <v/>
      </c>
      <c r="H2724" s="16"/>
      <c r="I2724" s="36" t="str">
        <f t="shared" si="1"/>
        <v/>
      </c>
      <c r="J2724" s="16"/>
      <c r="K2724" s="15"/>
      <c r="L2724" s="15"/>
      <c r="M2724" s="36" t="str">
        <f t="array" ref="M2724">IF($A2724="","",IF($L2724="Atendido",IFERROR($I2724*INDEX(Config!$B:$B,MATCH($C2724,Config!$A:$A,0)),0),0))</f>
        <v/>
      </c>
      <c r="N2724" s="36" t="str">
        <f t="shared" si="2"/>
        <v/>
      </c>
      <c r="O2724" s="36" t="str">
        <f t="shared" si="3"/>
        <v/>
      </c>
      <c r="P2724" s="15"/>
      <c r="Q2724" s="37" t="str">
        <f t="shared" si="4"/>
        <v/>
      </c>
      <c r="R2724" s="37" t="str">
        <f t="shared" si="5"/>
        <v/>
      </c>
      <c r="S2724" s="32" t="str">
        <f t="shared" si="6"/>
        <v/>
      </c>
      <c r="T2724" s="37" t="str">
        <f t="shared" si="7"/>
        <v/>
      </c>
      <c r="U2724" s="37" t="str">
        <f t="array" ref="U2724">IF($F2724="","",IFERROR(INDEX(Config!$F:$F,MATCH($F2724,Config!$D:$D,0)),0))</f>
        <v/>
      </c>
    </row>
    <row r="2725" ht="15.0" customHeight="1">
      <c r="A2725" s="34"/>
      <c r="B2725" s="35"/>
      <c r="C2725" s="15"/>
      <c r="D2725" s="15"/>
      <c r="E2725" s="15"/>
      <c r="F2725" s="15"/>
      <c r="G2725" s="36" t="str">
        <f t="array" ref="G2725">IF($F2725="","",IFERROR(INDEX(Config!$E:$E,MATCH($F2725,Config!$D:$D,0)),0))</f>
        <v/>
      </c>
      <c r="H2725" s="16"/>
      <c r="I2725" s="36" t="str">
        <f t="shared" si="1"/>
        <v/>
      </c>
      <c r="J2725" s="16"/>
      <c r="K2725" s="15"/>
      <c r="L2725" s="15"/>
      <c r="M2725" s="36" t="str">
        <f t="array" ref="M2725">IF($A2725="","",IF($L2725="Atendido",IFERROR($I2725*INDEX(Config!$B:$B,MATCH($C2725,Config!$A:$A,0)),0),0))</f>
        <v/>
      </c>
      <c r="N2725" s="36" t="str">
        <f t="shared" si="2"/>
        <v/>
      </c>
      <c r="O2725" s="36" t="str">
        <f t="shared" si="3"/>
        <v/>
      </c>
      <c r="P2725" s="15"/>
      <c r="Q2725" s="37" t="str">
        <f t="shared" si="4"/>
        <v/>
      </c>
      <c r="R2725" s="37" t="str">
        <f t="shared" si="5"/>
        <v/>
      </c>
      <c r="S2725" s="32" t="str">
        <f t="shared" si="6"/>
        <v/>
      </c>
      <c r="T2725" s="37" t="str">
        <f t="shared" si="7"/>
        <v/>
      </c>
      <c r="U2725" s="37" t="str">
        <f t="array" ref="U2725">IF($F2725="","",IFERROR(INDEX(Config!$F:$F,MATCH($F2725,Config!$D:$D,0)),0))</f>
        <v/>
      </c>
    </row>
    <row r="2726" ht="15.0" customHeight="1">
      <c r="A2726" s="34"/>
      <c r="B2726" s="35"/>
      <c r="C2726" s="15"/>
      <c r="D2726" s="15"/>
      <c r="E2726" s="15"/>
      <c r="F2726" s="15"/>
      <c r="G2726" s="36" t="str">
        <f t="array" ref="G2726">IF($F2726="","",IFERROR(INDEX(Config!$E:$E,MATCH($F2726,Config!$D:$D,0)),0))</f>
        <v/>
      </c>
      <c r="H2726" s="16"/>
      <c r="I2726" s="36" t="str">
        <f t="shared" si="1"/>
        <v/>
      </c>
      <c r="J2726" s="16"/>
      <c r="K2726" s="15"/>
      <c r="L2726" s="15"/>
      <c r="M2726" s="36" t="str">
        <f t="array" ref="M2726">IF($A2726="","",IF($L2726="Atendido",IFERROR($I2726*INDEX(Config!$B:$B,MATCH($C2726,Config!$A:$A,0)),0),0))</f>
        <v/>
      </c>
      <c r="N2726" s="36" t="str">
        <f t="shared" si="2"/>
        <v/>
      </c>
      <c r="O2726" s="36" t="str">
        <f t="shared" si="3"/>
        <v/>
      </c>
      <c r="P2726" s="15"/>
      <c r="Q2726" s="37" t="str">
        <f t="shared" si="4"/>
        <v/>
      </c>
      <c r="R2726" s="37" t="str">
        <f t="shared" si="5"/>
        <v/>
      </c>
      <c r="S2726" s="32" t="str">
        <f t="shared" si="6"/>
        <v/>
      </c>
      <c r="T2726" s="37" t="str">
        <f t="shared" si="7"/>
        <v/>
      </c>
      <c r="U2726" s="37" t="str">
        <f t="array" ref="U2726">IF($F2726="","",IFERROR(INDEX(Config!$F:$F,MATCH($F2726,Config!$D:$D,0)),0))</f>
        <v/>
      </c>
    </row>
    <row r="2727" ht="15.0" customHeight="1">
      <c r="A2727" s="34"/>
      <c r="B2727" s="35"/>
      <c r="C2727" s="15"/>
      <c r="D2727" s="15"/>
      <c r="E2727" s="15"/>
      <c r="F2727" s="15"/>
      <c r="G2727" s="36" t="str">
        <f t="array" ref="G2727">IF($F2727="","",IFERROR(INDEX(Config!$E:$E,MATCH($F2727,Config!$D:$D,0)),0))</f>
        <v/>
      </c>
      <c r="H2727" s="16"/>
      <c r="I2727" s="36" t="str">
        <f t="shared" si="1"/>
        <v/>
      </c>
      <c r="J2727" s="16"/>
      <c r="K2727" s="15"/>
      <c r="L2727" s="15"/>
      <c r="M2727" s="36" t="str">
        <f t="array" ref="M2727">IF($A2727="","",IF($L2727="Atendido",IFERROR($I2727*INDEX(Config!$B:$B,MATCH($C2727,Config!$A:$A,0)),0),0))</f>
        <v/>
      </c>
      <c r="N2727" s="36" t="str">
        <f t="shared" si="2"/>
        <v/>
      </c>
      <c r="O2727" s="36" t="str">
        <f t="shared" si="3"/>
        <v/>
      </c>
      <c r="P2727" s="15"/>
      <c r="Q2727" s="37" t="str">
        <f t="shared" si="4"/>
        <v/>
      </c>
      <c r="R2727" s="37" t="str">
        <f t="shared" si="5"/>
        <v/>
      </c>
      <c r="S2727" s="32" t="str">
        <f t="shared" si="6"/>
        <v/>
      </c>
      <c r="T2727" s="37" t="str">
        <f t="shared" si="7"/>
        <v/>
      </c>
      <c r="U2727" s="37" t="str">
        <f t="array" ref="U2727">IF($F2727="","",IFERROR(INDEX(Config!$F:$F,MATCH($F2727,Config!$D:$D,0)),0))</f>
        <v/>
      </c>
    </row>
    <row r="2728" ht="15.0" customHeight="1">
      <c r="A2728" s="34"/>
      <c r="B2728" s="35"/>
      <c r="C2728" s="15"/>
      <c r="D2728" s="15"/>
      <c r="E2728" s="15"/>
      <c r="F2728" s="15"/>
      <c r="G2728" s="36" t="str">
        <f t="array" ref="G2728">IF($F2728="","",IFERROR(INDEX(Config!$E:$E,MATCH($F2728,Config!$D:$D,0)),0))</f>
        <v/>
      </c>
      <c r="H2728" s="16"/>
      <c r="I2728" s="36" t="str">
        <f t="shared" si="1"/>
        <v/>
      </c>
      <c r="J2728" s="16"/>
      <c r="K2728" s="15"/>
      <c r="L2728" s="15"/>
      <c r="M2728" s="36" t="str">
        <f t="array" ref="M2728">IF($A2728="","",IF($L2728="Atendido",IFERROR($I2728*INDEX(Config!$B:$B,MATCH($C2728,Config!$A:$A,0)),0),0))</f>
        <v/>
      </c>
      <c r="N2728" s="36" t="str">
        <f t="shared" si="2"/>
        <v/>
      </c>
      <c r="O2728" s="36" t="str">
        <f t="shared" si="3"/>
        <v/>
      </c>
      <c r="P2728" s="15"/>
      <c r="Q2728" s="37" t="str">
        <f t="shared" si="4"/>
        <v/>
      </c>
      <c r="R2728" s="37" t="str">
        <f t="shared" si="5"/>
        <v/>
      </c>
      <c r="S2728" s="32" t="str">
        <f t="shared" si="6"/>
        <v/>
      </c>
      <c r="T2728" s="37" t="str">
        <f t="shared" si="7"/>
        <v/>
      </c>
      <c r="U2728" s="37" t="str">
        <f t="array" ref="U2728">IF($F2728="","",IFERROR(INDEX(Config!$F:$F,MATCH($F2728,Config!$D:$D,0)),0))</f>
        <v/>
      </c>
    </row>
    <row r="2729" ht="15.0" customHeight="1">
      <c r="A2729" s="34"/>
      <c r="B2729" s="35"/>
      <c r="C2729" s="15"/>
      <c r="D2729" s="15"/>
      <c r="E2729" s="15"/>
      <c r="F2729" s="15"/>
      <c r="G2729" s="36" t="str">
        <f t="array" ref="G2729">IF($F2729="","",IFERROR(INDEX(Config!$E:$E,MATCH($F2729,Config!$D:$D,0)),0))</f>
        <v/>
      </c>
      <c r="H2729" s="16"/>
      <c r="I2729" s="36" t="str">
        <f t="shared" si="1"/>
        <v/>
      </c>
      <c r="J2729" s="16"/>
      <c r="K2729" s="15"/>
      <c r="L2729" s="15"/>
      <c r="M2729" s="36" t="str">
        <f t="array" ref="M2729">IF($A2729="","",IF($L2729="Atendido",IFERROR($I2729*INDEX(Config!$B:$B,MATCH($C2729,Config!$A:$A,0)),0),0))</f>
        <v/>
      </c>
      <c r="N2729" s="36" t="str">
        <f t="shared" si="2"/>
        <v/>
      </c>
      <c r="O2729" s="36" t="str">
        <f t="shared" si="3"/>
        <v/>
      </c>
      <c r="P2729" s="15"/>
      <c r="Q2729" s="37" t="str">
        <f t="shared" si="4"/>
        <v/>
      </c>
      <c r="R2729" s="37" t="str">
        <f t="shared" si="5"/>
        <v/>
      </c>
      <c r="S2729" s="32" t="str">
        <f t="shared" si="6"/>
        <v/>
      </c>
      <c r="T2729" s="37" t="str">
        <f t="shared" si="7"/>
        <v/>
      </c>
      <c r="U2729" s="37" t="str">
        <f t="array" ref="U2729">IF($F2729="","",IFERROR(INDEX(Config!$F:$F,MATCH($F2729,Config!$D:$D,0)),0))</f>
        <v/>
      </c>
    </row>
    <row r="2730" ht="15.0" customHeight="1">
      <c r="A2730" s="34"/>
      <c r="B2730" s="35"/>
      <c r="C2730" s="15"/>
      <c r="D2730" s="15"/>
      <c r="E2730" s="15"/>
      <c r="F2730" s="15"/>
      <c r="G2730" s="36" t="str">
        <f t="array" ref="G2730">IF($F2730="","",IFERROR(INDEX(Config!$E:$E,MATCH($F2730,Config!$D:$D,0)),0))</f>
        <v/>
      </c>
      <c r="H2730" s="16"/>
      <c r="I2730" s="36" t="str">
        <f t="shared" si="1"/>
        <v/>
      </c>
      <c r="J2730" s="16"/>
      <c r="K2730" s="15"/>
      <c r="L2730" s="15"/>
      <c r="M2730" s="36" t="str">
        <f t="array" ref="M2730">IF($A2730="","",IF($L2730="Atendido",IFERROR($I2730*INDEX(Config!$B:$B,MATCH($C2730,Config!$A:$A,0)),0),0))</f>
        <v/>
      </c>
      <c r="N2730" s="36" t="str">
        <f t="shared" si="2"/>
        <v/>
      </c>
      <c r="O2730" s="36" t="str">
        <f t="shared" si="3"/>
        <v/>
      </c>
      <c r="P2730" s="15"/>
      <c r="Q2730" s="37" t="str">
        <f t="shared" si="4"/>
        <v/>
      </c>
      <c r="R2730" s="37" t="str">
        <f t="shared" si="5"/>
        <v/>
      </c>
      <c r="S2730" s="32" t="str">
        <f t="shared" si="6"/>
        <v/>
      </c>
      <c r="T2730" s="37" t="str">
        <f t="shared" si="7"/>
        <v/>
      </c>
      <c r="U2730" s="37" t="str">
        <f t="array" ref="U2730">IF($F2730="","",IFERROR(INDEX(Config!$F:$F,MATCH($F2730,Config!$D:$D,0)),0))</f>
        <v/>
      </c>
    </row>
    <row r="2731" ht="15.0" customHeight="1">
      <c r="A2731" s="34"/>
      <c r="B2731" s="35"/>
      <c r="C2731" s="15"/>
      <c r="D2731" s="15"/>
      <c r="E2731" s="15"/>
      <c r="F2731" s="15"/>
      <c r="G2731" s="36" t="str">
        <f t="array" ref="G2731">IF($F2731="","",IFERROR(INDEX(Config!$E:$E,MATCH($F2731,Config!$D:$D,0)),0))</f>
        <v/>
      </c>
      <c r="H2731" s="16"/>
      <c r="I2731" s="36" t="str">
        <f t="shared" si="1"/>
        <v/>
      </c>
      <c r="J2731" s="16"/>
      <c r="K2731" s="15"/>
      <c r="L2731" s="15"/>
      <c r="M2731" s="36" t="str">
        <f t="array" ref="M2731">IF($A2731="","",IF($L2731="Atendido",IFERROR($I2731*INDEX(Config!$B:$B,MATCH($C2731,Config!$A:$A,0)),0),0))</f>
        <v/>
      </c>
      <c r="N2731" s="36" t="str">
        <f t="shared" si="2"/>
        <v/>
      </c>
      <c r="O2731" s="36" t="str">
        <f t="shared" si="3"/>
        <v/>
      </c>
      <c r="P2731" s="15"/>
      <c r="Q2731" s="37" t="str">
        <f t="shared" si="4"/>
        <v/>
      </c>
      <c r="R2731" s="37" t="str">
        <f t="shared" si="5"/>
        <v/>
      </c>
      <c r="S2731" s="32" t="str">
        <f t="shared" si="6"/>
        <v/>
      </c>
      <c r="T2731" s="37" t="str">
        <f t="shared" si="7"/>
        <v/>
      </c>
      <c r="U2731" s="37" t="str">
        <f t="array" ref="U2731">IF($F2731="","",IFERROR(INDEX(Config!$F:$F,MATCH($F2731,Config!$D:$D,0)),0))</f>
        <v/>
      </c>
    </row>
    <row r="2732" ht="15.0" customHeight="1">
      <c r="A2732" s="34"/>
      <c r="B2732" s="35"/>
      <c r="C2732" s="15"/>
      <c r="D2732" s="15"/>
      <c r="E2732" s="15"/>
      <c r="F2732" s="15"/>
      <c r="G2732" s="36" t="str">
        <f t="array" ref="G2732">IF($F2732="","",IFERROR(INDEX(Config!$E:$E,MATCH($F2732,Config!$D:$D,0)),0))</f>
        <v/>
      </c>
      <c r="H2732" s="16"/>
      <c r="I2732" s="36" t="str">
        <f t="shared" si="1"/>
        <v/>
      </c>
      <c r="J2732" s="16"/>
      <c r="K2732" s="15"/>
      <c r="L2732" s="15"/>
      <c r="M2732" s="36" t="str">
        <f t="array" ref="M2732">IF($A2732="","",IF($L2732="Atendido",IFERROR($I2732*INDEX(Config!$B:$B,MATCH($C2732,Config!$A:$A,0)),0),0))</f>
        <v/>
      </c>
      <c r="N2732" s="36" t="str">
        <f t="shared" si="2"/>
        <v/>
      </c>
      <c r="O2732" s="36" t="str">
        <f t="shared" si="3"/>
        <v/>
      </c>
      <c r="P2732" s="15"/>
      <c r="Q2732" s="37" t="str">
        <f t="shared" si="4"/>
        <v/>
      </c>
      <c r="R2732" s="37" t="str">
        <f t="shared" si="5"/>
        <v/>
      </c>
      <c r="S2732" s="32" t="str">
        <f t="shared" si="6"/>
        <v/>
      </c>
      <c r="T2732" s="37" t="str">
        <f t="shared" si="7"/>
        <v/>
      </c>
      <c r="U2732" s="37" t="str">
        <f t="array" ref="U2732">IF($F2732="","",IFERROR(INDEX(Config!$F:$F,MATCH($F2732,Config!$D:$D,0)),0))</f>
        <v/>
      </c>
    </row>
    <row r="2733" ht="15.0" customHeight="1">
      <c r="A2733" s="34"/>
      <c r="B2733" s="35"/>
      <c r="C2733" s="15"/>
      <c r="D2733" s="15"/>
      <c r="E2733" s="15"/>
      <c r="F2733" s="15"/>
      <c r="G2733" s="36" t="str">
        <f t="array" ref="G2733">IF($F2733="","",IFERROR(INDEX(Config!$E:$E,MATCH($F2733,Config!$D:$D,0)),0))</f>
        <v/>
      </c>
      <c r="H2733" s="16"/>
      <c r="I2733" s="36" t="str">
        <f t="shared" si="1"/>
        <v/>
      </c>
      <c r="J2733" s="16"/>
      <c r="K2733" s="15"/>
      <c r="L2733" s="15"/>
      <c r="M2733" s="36" t="str">
        <f t="array" ref="M2733">IF($A2733="","",IF($L2733="Atendido",IFERROR($I2733*INDEX(Config!$B:$B,MATCH($C2733,Config!$A:$A,0)),0),0))</f>
        <v/>
      </c>
      <c r="N2733" s="36" t="str">
        <f t="shared" si="2"/>
        <v/>
      </c>
      <c r="O2733" s="36" t="str">
        <f t="shared" si="3"/>
        <v/>
      </c>
      <c r="P2733" s="15"/>
      <c r="Q2733" s="37" t="str">
        <f t="shared" si="4"/>
        <v/>
      </c>
      <c r="R2733" s="37" t="str">
        <f t="shared" si="5"/>
        <v/>
      </c>
      <c r="S2733" s="32" t="str">
        <f t="shared" si="6"/>
        <v/>
      </c>
      <c r="T2733" s="37" t="str">
        <f t="shared" si="7"/>
        <v/>
      </c>
      <c r="U2733" s="37" t="str">
        <f t="array" ref="U2733">IF($F2733="","",IFERROR(INDEX(Config!$F:$F,MATCH($F2733,Config!$D:$D,0)),0))</f>
        <v/>
      </c>
    </row>
    <row r="2734" ht="15.0" customHeight="1">
      <c r="A2734" s="34"/>
      <c r="B2734" s="35"/>
      <c r="C2734" s="15"/>
      <c r="D2734" s="15"/>
      <c r="E2734" s="15"/>
      <c r="F2734" s="15"/>
      <c r="G2734" s="36" t="str">
        <f t="array" ref="G2734">IF($F2734="","",IFERROR(INDEX(Config!$E:$E,MATCH($F2734,Config!$D:$D,0)),0))</f>
        <v/>
      </c>
      <c r="H2734" s="16"/>
      <c r="I2734" s="36" t="str">
        <f t="shared" si="1"/>
        <v/>
      </c>
      <c r="J2734" s="16"/>
      <c r="K2734" s="15"/>
      <c r="L2734" s="15"/>
      <c r="M2734" s="36" t="str">
        <f t="array" ref="M2734">IF($A2734="","",IF($L2734="Atendido",IFERROR($I2734*INDEX(Config!$B:$B,MATCH($C2734,Config!$A:$A,0)),0),0))</f>
        <v/>
      </c>
      <c r="N2734" s="36" t="str">
        <f t="shared" si="2"/>
        <v/>
      </c>
      <c r="O2734" s="36" t="str">
        <f t="shared" si="3"/>
        <v/>
      </c>
      <c r="P2734" s="15"/>
      <c r="Q2734" s="37" t="str">
        <f t="shared" si="4"/>
        <v/>
      </c>
      <c r="R2734" s="37" t="str">
        <f t="shared" si="5"/>
        <v/>
      </c>
      <c r="S2734" s="32" t="str">
        <f t="shared" si="6"/>
        <v/>
      </c>
      <c r="T2734" s="37" t="str">
        <f t="shared" si="7"/>
        <v/>
      </c>
      <c r="U2734" s="37" t="str">
        <f t="array" ref="U2734">IF($F2734="","",IFERROR(INDEX(Config!$F:$F,MATCH($F2734,Config!$D:$D,0)),0))</f>
        <v/>
      </c>
    </row>
    <row r="2735" ht="15.0" customHeight="1">
      <c r="A2735" s="34"/>
      <c r="B2735" s="35"/>
      <c r="C2735" s="15"/>
      <c r="D2735" s="15"/>
      <c r="E2735" s="15"/>
      <c r="F2735" s="15"/>
      <c r="G2735" s="36" t="str">
        <f t="array" ref="G2735">IF($F2735="","",IFERROR(INDEX(Config!$E:$E,MATCH($F2735,Config!$D:$D,0)),0))</f>
        <v/>
      </c>
      <c r="H2735" s="16"/>
      <c r="I2735" s="36" t="str">
        <f t="shared" si="1"/>
        <v/>
      </c>
      <c r="J2735" s="16"/>
      <c r="K2735" s="15"/>
      <c r="L2735" s="15"/>
      <c r="M2735" s="36" t="str">
        <f t="array" ref="M2735">IF($A2735="","",IF($L2735="Atendido",IFERROR($I2735*INDEX(Config!$B:$B,MATCH($C2735,Config!$A:$A,0)),0),0))</f>
        <v/>
      </c>
      <c r="N2735" s="36" t="str">
        <f t="shared" si="2"/>
        <v/>
      </c>
      <c r="O2735" s="36" t="str">
        <f t="shared" si="3"/>
        <v/>
      </c>
      <c r="P2735" s="15"/>
      <c r="Q2735" s="37" t="str">
        <f t="shared" si="4"/>
        <v/>
      </c>
      <c r="R2735" s="37" t="str">
        <f t="shared" si="5"/>
        <v/>
      </c>
      <c r="S2735" s="32" t="str">
        <f t="shared" si="6"/>
        <v/>
      </c>
      <c r="T2735" s="37" t="str">
        <f t="shared" si="7"/>
        <v/>
      </c>
      <c r="U2735" s="37" t="str">
        <f t="array" ref="U2735">IF($F2735="","",IFERROR(INDEX(Config!$F:$F,MATCH($F2735,Config!$D:$D,0)),0))</f>
        <v/>
      </c>
    </row>
    <row r="2736" ht="15.0" customHeight="1">
      <c r="A2736" s="34"/>
      <c r="B2736" s="35"/>
      <c r="C2736" s="15"/>
      <c r="D2736" s="15"/>
      <c r="E2736" s="15"/>
      <c r="F2736" s="15"/>
      <c r="G2736" s="36" t="str">
        <f t="array" ref="G2736">IF($F2736="","",IFERROR(INDEX(Config!$E:$E,MATCH($F2736,Config!$D:$D,0)),0))</f>
        <v/>
      </c>
      <c r="H2736" s="16"/>
      <c r="I2736" s="36" t="str">
        <f t="shared" si="1"/>
        <v/>
      </c>
      <c r="J2736" s="16"/>
      <c r="K2736" s="15"/>
      <c r="L2736" s="15"/>
      <c r="M2736" s="36" t="str">
        <f t="array" ref="M2736">IF($A2736="","",IF($L2736="Atendido",IFERROR($I2736*INDEX(Config!$B:$B,MATCH($C2736,Config!$A:$A,0)),0),0))</f>
        <v/>
      </c>
      <c r="N2736" s="36" t="str">
        <f t="shared" si="2"/>
        <v/>
      </c>
      <c r="O2736" s="36" t="str">
        <f t="shared" si="3"/>
        <v/>
      </c>
      <c r="P2736" s="15"/>
      <c r="Q2736" s="37" t="str">
        <f t="shared" si="4"/>
        <v/>
      </c>
      <c r="R2736" s="37" t="str">
        <f t="shared" si="5"/>
        <v/>
      </c>
      <c r="S2736" s="32" t="str">
        <f t="shared" si="6"/>
        <v/>
      </c>
      <c r="T2736" s="37" t="str">
        <f t="shared" si="7"/>
        <v/>
      </c>
      <c r="U2736" s="37" t="str">
        <f t="array" ref="U2736">IF($F2736="","",IFERROR(INDEX(Config!$F:$F,MATCH($F2736,Config!$D:$D,0)),0))</f>
        <v/>
      </c>
    </row>
    <row r="2737" ht="15.0" customHeight="1">
      <c r="A2737" s="34"/>
      <c r="B2737" s="35"/>
      <c r="C2737" s="15"/>
      <c r="D2737" s="15"/>
      <c r="E2737" s="15"/>
      <c r="F2737" s="15"/>
      <c r="G2737" s="36" t="str">
        <f t="array" ref="G2737">IF($F2737="","",IFERROR(INDEX(Config!$E:$E,MATCH($F2737,Config!$D:$D,0)),0))</f>
        <v/>
      </c>
      <c r="H2737" s="16"/>
      <c r="I2737" s="36" t="str">
        <f t="shared" si="1"/>
        <v/>
      </c>
      <c r="J2737" s="16"/>
      <c r="K2737" s="15"/>
      <c r="L2737" s="15"/>
      <c r="M2737" s="36" t="str">
        <f t="array" ref="M2737">IF($A2737="","",IF($L2737="Atendido",IFERROR($I2737*INDEX(Config!$B:$B,MATCH($C2737,Config!$A:$A,0)),0),0))</f>
        <v/>
      </c>
      <c r="N2737" s="36" t="str">
        <f t="shared" si="2"/>
        <v/>
      </c>
      <c r="O2737" s="36" t="str">
        <f t="shared" si="3"/>
        <v/>
      </c>
      <c r="P2737" s="15"/>
      <c r="Q2737" s="37" t="str">
        <f t="shared" si="4"/>
        <v/>
      </c>
      <c r="R2737" s="37" t="str">
        <f t="shared" si="5"/>
        <v/>
      </c>
      <c r="S2737" s="32" t="str">
        <f t="shared" si="6"/>
        <v/>
      </c>
      <c r="T2737" s="37" t="str">
        <f t="shared" si="7"/>
        <v/>
      </c>
      <c r="U2737" s="37" t="str">
        <f t="array" ref="U2737">IF($F2737="","",IFERROR(INDEX(Config!$F:$F,MATCH($F2737,Config!$D:$D,0)),0))</f>
        <v/>
      </c>
    </row>
    <row r="2738" ht="15.0" customHeight="1">
      <c r="A2738" s="34"/>
      <c r="B2738" s="35"/>
      <c r="C2738" s="15"/>
      <c r="D2738" s="15"/>
      <c r="E2738" s="15"/>
      <c r="F2738" s="15"/>
      <c r="G2738" s="36" t="str">
        <f t="array" ref="G2738">IF($F2738="","",IFERROR(INDEX(Config!$E:$E,MATCH($F2738,Config!$D:$D,0)),0))</f>
        <v/>
      </c>
      <c r="H2738" s="16"/>
      <c r="I2738" s="36" t="str">
        <f t="shared" si="1"/>
        <v/>
      </c>
      <c r="J2738" s="16"/>
      <c r="K2738" s="15"/>
      <c r="L2738" s="15"/>
      <c r="M2738" s="36" t="str">
        <f t="array" ref="M2738">IF($A2738="","",IF($L2738="Atendido",IFERROR($I2738*INDEX(Config!$B:$B,MATCH($C2738,Config!$A:$A,0)),0),0))</f>
        <v/>
      </c>
      <c r="N2738" s="36" t="str">
        <f t="shared" si="2"/>
        <v/>
      </c>
      <c r="O2738" s="36" t="str">
        <f t="shared" si="3"/>
        <v/>
      </c>
      <c r="P2738" s="15"/>
      <c r="Q2738" s="37" t="str">
        <f t="shared" si="4"/>
        <v/>
      </c>
      <c r="R2738" s="37" t="str">
        <f t="shared" si="5"/>
        <v/>
      </c>
      <c r="S2738" s="32" t="str">
        <f t="shared" si="6"/>
        <v/>
      </c>
      <c r="T2738" s="37" t="str">
        <f t="shared" si="7"/>
        <v/>
      </c>
      <c r="U2738" s="37" t="str">
        <f t="array" ref="U2738">IF($F2738="","",IFERROR(INDEX(Config!$F:$F,MATCH($F2738,Config!$D:$D,0)),0))</f>
        <v/>
      </c>
    </row>
    <row r="2739" ht="15.0" customHeight="1">
      <c r="A2739" s="34"/>
      <c r="B2739" s="35"/>
      <c r="C2739" s="15"/>
      <c r="D2739" s="15"/>
      <c r="E2739" s="15"/>
      <c r="F2739" s="15"/>
      <c r="G2739" s="36" t="str">
        <f t="array" ref="G2739">IF($F2739="","",IFERROR(INDEX(Config!$E:$E,MATCH($F2739,Config!$D:$D,0)),0))</f>
        <v/>
      </c>
      <c r="H2739" s="16"/>
      <c r="I2739" s="36" t="str">
        <f t="shared" si="1"/>
        <v/>
      </c>
      <c r="J2739" s="16"/>
      <c r="K2739" s="15"/>
      <c r="L2739" s="15"/>
      <c r="M2739" s="36" t="str">
        <f t="array" ref="M2739">IF($A2739="","",IF($L2739="Atendido",IFERROR($I2739*INDEX(Config!$B:$B,MATCH($C2739,Config!$A:$A,0)),0),0))</f>
        <v/>
      </c>
      <c r="N2739" s="36" t="str">
        <f t="shared" si="2"/>
        <v/>
      </c>
      <c r="O2739" s="36" t="str">
        <f t="shared" si="3"/>
        <v/>
      </c>
      <c r="P2739" s="15"/>
      <c r="Q2739" s="37" t="str">
        <f t="shared" si="4"/>
        <v/>
      </c>
      <c r="R2739" s="37" t="str">
        <f t="shared" si="5"/>
        <v/>
      </c>
      <c r="S2739" s="32" t="str">
        <f t="shared" si="6"/>
        <v/>
      </c>
      <c r="T2739" s="37" t="str">
        <f t="shared" si="7"/>
        <v/>
      </c>
      <c r="U2739" s="37" t="str">
        <f t="array" ref="U2739">IF($F2739="","",IFERROR(INDEX(Config!$F:$F,MATCH($F2739,Config!$D:$D,0)),0))</f>
        <v/>
      </c>
    </row>
    <row r="2740" ht="15.0" customHeight="1">
      <c r="A2740" s="34"/>
      <c r="B2740" s="35"/>
      <c r="C2740" s="15"/>
      <c r="D2740" s="15"/>
      <c r="E2740" s="15"/>
      <c r="F2740" s="15"/>
      <c r="G2740" s="36" t="str">
        <f t="array" ref="G2740">IF($F2740="","",IFERROR(INDEX(Config!$E:$E,MATCH($F2740,Config!$D:$D,0)),0))</f>
        <v/>
      </c>
      <c r="H2740" s="16"/>
      <c r="I2740" s="36" t="str">
        <f t="shared" si="1"/>
        <v/>
      </c>
      <c r="J2740" s="16"/>
      <c r="K2740" s="15"/>
      <c r="L2740" s="15"/>
      <c r="M2740" s="36" t="str">
        <f t="array" ref="M2740">IF($A2740="","",IF($L2740="Atendido",IFERROR($I2740*INDEX(Config!$B:$B,MATCH($C2740,Config!$A:$A,0)),0),0))</f>
        <v/>
      </c>
      <c r="N2740" s="36" t="str">
        <f t="shared" si="2"/>
        <v/>
      </c>
      <c r="O2740" s="36" t="str">
        <f t="shared" si="3"/>
        <v/>
      </c>
      <c r="P2740" s="15"/>
      <c r="Q2740" s="37" t="str">
        <f t="shared" si="4"/>
        <v/>
      </c>
      <c r="R2740" s="37" t="str">
        <f t="shared" si="5"/>
        <v/>
      </c>
      <c r="S2740" s="32" t="str">
        <f t="shared" si="6"/>
        <v/>
      </c>
      <c r="T2740" s="37" t="str">
        <f t="shared" si="7"/>
        <v/>
      </c>
      <c r="U2740" s="37" t="str">
        <f t="array" ref="U2740">IF($F2740="","",IFERROR(INDEX(Config!$F:$F,MATCH($F2740,Config!$D:$D,0)),0))</f>
        <v/>
      </c>
    </row>
    <row r="2741" ht="15.0" customHeight="1">
      <c r="A2741" s="34"/>
      <c r="B2741" s="35"/>
      <c r="C2741" s="15"/>
      <c r="D2741" s="15"/>
      <c r="E2741" s="15"/>
      <c r="F2741" s="15"/>
      <c r="G2741" s="36" t="str">
        <f t="array" ref="G2741">IF($F2741="","",IFERROR(INDEX(Config!$E:$E,MATCH($F2741,Config!$D:$D,0)),0))</f>
        <v/>
      </c>
      <c r="H2741" s="16"/>
      <c r="I2741" s="36" t="str">
        <f t="shared" si="1"/>
        <v/>
      </c>
      <c r="J2741" s="16"/>
      <c r="K2741" s="15"/>
      <c r="L2741" s="15"/>
      <c r="M2741" s="36" t="str">
        <f t="array" ref="M2741">IF($A2741="","",IF($L2741="Atendido",IFERROR($I2741*INDEX(Config!$B:$B,MATCH($C2741,Config!$A:$A,0)),0),0))</f>
        <v/>
      </c>
      <c r="N2741" s="36" t="str">
        <f t="shared" si="2"/>
        <v/>
      </c>
      <c r="O2741" s="36" t="str">
        <f t="shared" si="3"/>
        <v/>
      </c>
      <c r="P2741" s="15"/>
      <c r="Q2741" s="37" t="str">
        <f t="shared" si="4"/>
        <v/>
      </c>
      <c r="R2741" s="37" t="str">
        <f t="shared" si="5"/>
        <v/>
      </c>
      <c r="S2741" s="32" t="str">
        <f t="shared" si="6"/>
        <v/>
      </c>
      <c r="T2741" s="37" t="str">
        <f t="shared" si="7"/>
        <v/>
      </c>
      <c r="U2741" s="37" t="str">
        <f t="array" ref="U2741">IF($F2741="","",IFERROR(INDEX(Config!$F:$F,MATCH($F2741,Config!$D:$D,0)),0))</f>
        <v/>
      </c>
    </row>
    <row r="2742" ht="15.0" customHeight="1">
      <c r="A2742" s="34"/>
      <c r="B2742" s="35"/>
      <c r="C2742" s="15"/>
      <c r="D2742" s="15"/>
      <c r="E2742" s="15"/>
      <c r="F2742" s="15"/>
      <c r="G2742" s="36" t="str">
        <f t="array" ref="G2742">IF($F2742="","",IFERROR(INDEX(Config!$E:$E,MATCH($F2742,Config!$D:$D,0)),0))</f>
        <v/>
      </c>
      <c r="H2742" s="16"/>
      <c r="I2742" s="36" t="str">
        <f t="shared" si="1"/>
        <v/>
      </c>
      <c r="J2742" s="16"/>
      <c r="K2742" s="15"/>
      <c r="L2742" s="15"/>
      <c r="M2742" s="36" t="str">
        <f t="array" ref="M2742">IF($A2742="","",IF($L2742="Atendido",IFERROR($I2742*INDEX(Config!$B:$B,MATCH($C2742,Config!$A:$A,0)),0),0))</f>
        <v/>
      </c>
      <c r="N2742" s="36" t="str">
        <f t="shared" si="2"/>
        <v/>
      </c>
      <c r="O2742" s="36" t="str">
        <f t="shared" si="3"/>
        <v/>
      </c>
      <c r="P2742" s="15"/>
      <c r="Q2742" s="37" t="str">
        <f t="shared" si="4"/>
        <v/>
      </c>
      <c r="R2742" s="37" t="str">
        <f t="shared" si="5"/>
        <v/>
      </c>
      <c r="S2742" s="32" t="str">
        <f t="shared" si="6"/>
        <v/>
      </c>
      <c r="T2742" s="37" t="str">
        <f t="shared" si="7"/>
        <v/>
      </c>
      <c r="U2742" s="37" t="str">
        <f t="array" ref="U2742">IF($F2742="","",IFERROR(INDEX(Config!$F:$F,MATCH($F2742,Config!$D:$D,0)),0))</f>
        <v/>
      </c>
    </row>
    <row r="2743" ht="15.0" customHeight="1">
      <c r="A2743" s="34"/>
      <c r="B2743" s="35"/>
      <c r="C2743" s="15"/>
      <c r="D2743" s="15"/>
      <c r="E2743" s="15"/>
      <c r="F2743" s="15"/>
      <c r="G2743" s="36" t="str">
        <f t="array" ref="G2743">IF($F2743="","",IFERROR(INDEX(Config!$E:$E,MATCH($F2743,Config!$D:$D,0)),0))</f>
        <v/>
      </c>
      <c r="H2743" s="16"/>
      <c r="I2743" s="36" t="str">
        <f t="shared" si="1"/>
        <v/>
      </c>
      <c r="J2743" s="16"/>
      <c r="K2743" s="15"/>
      <c r="L2743" s="15"/>
      <c r="M2743" s="36" t="str">
        <f t="array" ref="M2743">IF($A2743="","",IF($L2743="Atendido",IFERROR($I2743*INDEX(Config!$B:$B,MATCH($C2743,Config!$A:$A,0)),0),0))</f>
        <v/>
      </c>
      <c r="N2743" s="36" t="str">
        <f t="shared" si="2"/>
        <v/>
      </c>
      <c r="O2743" s="36" t="str">
        <f t="shared" si="3"/>
        <v/>
      </c>
      <c r="P2743" s="15"/>
      <c r="Q2743" s="37" t="str">
        <f t="shared" si="4"/>
        <v/>
      </c>
      <c r="R2743" s="37" t="str">
        <f t="shared" si="5"/>
        <v/>
      </c>
      <c r="S2743" s="32" t="str">
        <f t="shared" si="6"/>
        <v/>
      </c>
      <c r="T2743" s="37" t="str">
        <f t="shared" si="7"/>
        <v/>
      </c>
      <c r="U2743" s="37" t="str">
        <f t="array" ref="U2743">IF($F2743="","",IFERROR(INDEX(Config!$F:$F,MATCH($F2743,Config!$D:$D,0)),0))</f>
        <v/>
      </c>
    </row>
    <row r="2744" ht="15.0" customHeight="1">
      <c r="A2744" s="34"/>
      <c r="B2744" s="35"/>
      <c r="C2744" s="15"/>
      <c r="D2744" s="15"/>
      <c r="E2744" s="15"/>
      <c r="F2744" s="15"/>
      <c r="G2744" s="36" t="str">
        <f t="array" ref="G2744">IF($F2744="","",IFERROR(INDEX(Config!$E:$E,MATCH($F2744,Config!$D:$D,0)),0))</f>
        <v/>
      </c>
      <c r="H2744" s="16"/>
      <c r="I2744" s="36" t="str">
        <f t="shared" si="1"/>
        <v/>
      </c>
      <c r="J2744" s="16"/>
      <c r="K2744" s="15"/>
      <c r="L2744" s="15"/>
      <c r="M2744" s="36" t="str">
        <f t="array" ref="M2744">IF($A2744="","",IF($L2744="Atendido",IFERROR($I2744*INDEX(Config!$B:$B,MATCH($C2744,Config!$A:$A,0)),0),0))</f>
        <v/>
      </c>
      <c r="N2744" s="36" t="str">
        <f t="shared" si="2"/>
        <v/>
      </c>
      <c r="O2744" s="36" t="str">
        <f t="shared" si="3"/>
        <v/>
      </c>
      <c r="P2744" s="15"/>
      <c r="Q2744" s="37" t="str">
        <f t="shared" si="4"/>
        <v/>
      </c>
      <c r="R2744" s="37" t="str">
        <f t="shared" si="5"/>
        <v/>
      </c>
      <c r="S2744" s="32" t="str">
        <f t="shared" si="6"/>
        <v/>
      </c>
      <c r="T2744" s="37" t="str">
        <f t="shared" si="7"/>
        <v/>
      </c>
      <c r="U2744" s="37" t="str">
        <f t="array" ref="U2744">IF($F2744="","",IFERROR(INDEX(Config!$F:$F,MATCH($F2744,Config!$D:$D,0)),0))</f>
        <v/>
      </c>
    </row>
    <row r="2745" ht="15.0" customHeight="1">
      <c r="A2745" s="34"/>
      <c r="B2745" s="35"/>
      <c r="C2745" s="15"/>
      <c r="D2745" s="15"/>
      <c r="E2745" s="15"/>
      <c r="F2745" s="15"/>
      <c r="G2745" s="36" t="str">
        <f t="array" ref="G2745">IF($F2745="","",IFERROR(INDEX(Config!$E:$E,MATCH($F2745,Config!$D:$D,0)),0))</f>
        <v/>
      </c>
      <c r="H2745" s="16"/>
      <c r="I2745" s="36" t="str">
        <f t="shared" si="1"/>
        <v/>
      </c>
      <c r="J2745" s="16"/>
      <c r="K2745" s="15"/>
      <c r="L2745" s="15"/>
      <c r="M2745" s="36" t="str">
        <f t="array" ref="M2745">IF($A2745="","",IF($L2745="Atendido",IFERROR($I2745*INDEX(Config!$B:$B,MATCH($C2745,Config!$A:$A,0)),0),0))</f>
        <v/>
      </c>
      <c r="N2745" s="36" t="str">
        <f t="shared" si="2"/>
        <v/>
      </c>
      <c r="O2745" s="36" t="str">
        <f t="shared" si="3"/>
        <v/>
      </c>
      <c r="P2745" s="15"/>
      <c r="Q2745" s="37" t="str">
        <f t="shared" si="4"/>
        <v/>
      </c>
      <c r="R2745" s="37" t="str">
        <f t="shared" si="5"/>
        <v/>
      </c>
      <c r="S2745" s="32" t="str">
        <f t="shared" si="6"/>
        <v/>
      </c>
      <c r="T2745" s="37" t="str">
        <f t="shared" si="7"/>
        <v/>
      </c>
      <c r="U2745" s="37" t="str">
        <f t="array" ref="U2745">IF($F2745="","",IFERROR(INDEX(Config!$F:$F,MATCH($F2745,Config!$D:$D,0)),0))</f>
        <v/>
      </c>
    </row>
    <row r="2746" ht="15.0" customHeight="1">
      <c r="A2746" s="34"/>
      <c r="B2746" s="35"/>
      <c r="C2746" s="15"/>
      <c r="D2746" s="15"/>
      <c r="E2746" s="15"/>
      <c r="F2746" s="15"/>
      <c r="G2746" s="36" t="str">
        <f t="array" ref="G2746">IF($F2746="","",IFERROR(INDEX(Config!$E:$E,MATCH($F2746,Config!$D:$D,0)),0))</f>
        <v/>
      </c>
      <c r="H2746" s="16"/>
      <c r="I2746" s="36" t="str">
        <f t="shared" si="1"/>
        <v/>
      </c>
      <c r="J2746" s="16"/>
      <c r="K2746" s="15"/>
      <c r="L2746" s="15"/>
      <c r="M2746" s="36" t="str">
        <f t="array" ref="M2746">IF($A2746="","",IF($L2746="Atendido",IFERROR($I2746*INDEX(Config!$B:$B,MATCH($C2746,Config!$A:$A,0)),0),0))</f>
        <v/>
      </c>
      <c r="N2746" s="36" t="str">
        <f t="shared" si="2"/>
        <v/>
      </c>
      <c r="O2746" s="36" t="str">
        <f t="shared" si="3"/>
        <v/>
      </c>
      <c r="P2746" s="15"/>
      <c r="Q2746" s="37" t="str">
        <f t="shared" si="4"/>
        <v/>
      </c>
      <c r="R2746" s="37" t="str">
        <f t="shared" si="5"/>
        <v/>
      </c>
      <c r="S2746" s="32" t="str">
        <f t="shared" si="6"/>
        <v/>
      </c>
      <c r="T2746" s="37" t="str">
        <f t="shared" si="7"/>
        <v/>
      </c>
      <c r="U2746" s="37" t="str">
        <f t="array" ref="U2746">IF($F2746="","",IFERROR(INDEX(Config!$F:$F,MATCH($F2746,Config!$D:$D,0)),0))</f>
        <v/>
      </c>
    </row>
    <row r="2747" ht="15.0" customHeight="1">
      <c r="A2747" s="34"/>
      <c r="B2747" s="35"/>
      <c r="C2747" s="15"/>
      <c r="D2747" s="15"/>
      <c r="E2747" s="15"/>
      <c r="F2747" s="15"/>
      <c r="G2747" s="36" t="str">
        <f t="array" ref="G2747">IF($F2747="","",IFERROR(INDEX(Config!$E:$E,MATCH($F2747,Config!$D:$D,0)),0))</f>
        <v/>
      </c>
      <c r="H2747" s="16"/>
      <c r="I2747" s="36" t="str">
        <f t="shared" si="1"/>
        <v/>
      </c>
      <c r="J2747" s="16"/>
      <c r="K2747" s="15"/>
      <c r="L2747" s="15"/>
      <c r="M2747" s="36" t="str">
        <f t="array" ref="M2747">IF($A2747="","",IF($L2747="Atendido",IFERROR($I2747*INDEX(Config!$B:$B,MATCH($C2747,Config!$A:$A,0)),0),0))</f>
        <v/>
      </c>
      <c r="N2747" s="36" t="str">
        <f t="shared" si="2"/>
        <v/>
      </c>
      <c r="O2747" s="36" t="str">
        <f t="shared" si="3"/>
        <v/>
      </c>
      <c r="P2747" s="15"/>
      <c r="Q2747" s="37" t="str">
        <f t="shared" si="4"/>
        <v/>
      </c>
      <c r="R2747" s="37" t="str">
        <f t="shared" si="5"/>
        <v/>
      </c>
      <c r="S2747" s="32" t="str">
        <f t="shared" si="6"/>
        <v/>
      </c>
      <c r="T2747" s="37" t="str">
        <f t="shared" si="7"/>
        <v/>
      </c>
      <c r="U2747" s="37" t="str">
        <f t="array" ref="U2747">IF($F2747="","",IFERROR(INDEX(Config!$F:$F,MATCH($F2747,Config!$D:$D,0)),0))</f>
        <v/>
      </c>
    </row>
    <row r="2748" ht="15.0" customHeight="1">
      <c r="A2748" s="34"/>
      <c r="B2748" s="35"/>
      <c r="C2748" s="15"/>
      <c r="D2748" s="15"/>
      <c r="E2748" s="15"/>
      <c r="F2748" s="15"/>
      <c r="G2748" s="36" t="str">
        <f t="array" ref="G2748">IF($F2748="","",IFERROR(INDEX(Config!$E:$E,MATCH($F2748,Config!$D:$D,0)),0))</f>
        <v/>
      </c>
      <c r="H2748" s="16"/>
      <c r="I2748" s="36" t="str">
        <f t="shared" si="1"/>
        <v/>
      </c>
      <c r="J2748" s="16"/>
      <c r="K2748" s="15"/>
      <c r="L2748" s="15"/>
      <c r="M2748" s="36" t="str">
        <f t="array" ref="M2748">IF($A2748="","",IF($L2748="Atendido",IFERROR($I2748*INDEX(Config!$B:$B,MATCH($C2748,Config!$A:$A,0)),0),0))</f>
        <v/>
      </c>
      <c r="N2748" s="36" t="str">
        <f t="shared" si="2"/>
        <v/>
      </c>
      <c r="O2748" s="36" t="str">
        <f t="shared" si="3"/>
        <v/>
      </c>
      <c r="P2748" s="15"/>
      <c r="Q2748" s="37" t="str">
        <f t="shared" si="4"/>
        <v/>
      </c>
      <c r="R2748" s="37" t="str">
        <f t="shared" si="5"/>
        <v/>
      </c>
      <c r="S2748" s="32" t="str">
        <f t="shared" si="6"/>
        <v/>
      </c>
      <c r="T2748" s="37" t="str">
        <f t="shared" si="7"/>
        <v/>
      </c>
      <c r="U2748" s="37" t="str">
        <f t="array" ref="U2748">IF($F2748="","",IFERROR(INDEX(Config!$F:$F,MATCH($F2748,Config!$D:$D,0)),0))</f>
        <v/>
      </c>
    </row>
    <row r="2749" ht="15.0" customHeight="1">
      <c r="A2749" s="34"/>
      <c r="B2749" s="35"/>
      <c r="C2749" s="15"/>
      <c r="D2749" s="15"/>
      <c r="E2749" s="15"/>
      <c r="F2749" s="15"/>
      <c r="G2749" s="36" t="str">
        <f t="array" ref="G2749">IF($F2749="","",IFERROR(INDEX(Config!$E:$E,MATCH($F2749,Config!$D:$D,0)),0))</f>
        <v/>
      </c>
      <c r="H2749" s="16"/>
      <c r="I2749" s="36" t="str">
        <f t="shared" si="1"/>
        <v/>
      </c>
      <c r="J2749" s="16"/>
      <c r="K2749" s="15"/>
      <c r="L2749" s="15"/>
      <c r="M2749" s="36" t="str">
        <f t="array" ref="M2749">IF($A2749="","",IF($L2749="Atendido",IFERROR($I2749*INDEX(Config!$B:$B,MATCH($C2749,Config!$A:$A,0)),0),0))</f>
        <v/>
      </c>
      <c r="N2749" s="36" t="str">
        <f t="shared" si="2"/>
        <v/>
      </c>
      <c r="O2749" s="36" t="str">
        <f t="shared" si="3"/>
        <v/>
      </c>
      <c r="P2749" s="15"/>
      <c r="Q2749" s="37" t="str">
        <f t="shared" si="4"/>
        <v/>
      </c>
      <c r="R2749" s="37" t="str">
        <f t="shared" si="5"/>
        <v/>
      </c>
      <c r="S2749" s="32" t="str">
        <f t="shared" si="6"/>
        <v/>
      </c>
      <c r="T2749" s="37" t="str">
        <f t="shared" si="7"/>
        <v/>
      </c>
      <c r="U2749" s="37" t="str">
        <f t="array" ref="U2749">IF($F2749="","",IFERROR(INDEX(Config!$F:$F,MATCH($F2749,Config!$D:$D,0)),0))</f>
        <v/>
      </c>
    </row>
    <row r="2750" ht="15.0" customHeight="1">
      <c r="A2750" s="34"/>
      <c r="B2750" s="35"/>
      <c r="C2750" s="15"/>
      <c r="D2750" s="15"/>
      <c r="E2750" s="15"/>
      <c r="F2750" s="15"/>
      <c r="G2750" s="36" t="str">
        <f t="array" ref="G2750">IF($F2750="","",IFERROR(INDEX(Config!$E:$E,MATCH($F2750,Config!$D:$D,0)),0))</f>
        <v/>
      </c>
      <c r="H2750" s="16"/>
      <c r="I2750" s="36" t="str">
        <f t="shared" si="1"/>
        <v/>
      </c>
      <c r="J2750" s="16"/>
      <c r="K2750" s="15"/>
      <c r="L2750" s="15"/>
      <c r="M2750" s="36" t="str">
        <f t="array" ref="M2750">IF($A2750="","",IF($L2750="Atendido",IFERROR($I2750*INDEX(Config!$B:$B,MATCH($C2750,Config!$A:$A,0)),0),0))</f>
        <v/>
      </c>
      <c r="N2750" s="36" t="str">
        <f t="shared" si="2"/>
        <v/>
      </c>
      <c r="O2750" s="36" t="str">
        <f t="shared" si="3"/>
        <v/>
      </c>
      <c r="P2750" s="15"/>
      <c r="Q2750" s="37" t="str">
        <f t="shared" si="4"/>
        <v/>
      </c>
      <c r="R2750" s="37" t="str">
        <f t="shared" si="5"/>
        <v/>
      </c>
      <c r="S2750" s="32" t="str">
        <f t="shared" si="6"/>
        <v/>
      </c>
      <c r="T2750" s="37" t="str">
        <f t="shared" si="7"/>
        <v/>
      </c>
      <c r="U2750" s="37" t="str">
        <f t="array" ref="U2750">IF($F2750="","",IFERROR(INDEX(Config!$F:$F,MATCH($F2750,Config!$D:$D,0)),0))</f>
        <v/>
      </c>
    </row>
    <row r="2751" ht="15.0" customHeight="1">
      <c r="A2751" s="34"/>
      <c r="B2751" s="35"/>
      <c r="C2751" s="15"/>
      <c r="D2751" s="15"/>
      <c r="E2751" s="15"/>
      <c r="F2751" s="15"/>
      <c r="G2751" s="36" t="str">
        <f t="array" ref="G2751">IF($F2751="","",IFERROR(INDEX(Config!$E:$E,MATCH($F2751,Config!$D:$D,0)),0))</f>
        <v/>
      </c>
      <c r="H2751" s="16"/>
      <c r="I2751" s="36" t="str">
        <f t="shared" si="1"/>
        <v/>
      </c>
      <c r="J2751" s="16"/>
      <c r="K2751" s="15"/>
      <c r="L2751" s="15"/>
      <c r="M2751" s="36" t="str">
        <f t="array" ref="M2751">IF($A2751="","",IF($L2751="Atendido",IFERROR($I2751*INDEX(Config!$B:$B,MATCH($C2751,Config!$A:$A,0)),0),0))</f>
        <v/>
      </c>
      <c r="N2751" s="36" t="str">
        <f t="shared" si="2"/>
        <v/>
      </c>
      <c r="O2751" s="36" t="str">
        <f t="shared" si="3"/>
        <v/>
      </c>
      <c r="P2751" s="15"/>
      <c r="Q2751" s="37" t="str">
        <f t="shared" si="4"/>
        <v/>
      </c>
      <c r="R2751" s="37" t="str">
        <f t="shared" si="5"/>
        <v/>
      </c>
      <c r="S2751" s="32" t="str">
        <f t="shared" si="6"/>
        <v/>
      </c>
      <c r="T2751" s="37" t="str">
        <f t="shared" si="7"/>
        <v/>
      </c>
      <c r="U2751" s="37" t="str">
        <f t="array" ref="U2751">IF($F2751="","",IFERROR(INDEX(Config!$F:$F,MATCH($F2751,Config!$D:$D,0)),0))</f>
        <v/>
      </c>
    </row>
    <row r="2752" ht="15.0" customHeight="1">
      <c r="A2752" s="34"/>
      <c r="B2752" s="35"/>
      <c r="C2752" s="15"/>
      <c r="D2752" s="15"/>
      <c r="E2752" s="15"/>
      <c r="F2752" s="15"/>
      <c r="G2752" s="36" t="str">
        <f t="array" ref="G2752">IF($F2752="","",IFERROR(INDEX(Config!$E:$E,MATCH($F2752,Config!$D:$D,0)),0))</f>
        <v/>
      </c>
      <c r="H2752" s="16"/>
      <c r="I2752" s="36" t="str">
        <f t="shared" si="1"/>
        <v/>
      </c>
      <c r="J2752" s="16"/>
      <c r="K2752" s="15"/>
      <c r="L2752" s="15"/>
      <c r="M2752" s="36" t="str">
        <f t="array" ref="M2752">IF($A2752="","",IF($L2752="Atendido",IFERROR($I2752*INDEX(Config!$B:$B,MATCH($C2752,Config!$A:$A,0)),0),0))</f>
        <v/>
      </c>
      <c r="N2752" s="36" t="str">
        <f t="shared" si="2"/>
        <v/>
      </c>
      <c r="O2752" s="36" t="str">
        <f t="shared" si="3"/>
        <v/>
      </c>
      <c r="P2752" s="15"/>
      <c r="Q2752" s="37" t="str">
        <f t="shared" si="4"/>
        <v/>
      </c>
      <c r="R2752" s="37" t="str">
        <f t="shared" si="5"/>
        <v/>
      </c>
      <c r="S2752" s="32" t="str">
        <f t="shared" si="6"/>
        <v/>
      </c>
      <c r="T2752" s="37" t="str">
        <f t="shared" si="7"/>
        <v/>
      </c>
      <c r="U2752" s="37" t="str">
        <f t="array" ref="U2752">IF($F2752="","",IFERROR(INDEX(Config!$F:$F,MATCH($F2752,Config!$D:$D,0)),0))</f>
        <v/>
      </c>
    </row>
    <row r="2753" ht="15.0" customHeight="1">
      <c r="A2753" s="34"/>
      <c r="B2753" s="35"/>
      <c r="C2753" s="15"/>
      <c r="D2753" s="15"/>
      <c r="E2753" s="15"/>
      <c r="F2753" s="15"/>
      <c r="G2753" s="36" t="str">
        <f t="array" ref="G2753">IF($F2753="","",IFERROR(INDEX(Config!$E:$E,MATCH($F2753,Config!$D:$D,0)),0))</f>
        <v/>
      </c>
      <c r="H2753" s="16"/>
      <c r="I2753" s="36" t="str">
        <f t="shared" si="1"/>
        <v/>
      </c>
      <c r="J2753" s="16"/>
      <c r="K2753" s="15"/>
      <c r="L2753" s="15"/>
      <c r="M2753" s="36" t="str">
        <f t="array" ref="M2753">IF($A2753="","",IF($L2753="Atendido",IFERROR($I2753*INDEX(Config!$B:$B,MATCH($C2753,Config!$A:$A,0)),0),0))</f>
        <v/>
      </c>
      <c r="N2753" s="36" t="str">
        <f t="shared" si="2"/>
        <v/>
      </c>
      <c r="O2753" s="36" t="str">
        <f t="shared" si="3"/>
        <v/>
      </c>
      <c r="P2753" s="15"/>
      <c r="Q2753" s="37" t="str">
        <f t="shared" si="4"/>
        <v/>
      </c>
      <c r="R2753" s="37" t="str">
        <f t="shared" si="5"/>
        <v/>
      </c>
      <c r="S2753" s="32" t="str">
        <f t="shared" si="6"/>
        <v/>
      </c>
      <c r="T2753" s="37" t="str">
        <f t="shared" si="7"/>
        <v/>
      </c>
      <c r="U2753" s="37" t="str">
        <f t="array" ref="U2753">IF($F2753="","",IFERROR(INDEX(Config!$F:$F,MATCH($F2753,Config!$D:$D,0)),0))</f>
        <v/>
      </c>
    </row>
    <row r="2754" ht="15.0" customHeight="1">
      <c r="A2754" s="34"/>
      <c r="B2754" s="35"/>
      <c r="C2754" s="15"/>
      <c r="D2754" s="15"/>
      <c r="E2754" s="15"/>
      <c r="F2754" s="15"/>
      <c r="G2754" s="36" t="str">
        <f t="array" ref="G2754">IF($F2754="","",IFERROR(INDEX(Config!$E:$E,MATCH($F2754,Config!$D:$D,0)),0))</f>
        <v/>
      </c>
      <c r="H2754" s="16"/>
      <c r="I2754" s="36" t="str">
        <f t="shared" si="1"/>
        <v/>
      </c>
      <c r="J2754" s="16"/>
      <c r="K2754" s="15"/>
      <c r="L2754" s="15"/>
      <c r="M2754" s="36" t="str">
        <f t="array" ref="M2754">IF($A2754="","",IF($L2754="Atendido",IFERROR($I2754*INDEX(Config!$B:$B,MATCH($C2754,Config!$A:$A,0)),0),0))</f>
        <v/>
      </c>
      <c r="N2754" s="36" t="str">
        <f t="shared" si="2"/>
        <v/>
      </c>
      <c r="O2754" s="36" t="str">
        <f t="shared" si="3"/>
        <v/>
      </c>
      <c r="P2754" s="15"/>
      <c r="Q2754" s="37" t="str">
        <f t="shared" si="4"/>
        <v/>
      </c>
      <c r="R2754" s="37" t="str">
        <f t="shared" si="5"/>
        <v/>
      </c>
      <c r="S2754" s="32" t="str">
        <f t="shared" si="6"/>
        <v/>
      </c>
      <c r="T2754" s="37" t="str">
        <f t="shared" si="7"/>
        <v/>
      </c>
      <c r="U2754" s="37" t="str">
        <f t="array" ref="U2754">IF($F2754="","",IFERROR(INDEX(Config!$F:$F,MATCH($F2754,Config!$D:$D,0)),0))</f>
        <v/>
      </c>
    </row>
    <row r="2755" ht="15.0" customHeight="1">
      <c r="A2755" s="34"/>
      <c r="B2755" s="35"/>
      <c r="C2755" s="15"/>
      <c r="D2755" s="15"/>
      <c r="E2755" s="15"/>
      <c r="F2755" s="15"/>
      <c r="G2755" s="36" t="str">
        <f t="array" ref="G2755">IF($F2755="","",IFERROR(INDEX(Config!$E:$E,MATCH($F2755,Config!$D:$D,0)),0))</f>
        <v/>
      </c>
      <c r="H2755" s="16"/>
      <c r="I2755" s="36" t="str">
        <f t="shared" si="1"/>
        <v/>
      </c>
      <c r="J2755" s="16"/>
      <c r="K2755" s="15"/>
      <c r="L2755" s="15"/>
      <c r="M2755" s="36" t="str">
        <f t="array" ref="M2755">IF($A2755="","",IF($L2755="Atendido",IFERROR($I2755*INDEX(Config!$B:$B,MATCH($C2755,Config!$A:$A,0)),0),0))</f>
        <v/>
      </c>
      <c r="N2755" s="36" t="str">
        <f t="shared" si="2"/>
        <v/>
      </c>
      <c r="O2755" s="36" t="str">
        <f t="shared" si="3"/>
        <v/>
      </c>
      <c r="P2755" s="15"/>
      <c r="Q2755" s="37" t="str">
        <f t="shared" si="4"/>
        <v/>
      </c>
      <c r="R2755" s="37" t="str">
        <f t="shared" si="5"/>
        <v/>
      </c>
      <c r="S2755" s="32" t="str">
        <f t="shared" si="6"/>
        <v/>
      </c>
      <c r="T2755" s="37" t="str">
        <f t="shared" si="7"/>
        <v/>
      </c>
      <c r="U2755" s="37" t="str">
        <f t="array" ref="U2755">IF($F2755="","",IFERROR(INDEX(Config!$F:$F,MATCH($F2755,Config!$D:$D,0)),0))</f>
        <v/>
      </c>
    </row>
    <row r="2756" ht="15.0" customHeight="1">
      <c r="A2756" s="34"/>
      <c r="B2756" s="35"/>
      <c r="C2756" s="15"/>
      <c r="D2756" s="15"/>
      <c r="E2756" s="15"/>
      <c r="F2756" s="15"/>
      <c r="G2756" s="36" t="str">
        <f t="array" ref="G2756">IF($F2756="","",IFERROR(INDEX(Config!$E:$E,MATCH($F2756,Config!$D:$D,0)),0))</f>
        <v/>
      </c>
      <c r="H2756" s="16"/>
      <c r="I2756" s="36" t="str">
        <f t="shared" si="1"/>
        <v/>
      </c>
      <c r="J2756" s="16"/>
      <c r="K2756" s="15"/>
      <c r="L2756" s="15"/>
      <c r="M2756" s="36" t="str">
        <f t="array" ref="M2756">IF($A2756="","",IF($L2756="Atendido",IFERROR($I2756*INDEX(Config!$B:$B,MATCH($C2756,Config!$A:$A,0)),0),0))</f>
        <v/>
      </c>
      <c r="N2756" s="36" t="str">
        <f t="shared" si="2"/>
        <v/>
      </c>
      <c r="O2756" s="36" t="str">
        <f t="shared" si="3"/>
        <v/>
      </c>
      <c r="P2756" s="15"/>
      <c r="Q2756" s="37" t="str">
        <f t="shared" si="4"/>
        <v/>
      </c>
      <c r="R2756" s="37" t="str">
        <f t="shared" si="5"/>
        <v/>
      </c>
      <c r="S2756" s="32" t="str">
        <f t="shared" si="6"/>
        <v/>
      </c>
      <c r="T2756" s="37" t="str">
        <f t="shared" si="7"/>
        <v/>
      </c>
      <c r="U2756" s="37" t="str">
        <f t="array" ref="U2756">IF($F2756="","",IFERROR(INDEX(Config!$F:$F,MATCH($F2756,Config!$D:$D,0)),0))</f>
        <v/>
      </c>
    </row>
    <row r="2757" ht="15.0" customHeight="1">
      <c r="A2757" s="34"/>
      <c r="B2757" s="35"/>
      <c r="C2757" s="15"/>
      <c r="D2757" s="15"/>
      <c r="E2757" s="15"/>
      <c r="F2757" s="15"/>
      <c r="G2757" s="36" t="str">
        <f t="array" ref="G2757">IF($F2757="","",IFERROR(INDEX(Config!$E:$E,MATCH($F2757,Config!$D:$D,0)),0))</f>
        <v/>
      </c>
      <c r="H2757" s="16"/>
      <c r="I2757" s="36" t="str">
        <f t="shared" si="1"/>
        <v/>
      </c>
      <c r="J2757" s="16"/>
      <c r="K2757" s="15"/>
      <c r="L2757" s="15"/>
      <c r="M2757" s="36" t="str">
        <f t="array" ref="M2757">IF($A2757="","",IF($L2757="Atendido",IFERROR($I2757*INDEX(Config!$B:$B,MATCH($C2757,Config!$A:$A,0)),0),0))</f>
        <v/>
      </c>
      <c r="N2757" s="36" t="str">
        <f t="shared" si="2"/>
        <v/>
      </c>
      <c r="O2757" s="36" t="str">
        <f t="shared" si="3"/>
        <v/>
      </c>
      <c r="P2757" s="15"/>
      <c r="Q2757" s="37" t="str">
        <f t="shared" si="4"/>
        <v/>
      </c>
      <c r="R2757" s="37" t="str">
        <f t="shared" si="5"/>
        <v/>
      </c>
      <c r="S2757" s="32" t="str">
        <f t="shared" si="6"/>
        <v/>
      </c>
      <c r="T2757" s="37" t="str">
        <f t="shared" si="7"/>
        <v/>
      </c>
      <c r="U2757" s="37" t="str">
        <f t="array" ref="U2757">IF($F2757="","",IFERROR(INDEX(Config!$F:$F,MATCH($F2757,Config!$D:$D,0)),0))</f>
        <v/>
      </c>
    </row>
    <row r="2758" ht="15.0" customHeight="1">
      <c r="A2758" s="34"/>
      <c r="B2758" s="35"/>
      <c r="C2758" s="15"/>
      <c r="D2758" s="15"/>
      <c r="E2758" s="15"/>
      <c r="F2758" s="15"/>
      <c r="G2758" s="36" t="str">
        <f t="array" ref="G2758">IF($F2758="","",IFERROR(INDEX(Config!$E:$E,MATCH($F2758,Config!$D:$D,0)),0))</f>
        <v/>
      </c>
      <c r="H2758" s="16"/>
      <c r="I2758" s="36" t="str">
        <f t="shared" si="1"/>
        <v/>
      </c>
      <c r="J2758" s="16"/>
      <c r="K2758" s="15"/>
      <c r="L2758" s="15"/>
      <c r="M2758" s="36" t="str">
        <f t="array" ref="M2758">IF($A2758="","",IF($L2758="Atendido",IFERROR($I2758*INDEX(Config!$B:$B,MATCH($C2758,Config!$A:$A,0)),0),0))</f>
        <v/>
      </c>
      <c r="N2758" s="36" t="str">
        <f t="shared" si="2"/>
        <v/>
      </c>
      <c r="O2758" s="36" t="str">
        <f t="shared" si="3"/>
        <v/>
      </c>
      <c r="P2758" s="15"/>
      <c r="Q2758" s="37" t="str">
        <f t="shared" si="4"/>
        <v/>
      </c>
      <c r="R2758" s="37" t="str">
        <f t="shared" si="5"/>
        <v/>
      </c>
      <c r="S2758" s="32" t="str">
        <f t="shared" si="6"/>
        <v/>
      </c>
      <c r="T2758" s="37" t="str">
        <f t="shared" si="7"/>
        <v/>
      </c>
      <c r="U2758" s="37" t="str">
        <f t="array" ref="U2758">IF($F2758="","",IFERROR(INDEX(Config!$F:$F,MATCH($F2758,Config!$D:$D,0)),0))</f>
        <v/>
      </c>
    </row>
    <row r="2759" ht="15.0" customHeight="1">
      <c r="A2759" s="34"/>
      <c r="B2759" s="35"/>
      <c r="C2759" s="15"/>
      <c r="D2759" s="15"/>
      <c r="E2759" s="15"/>
      <c r="F2759" s="15"/>
      <c r="G2759" s="36" t="str">
        <f t="array" ref="G2759">IF($F2759="","",IFERROR(INDEX(Config!$E:$E,MATCH($F2759,Config!$D:$D,0)),0))</f>
        <v/>
      </c>
      <c r="H2759" s="16"/>
      <c r="I2759" s="36" t="str">
        <f t="shared" si="1"/>
        <v/>
      </c>
      <c r="J2759" s="16"/>
      <c r="K2759" s="15"/>
      <c r="L2759" s="15"/>
      <c r="M2759" s="36" t="str">
        <f t="array" ref="M2759">IF($A2759="","",IF($L2759="Atendido",IFERROR($I2759*INDEX(Config!$B:$B,MATCH($C2759,Config!$A:$A,0)),0),0))</f>
        <v/>
      </c>
      <c r="N2759" s="36" t="str">
        <f t="shared" si="2"/>
        <v/>
      </c>
      <c r="O2759" s="36" t="str">
        <f t="shared" si="3"/>
        <v/>
      </c>
      <c r="P2759" s="15"/>
      <c r="Q2759" s="37" t="str">
        <f t="shared" si="4"/>
        <v/>
      </c>
      <c r="R2759" s="37" t="str">
        <f t="shared" si="5"/>
        <v/>
      </c>
      <c r="S2759" s="32" t="str">
        <f t="shared" si="6"/>
        <v/>
      </c>
      <c r="T2759" s="37" t="str">
        <f t="shared" si="7"/>
        <v/>
      </c>
      <c r="U2759" s="37" t="str">
        <f t="array" ref="U2759">IF($F2759="","",IFERROR(INDEX(Config!$F:$F,MATCH($F2759,Config!$D:$D,0)),0))</f>
        <v/>
      </c>
    </row>
    <row r="2760" ht="15.0" customHeight="1">
      <c r="A2760" s="34"/>
      <c r="B2760" s="35"/>
      <c r="C2760" s="15"/>
      <c r="D2760" s="15"/>
      <c r="E2760" s="15"/>
      <c r="F2760" s="15"/>
      <c r="G2760" s="36" t="str">
        <f t="array" ref="G2760">IF($F2760="","",IFERROR(INDEX(Config!$E:$E,MATCH($F2760,Config!$D:$D,0)),0))</f>
        <v/>
      </c>
      <c r="H2760" s="16"/>
      <c r="I2760" s="36" t="str">
        <f t="shared" si="1"/>
        <v/>
      </c>
      <c r="J2760" s="16"/>
      <c r="K2760" s="15"/>
      <c r="L2760" s="15"/>
      <c r="M2760" s="36" t="str">
        <f t="array" ref="M2760">IF($A2760="","",IF($L2760="Atendido",IFERROR($I2760*INDEX(Config!$B:$B,MATCH($C2760,Config!$A:$A,0)),0),0))</f>
        <v/>
      </c>
      <c r="N2760" s="36" t="str">
        <f t="shared" si="2"/>
        <v/>
      </c>
      <c r="O2760" s="36" t="str">
        <f t="shared" si="3"/>
        <v/>
      </c>
      <c r="P2760" s="15"/>
      <c r="Q2760" s="37" t="str">
        <f t="shared" si="4"/>
        <v/>
      </c>
      <c r="R2760" s="37" t="str">
        <f t="shared" si="5"/>
        <v/>
      </c>
      <c r="S2760" s="32" t="str">
        <f t="shared" si="6"/>
        <v/>
      </c>
      <c r="T2760" s="37" t="str">
        <f t="shared" si="7"/>
        <v/>
      </c>
      <c r="U2760" s="37" t="str">
        <f t="array" ref="U2760">IF($F2760="","",IFERROR(INDEX(Config!$F:$F,MATCH($F2760,Config!$D:$D,0)),0))</f>
        <v/>
      </c>
    </row>
    <row r="2761" ht="15.0" customHeight="1">
      <c r="A2761" s="34"/>
      <c r="B2761" s="35"/>
      <c r="C2761" s="15"/>
      <c r="D2761" s="15"/>
      <c r="E2761" s="15"/>
      <c r="F2761" s="15"/>
      <c r="G2761" s="36" t="str">
        <f t="array" ref="G2761">IF($F2761="","",IFERROR(INDEX(Config!$E:$E,MATCH($F2761,Config!$D:$D,0)),0))</f>
        <v/>
      </c>
      <c r="H2761" s="16"/>
      <c r="I2761" s="36" t="str">
        <f t="shared" si="1"/>
        <v/>
      </c>
      <c r="J2761" s="16"/>
      <c r="K2761" s="15"/>
      <c r="L2761" s="15"/>
      <c r="M2761" s="36" t="str">
        <f t="array" ref="M2761">IF($A2761="","",IF($L2761="Atendido",IFERROR($I2761*INDEX(Config!$B:$B,MATCH($C2761,Config!$A:$A,0)),0),0))</f>
        <v/>
      </c>
      <c r="N2761" s="36" t="str">
        <f t="shared" si="2"/>
        <v/>
      </c>
      <c r="O2761" s="36" t="str">
        <f t="shared" si="3"/>
        <v/>
      </c>
      <c r="P2761" s="15"/>
      <c r="Q2761" s="37" t="str">
        <f t="shared" si="4"/>
        <v/>
      </c>
      <c r="R2761" s="37" t="str">
        <f t="shared" si="5"/>
        <v/>
      </c>
      <c r="S2761" s="32" t="str">
        <f t="shared" si="6"/>
        <v/>
      </c>
      <c r="T2761" s="37" t="str">
        <f t="shared" si="7"/>
        <v/>
      </c>
      <c r="U2761" s="37" t="str">
        <f t="array" ref="U2761">IF($F2761="","",IFERROR(INDEX(Config!$F:$F,MATCH($F2761,Config!$D:$D,0)),0))</f>
        <v/>
      </c>
    </row>
    <row r="2762" ht="15.0" customHeight="1">
      <c r="A2762" s="34"/>
      <c r="B2762" s="35"/>
      <c r="C2762" s="15"/>
      <c r="D2762" s="15"/>
      <c r="E2762" s="15"/>
      <c r="F2762" s="15"/>
      <c r="G2762" s="36" t="str">
        <f t="array" ref="G2762">IF($F2762="","",IFERROR(INDEX(Config!$E:$E,MATCH($F2762,Config!$D:$D,0)),0))</f>
        <v/>
      </c>
      <c r="H2762" s="16"/>
      <c r="I2762" s="36" t="str">
        <f t="shared" si="1"/>
        <v/>
      </c>
      <c r="J2762" s="16"/>
      <c r="K2762" s="15"/>
      <c r="L2762" s="15"/>
      <c r="M2762" s="36" t="str">
        <f t="array" ref="M2762">IF($A2762="","",IF($L2762="Atendido",IFERROR($I2762*INDEX(Config!$B:$B,MATCH($C2762,Config!$A:$A,0)),0),0))</f>
        <v/>
      </c>
      <c r="N2762" s="36" t="str">
        <f t="shared" si="2"/>
        <v/>
      </c>
      <c r="O2762" s="36" t="str">
        <f t="shared" si="3"/>
        <v/>
      </c>
      <c r="P2762" s="15"/>
      <c r="Q2762" s="37" t="str">
        <f t="shared" si="4"/>
        <v/>
      </c>
      <c r="R2762" s="37" t="str">
        <f t="shared" si="5"/>
        <v/>
      </c>
      <c r="S2762" s="32" t="str">
        <f t="shared" si="6"/>
        <v/>
      </c>
      <c r="T2762" s="37" t="str">
        <f t="shared" si="7"/>
        <v/>
      </c>
      <c r="U2762" s="37" t="str">
        <f t="array" ref="U2762">IF($F2762="","",IFERROR(INDEX(Config!$F:$F,MATCH($F2762,Config!$D:$D,0)),0))</f>
        <v/>
      </c>
    </row>
    <row r="2763" ht="15.0" customHeight="1">
      <c r="A2763" s="34"/>
      <c r="B2763" s="35"/>
      <c r="C2763" s="15"/>
      <c r="D2763" s="15"/>
      <c r="E2763" s="15"/>
      <c r="F2763" s="15"/>
      <c r="G2763" s="36" t="str">
        <f t="array" ref="G2763">IF($F2763="","",IFERROR(INDEX(Config!$E:$E,MATCH($F2763,Config!$D:$D,0)),0))</f>
        <v/>
      </c>
      <c r="H2763" s="16"/>
      <c r="I2763" s="36" t="str">
        <f t="shared" si="1"/>
        <v/>
      </c>
      <c r="J2763" s="16"/>
      <c r="K2763" s="15"/>
      <c r="L2763" s="15"/>
      <c r="M2763" s="36" t="str">
        <f t="array" ref="M2763">IF($A2763="","",IF($L2763="Atendido",IFERROR($I2763*INDEX(Config!$B:$B,MATCH($C2763,Config!$A:$A,0)),0),0))</f>
        <v/>
      </c>
      <c r="N2763" s="36" t="str">
        <f t="shared" si="2"/>
        <v/>
      </c>
      <c r="O2763" s="36" t="str">
        <f t="shared" si="3"/>
        <v/>
      </c>
      <c r="P2763" s="15"/>
      <c r="Q2763" s="37" t="str">
        <f t="shared" si="4"/>
        <v/>
      </c>
      <c r="R2763" s="37" t="str">
        <f t="shared" si="5"/>
        <v/>
      </c>
      <c r="S2763" s="32" t="str">
        <f t="shared" si="6"/>
        <v/>
      </c>
      <c r="T2763" s="37" t="str">
        <f t="shared" si="7"/>
        <v/>
      </c>
      <c r="U2763" s="37" t="str">
        <f t="array" ref="U2763">IF($F2763="","",IFERROR(INDEX(Config!$F:$F,MATCH($F2763,Config!$D:$D,0)),0))</f>
        <v/>
      </c>
    </row>
    <row r="2764" ht="15.0" customHeight="1">
      <c r="A2764" s="34"/>
      <c r="B2764" s="35"/>
      <c r="C2764" s="15"/>
      <c r="D2764" s="15"/>
      <c r="E2764" s="15"/>
      <c r="F2764" s="15"/>
      <c r="G2764" s="36" t="str">
        <f t="array" ref="G2764">IF($F2764="","",IFERROR(INDEX(Config!$E:$E,MATCH($F2764,Config!$D:$D,0)),0))</f>
        <v/>
      </c>
      <c r="H2764" s="16"/>
      <c r="I2764" s="36" t="str">
        <f t="shared" si="1"/>
        <v/>
      </c>
      <c r="J2764" s="16"/>
      <c r="K2764" s="15"/>
      <c r="L2764" s="15"/>
      <c r="M2764" s="36" t="str">
        <f t="array" ref="M2764">IF($A2764="","",IF($L2764="Atendido",IFERROR($I2764*INDEX(Config!$B:$B,MATCH($C2764,Config!$A:$A,0)),0),0))</f>
        <v/>
      </c>
      <c r="N2764" s="36" t="str">
        <f t="shared" si="2"/>
        <v/>
      </c>
      <c r="O2764" s="36" t="str">
        <f t="shared" si="3"/>
        <v/>
      </c>
      <c r="P2764" s="15"/>
      <c r="Q2764" s="37" t="str">
        <f t="shared" si="4"/>
        <v/>
      </c>
      <c r="R2764" s="37" t="str">
        <f t="shared" si="5"/>
        <v/>
      </c>
      <c r="S2764" s="32" t="str">
        <f t="shared" si="6"/>
        <v/>
      </c>
      <c r="T2764" s="37" t="str">
        <f t="shared" si="7"/>
        <v/>
      </c>
      <c r="U2764" s="37" t="str">
        <f t="array" ref="U2764">IF($F2764="","",IFERROR(INDEX(Config!$F:$F,MATCH($F2764,Config!$D:$D,0)),0))</f>
        <v/>
      </c>
    </row>
    <row r="2765" ht="15.0" customHeight="1">
      <c r="A2765" s="34"/>
      <c r="B2765" s="35"/>
      <c r="C2765" s="15"/>
      <c r="D2765" s="15"/>
      <c r="E2765" s="15"/>
      <c r="F2765" s="15"/>
      <c r="G2765" s="36" t="str">
        <f t="array" ref="G2765">IF($F2765="","",IFERROR(INDEX(Config!$E:$E,MATCH($F2765,Config!$D:$D,0)),0))</f>
        <v/>
      </c>
      <c r="H2765" s="16"/>
      <c r="I2765" s="36" t="str">
        <f t="shared" si="1"/>
        <v/>
      </c>
      <c r="J2765" s="16"/>
      <c r="K2765" s="15"/>
      <c r="L2765" s="15"/>
      <c r="M2765" s="36" t="str">
        <f t="array" ref="M2765">IF($A2765="","",IF($L2765="Atendido",IFERROR($I2765*INDEX(Config!$B:$B,MATCH($C2765,Config!$A:$A,0)),0),0))</f>
        <v/>
      </c>
      <c r="N2765" s="36" t="str">
        <f t="shared" si="2"/>
        <v/>
      </c>
      <c r="O2765" s="36" t="str">
        <f t="shared" si="3"/>
        <v/>
      </c>
      <c r="P2765" s="15"/>
      <c r="Q2765" s="37" t="str">
        <f t="shared" si="4"/>
        <v/>
      </c>
      <c r="R2765" s="37" t="str">
        <f t="shared" si="5"/>
        <v/>
      </c>
      <c r="S2765" s="32" t="str">
        <f t="shared" si="6"/>
        <v/>
      </c>
      <c r="T2765" s="37" t="str">
        <f t="shared" si="7"/>
        <v/>
      </c>
      <c r="U2765" s="37" t="str">
        <f t="array" ref="U2765">IF($F2765="","",IFERROR(INDEX(Config!$F:$F,MATCH($F2765,Config!$D:$D,0)),0))</f>
        <v/>
      </c>
    </row>
    <row r="2766" ht="15.0" customHeight="1">
      <c r="A2766" s="34"/>
      <c r="B2766" s="35"/>
      <c r="C2766" s="15"/>
      <c r="D2766" s="15"/>
      <c r="E2766" s="15"/>
      <c r="F2766" s="15"/>
      <c r="G2766" s="36" t="str">
        <f t="array" ref="G2766">IF($F2766="","",IFERROR(INDEX(Config!$E:$E,MATCH($F2766,Config!$D:$D,0)),0))</f>
        <v/>
      </c>
      <c r="H2766" s="16"/>
      <c r="I2766" s="36" t="str">
        <f t="shared" si="1"/>
        <v/>
      </c>
      <c r="J2766" s="16"/>
      <c r="K2766" s="15"/>
      <c r="L2766" s="15"/>
      <c r="M2766" s="36" t="str">
        <f t="array" ref="M2766">IF($A2766="","",IF($L2766="Atendido",IFERROR($I2766*INDEX(Config!$B:$B,MATCH($C2766,Config!$A:$A,0)),0),0))</f>
        <v/>
      </c>
      <c r="N2766" s="36" t="str">
        <f t="shared" si="2"/>
        <v/>
      </c>
      <c r="O2766" s="36" t="str">
        <f t="shared" si="3"/>
        <v/>
      </c>
      <c r="P2766" s="15"/>
      <c r="Q2766" s="37" t="str">
        <f t="shared" si="4"/>
        <v/>
      </c>
      <c r="R2766" s="37" t="str">
        <f t="shared" si="5"/>
        <v/>
      </c>
      <c r="S2766" s="32" t="str">
        <f t="shared" si="6"/>
        <v/>
      </c>
      <c r="T2766" s="37" t="str">
        <f t="shared" si="7"/>
        <v/>
      </c>
      <c r="U2766" s="37" t="str">
        <f t="array" ref="U2766">IF($F2766="","",IFERROR(INDEX(Config!$F:$F,MATCH($F2766,Config!$D:$D,0)),0))</f>
        <v/>
      </c>
    </row>
    <row r="2767" ht="15.0" customHeight="1">
      <c r="A2767" s="34"/>
      <c r="B2767" s="35"/>
      <c r="C2767" s="15"/>
      <c r="D2767" s="15"/>
      <c r="E2767" s="15"/>
      <c r="F2767" s="15"/>
      <c r="G2767" s="36" t="str">
        <f t="array" ref="G2767">IF($F2767="","",IFERROR(INDEX(Config!$E:$E,MATCH($F2767,Config!$D:$D,0)),0))</f>
        <v/>
      </c>
      <c r="H2767" s="16"/>
      <c r="I2767" s="36" t="str">
        <f t="shared" si="1"/>
        <v/>
      </c>
      <c r="J2767" s="16"/>
      <c r="K2767" s="15"/>
      <c r="L2767" s="15"/>
      <c r="M2767" s="36" t="str">
        <f t="array" ref="M2767">IF($A2767="","",IF($L2767="Atendido",IFERROR($I2767*INDEX(Config!$B:$B,MATCH($C2767,Config!$A:$A,0)),0),0))</f>
        <v/>
      </c>
      <c r="N2767" s="36" t="str">
        <f t="shared" si="2"/>
        <v/>
      </c>
      <c r="O2767" s="36" t="str">
        <f t="shared" si="3"/>
        <v/>
      </c>
      <c r="P2767" s="15"/>
      <c r="Q2767" s="37" t="str">
        <f t="shared" si="4"/>
        <v/>
      </c>
      <c r="R2767" s="37" t="str">
        <f t="shared" si="5"/>
        <v/>
      </c>
      <c r="S2767" s="32" t="str">
        <f t="shared" si="6"/>
        <v/>
      </c>
      <c r="T2767" s="37" t="str">
        <f t="shared" si="7"/>
        <v/>
      </c>
      <c r="U2767" s="37" t="str">
        <f t="array" ref="U2767">IF($F2767="","",IFERROR(INDEX(Config!$F:$F,MATCH($F2767,Config!$D:$D,0)),0))</f>
        <v/>
      </c>
    </row>
    <row r="2768" ht="15.0" customHeight="1">
      <c r="A2768" s="34"/>
      <c r="B2768" s="35"/>
      <c r="C2768" s="15"/>
      <c r="D2768" s="15"/>
      <c r="E2768" s="15"/>
      <c r="F2768" s="15"/>
      <c r="G2768" s="36" t="str">
        <f t="array" ref="G2768">IF($F2768="","",IFERROR(INDEX(Config!$E:$E,MATCH($F2768,Config!$D:$D,0)),0))</f>
        <v/>
      </c>
      <c r="H2768" s="16"/>
      <c r="I2768" s="36" t="str">
        <f t="shared" si="1"/>
        <v/>
      </c>
      <c r="J2768" s="16"/>
      <c r="K2768" s="15"/>
      <c r="L2768" s="15"/>
      <c r="M2768" s="36" t="str">
        <f t="array" ref="M2768">IF($A2768="","",IF($L2768="Atendido",IFERROR($I2768*INDEX(Config!$B:$B,MATCH($C2768,Config!$A:$A,0)),0),0))</f>
        <v/>
      </c>
      <c r="N2768" s="36" t="str">
        <f t="shared" si="2"/>
        <v/>
      </c>
      <c r="O2768" s="36" t="str">
        <f t="shared" si="3"/>
        <v/>
      </c>
      <c r="P2768" s="15"/>
      <c r="Q2768" s="37" t="str">
        <f t="shared" si="4"/>
        <v/>
      </c>
      <c r="R2768" s="37" t="str">
        <f t="shared" si="5"/>
        <v/>
      </c>
      <c r="S2768" s="32" t="str">
        <f t="shared" si="6"/>
        <v/>
      </c>
      <c r="T2768" s="37" t="str">
        <f t="shared" si="7"/>
        <v/>
      </c>
      <c r="U2768" s="37" t="str">
        <f t="array" ref="U2768">IF($F2768="","",IFERROR(INDEX(Config!$F:$F,MATCH($F2768,Config!$D:$D,0)),0))</f>
        <v/>
      </c>
    </row>
    <row r="2769" ht="15.0" customHeight="1">
      <c r="A2769" s="34"/>
      <c r="B2769" s="35"/>
      <c r="C2769" s="15"/>
      <c r="D2769" s="15"/>
      <c r="E2769" s="15"/>
      <c r="F2769" s="15"/>
      <c r="G2769" s="36" t="str">
        <f t="array" ref="G2769">IF($F2769="","",IFERROR(INDEX(Config!$E:$E,MATCH($F2769,Config!$D:$D,0)),0))</f>
        <v/>
      </c>
      <c r="H2769" s="16"/>
      <c r="I2769" s="36" t="str">
        <f t="shared" si="1"/>
        <v/>
      </c>
      <c r="J2769" s="16"/>
      <c r="K2769" s="15"/>
      <c r="L2769" s="15"/>
      <c r="M2769" s="36" t="str">
        <f t="array" ref="M2769">IF($A2769="","",IF($L2769="Atendido",IFERROR($I2769*INDEX(Config!$B:$B,MATCH($C2769,Config!$A:$A,0)),0),0))</f>
        <v/>
      </c>
      <c r="N2769" s="36" t="str">
        <f t="shared" si="2"/>
        <v/>
      </c>
      <c r="O2769" s="36" t="str">
        <f t="shared" si="3"/>
        <v/>
      </c>
      <c r="P2769" s="15"/>
      <c r="Q2769" s="37" t="str">
        <f t="shared" si="4"/>
        <v/>
      </c>
      <c r="R2769" s="37" t="str">
        <f t="shared" si="5"/>
        <v/>
      </c>
      <c r="S2769" s="32" t="str">
        <f t="shared" si="6"/>
        <v/>
      </c>
      <c r="T2769" s="37" t="str">
        <f t="shared" si="7"/>
        <v/>
      </c>
      <c r="U2769" s="37" t="str">
        <f t="array" ref="U2769">IF($F2769="","",IFERROR(INDEX(Config!$F:$F,MATCH($F2769,Config!$D:$D,0)),0))</f>
        <v/>
      </c>
    </row>
    <row r="2770" ht="15.0" customHeight="1">
      <c r="A2770" s="34"/>
      <c r="B2770" s="35"/>
      <c r="C2770" s="15"/>
      <c r="D2770" s="15"/>
      <c r="E2770" s="15"/>
      <c r="F2770" s="15"/>
      <c r="G2770" s="36" t="str">
        <f t="array" ref="G2770">IF($F2770="","",IFERROR(INDEX(Config!$E:$E,MATCH($F2770,Config!$D:$D,0)),0))</f>
        <v/>
      </c>
      <c r="H2770" s="16"/>
      <c r="I2770" s="36" t="str">
        <f t="shared" si="1"/>
        <v/>
      </c>
      <c r="J2770" s="16"/>
      <c r="K2770" s="15"/>
      <c r="L2770" s="15"/>
      <c r="M2770" s="36" t="str">
        <f t="array" ref="M2770">IF($A2770="","",IF($L2770="Atendido",IFERROR($I2770*INDEX(Config!$B:$B,MATCH($C2770,Config!$A:$A,0)),0),0))</f>
        <v/>
      </c>
      <c r="N2770" s="36" t="str">
        <f t="shared" si="2"/>
        <v/>
      </c>
      <c r="O2770" s="36" t="str">
        <f t="shared" si="3"/>
        <v/>
      </c>
      <c r="P2770" s="15"/>
      <c r="Q2770" s="37" t="str">
        <f t="shared" si="4"/>
        <v/>
      </c>
      <c r="R2770" s="37" t="str">
        <f t="shared" si="5"/>
        <v/>
      </c>
      <c r="S2770" s="32" t="str">
        <f t="shared" si="6"/>
        <v/>
      </c>
      <c r="T2770" s="37" t="str">
        <f t="shared" si="7"/>
        <v/>
      </c>
      <c r="U2770" s="37" t="str">
        <f t="array" ref="U2770">IF($F2770="","",IFERROR(INDEX(Config!$F:$F,MATCH($F2770,Config!$D:$D,0)),0))</f>
        <v/>
      </c>
    </row>
    <row r="2771" ht="15.0" customHeight="1">
      <c r="A2771" s="34"/>
      <c r="B2771" s="35"/>
      <c r="C2771" s="15"/>
      <c r="D2771" s="15"/>
      <c r="E2771" s="15"/>
      <c r="F2771" s="15"/>
      <c r="G2771" s="36" t="str">
        <f t="array" ref="G2771">IF($F2771="","",IFERROR(INDEX(Config!$E:$E,MATCH($F2771,Config!$D:$D,0)),0))</f>
        <v/>
      </c>
      <c r="H2771" s="16"/>
      <c r="I2771" s="36" t="str">
        <f t="shared" si="1"/>
        <v/>
      </c>
      <c r="J2771" s="16"/>
      <c r="K2771" s="15"/>
      <c r="L2771" s="15"/>
      <c r="M2771" s="36" t="str">
        <f t="array" ref="M2771">IF($A2771="","",IF($L2771="Atendido",IFERROR($I2771*INDEX(Config!$B:$B,MATCH($C2771,Config!$A:$A,0)),0),0))</f>
        <v/>
      </c>
      <c r="N2771" s="36" t="str">
        <f t="shared" si="2"/>
        <v/>
      </c>
      <c r="O2771" s="36" t="str">
        <f t="shared" si="3"/>
        <v/>
      </c>
      <c r="P2771" s="15"/>
      <c r="Q2771" s="37" t="str">
        <f t="shared" si="4"/>
        <v/>
      </c>
      <c r="R2771" s="37" t="str">
        <f t="shared" si="5"/>
        <v/>
      </c>
      <c r="S2771" s="32" t="str">
        <f t="shared" si="6"/>
        <v/>
      </c>
      <c r="T2771" s="37" t="str">
        <f t="shared" si="7"/>
        <v/>
      </c>
      <c r="U2771" s="37" t="str">
        <f t="array" ref="U2771">IF($F2771="","",IFERROR(INDEX(Config!$F:$F,MATCH($F2771,Config!$D:$D,0)),0))</f>
        <v/>
      </c>
    </row>
    <row r="2772" ht="15.0" customHeight="1">
      <c r="A2772" s="34"/>
      <c r="B2772" s="35"/>
      <c r="C2772" s="15"/>
      <c r="D2772" s="15"/>
      <c r="E2772" s="15"/>
      <c r="F2772" s="15"/>
      <c r="G2772" s="36" t="str">
        <f t="array" ref="G2772">IF($F2772="","",IFERROR(INDEX(Config!$E:$E,MATCH($F2772,Config!$D:$D,0)),0))</f>
        <v/>
      </c>
      <c r="H2772" s="16"/>
      <c r="I2772" s="36" t="str">
        <f t="shared" si="1"/>
        <v/>
      </c>
      <c r="J2772" s="16"/>
      <c r="K2772" s="15"/>
      <c r="L2772" s="15"/>
      <c r="M2772" s="36" t="str">
        <f t="array" ref="M2772">IF($A2772="","",IF($L2772="Atendido",IFERROR($I2772*INDEX(Config!$B:$B,MATCH($C2772,Config!$A:$A,0)),0),0))</f>
        <v/>
      </c>
      <c r="N2772" s="36" t="str">
        <f t="shared" si="2"/>
        <v/>
      </c>
      <c r="O2772" s="36" t="str">
        <f t="shared" si="3"/>
        <v/>
      </c>
      <c r="P2772" s="15"/>
      <c r="Q2772" s="37" t="str">
        <f t="shared" si="4"/>
        <v/>
      </c>
      <c r="R2772" s="37" t="str">
        <f t="shared" si="5"/>
        <v/>
      </c>
      <c r="S2772" s="32" t="str">
        <f t="shared" si="6"/>
        <v/>
      </c>
      <c r="T2772" s="37" t="str">
        <f t="shared" si="7"/>
        <v/>
      </c>
      <c r="U2772" s="37" t="str">
        <f t="array" ref="U2772">IF($F2772="","",IFERROR(INDEX(Config!$F:$F,MATCH($F2772,Config!$D:$D,0)),0))</f>
        <v/>
      </c>
    </row>
    <row r="2773" ht="15.0" customHeight="1">
      <c r="A2773" s="34"/>
      <c r="B2773" s="35"/>
      <c r="C2773" s="15"/>
      <c r="D2773" s="15"/>
      <c r="E2773" s="15"/>
      <c r="F2773" s="15"/>
      <c r="G2773" s="36" t="str">
        <f t="array" ref="G2773">IF($F2773="","",IFERROR(INDEX(Config!$E:$E,MATCH($F2773,Config!$D:$D,0)),0))</f>
        <v/>
      </c>
      <c r="H2773" s="16"/>
      <c r="I2773" s="36" t="str">
        <f t="shared" si="1"/>
        <v/>
      </c>
      <c r="J2773" s="16"/>
      <c r="K2773" s="15"/>
      <c r="L2773" s="15"/>
      <c r="M2773" s="36" t="str">
        <f t="array" ref="M2773">IF($A2773="","",IF($L2773="Atendido",IFERROR($I2773*INDEX(Config!$B:$B,MATCH($C2773,Config!$A:$A,0)),0),0))</f>
        <v/>
      </c>
      <c r="N2773" s="36" t="str">
        <f t="shared" si="2"/>
        <v/>
      </c>
      <c r="O2773" s="36" t="str">
        <f t="shared" si="3"/>
        <v/>
      </c>
      <c r="P2773" s="15"/>
      <c r="Q2773" s="37" t="str">
        <f t="shared" si="4"/>
        <v/>
      </c>
      <c r="R2773" s="37" t="str">
        <f t="shared" si="5"/>
        <v/>
      </c>
      <c r="S2773" s="32" t="str">
        <f t="shared" si="6"/>
        <v/>
      </c>
      <c r="T2773" s="37" t="str">
        <f t="shared" si="7"/>
        <v/>
      </c>
      <c r="U2773" s="37" t="str">
        <f t="array" ref="U2773">IF($F2773="","",IFERROR(INDEX(Config!$F:$F,MATCH($F2773,Config!$D:$D,0)),0))</f>
        <v/>
      </c>
    </row>
    <row r="2774" ht="15.0" customHeight="1">
      <c r="A2774" s="34"/>
      <c r="B2774" s="35"/>
      <c r="C2774" s="15"/>
      <c r="D2774" s="15"/>
      <c r="E2774" s="15"/>
      <c r="F2774" s="15"/>
      <c r="G2774" s="36" t="str">
        <f t="array" ref="G2774">IF($F2774="","",IFERROR(INDEX(Config!$E:$E,MATCH($F2774,Config!$D:$D,0)),0))</f>
        <v/>
      </c>
      <c r="H2774" s="16"/>
      <c r="I2774" s="36" t="str">
        <f t="shared" si="1"/>
        <v/>
      </c>
      <c r="J2774" s="16"/>
      <c r="K2774" s="15"/>
      <c r="L2774" s="15"/>
      <c r="M2774" s="36" t="str">
        <f t="array" ref="M2774">IF($A2774="","",IF($L2774="Atendido",IFERROR($I2774*INDEX(Config!$B:$B,MATCH($C2774,Config!$A:$A,0)),0),0))</f>
        <v/>
      </c>
      <c r="N2774" s="36" t="str">
        <f t="shared" si="2"/>
        <v/>
      </c>
      <c r="O2774" s="36" t="str">
        <f t="shared" si="3"/>
        <v/>
      </c>
      <c r="P2774" s="15"/>
      <c r="Q2774" s="37" t="str">
        <f t="shared" si="4"/>
        <v/>
      </c>
      <c r="R2774" s="37" t="str">
        <f t="shared" si="5"/>
        <v/>
      </c>
      <c r="S2774" s="32" t="str">
        <f t="shared" si="6"/>
        <v/>
      </c>
      <c r="T2774" s="37" t="str">
        <f t="shared" si="7"/>
        <v/>
      </c>
      <c r="U2774" s="37" t="str">
        <f t="array" ref="U2774">IF($F2774="","",IFERROR(INDEX(Config!$F:$F,MATCH($F2774,Config!$D:$D,0)),0))</f>
        <v/>
      </c>
    </row>
    <row r="2775" ht="15.0" customHeight="1">
      <c r="A2775" s="34"/>
      <c r="B2775" s="35"/>
      <c r="C2775" s="15"/>
      <c r="D2775" s="15"/>
      <c r="E2775" s="15"/>
      <c r="F2775" s="15"/>
      <c r="G2775" s="36" t="str">
        <f t="array" ref="G2775">IF($F2775="","",IFERROR(INDEX(Config!$E:$E,MATCH($F2775,Config!$D:$D,0)),0))</f>
        <v/>
      </c>
      <c r="H2775" s="16"/>
      <c r="I2775" s="36" t="str">
        <f t="shared" si="1"/>
        <v/>
      </c>
      <c r="J2775" s="16"/>
      <c r="K2775" s="15"/>
      <c r="L2775" s="15"/>
      <c r="M2775" s="36" t="str">
        <f t="array" ref="M2775">IF($A2775="","",IF($L2775="Atendido",IFERROR($I2775*INDEX(Config!$B:$B,MATCH($C2775,Config!$A:$A,0)),0),0))</f>
        <v/>
      </c>
      <c r="N2775" s="36" t="str">
        <f t="shared" si="2"/>
        <v/>
      </c>
      <c r="O2775" s="36" t="str">
        <f t="shared" si="3"/>
        <v/>
      </c>
      <c r="P2775" s="15"/>
      <c r="Q2775" s="37" t="str">
        <f t="shared" si="4"/>
        <v/>
      </c>
      <c r="R2775" s="37" t="str">
        <f t="shared" si="5"/>
        <v/>
      </c>
      <c r="S2775" s="32" t="str">
        <f t="shared" si="6"/>
        <v/>
      </c>
      <c r="T2775" s="37" t="str">
        <f t="shared" si="7"/>
        <v/>
      </c>
      <c r="U2775" s="37" t="str">
        <f t="array" ref="U2775">IF($F2775="","",IFERROR(INDEX(Config!$F:$F,MATCH($F2775,Config!$D:$D,0)),0))</f>
        <v/>
      </c>
    </row>
    <row r="2776" ht="15.0" customHeight="1">
      <c r="A2776" s="34"/>
      <c r="B2776" s="35"/>
      <c r="C2776" s="15"/>
      <c r="D2776" s="15"/>
      <c r="E2776" s="15"/>
      <c r="F2776" s="15"/>
      <c r="G2776" s="36" t="str">
        <f t="array" ref="G2776">IF($F2776="","",IFERROR(INDEX(Config!$E:$E,MATCH($F2776,Config!$D:$D,0)),0))</f>
        <v/>
      </c>
      <c r="H2776" s="16"/>
      <c r="I2776" s="36" t="str">
        <f t="shared" si="1"/>
        <v/>
      </c>
      <c r="J2776" s="16"/>
      <c r="K2776" s="15"/>
      <c r="L2776" s="15"/>
      <c r="M2776" s="36" t="str">
        <f t="array" ref="M2776">IF($A2776="","",IF($L2776="Atendido",IFERROR($I2776*INDEX(Config!$B:$B,MATCH($C2776,Config!$A:$A,0)),0),0))</f>
        <v/>
      </c>
      <c r="N2776" s="36" t="str">
        <f t="shared" si="2"/>
        <v/>
      </c>
      <c r="O2776" s="36" t="str">
        <f t="shared" si="3"/>
        <v/>
      </c>
      <c r="P2776" s="15"/>
      <c r="Q2776" s="37" t="str">
        <f t="shared" si="4"/>
        <v/>
      </c>
      <c r="R2776" s="37" t="str">
        <f t="shared" si="5"/>
        <v/>
      </c>
      <c r="S2776" s="32" t="str">
        <f t="shared" si="6"/>
        <v/>
      </c>
      <c r="T2776" s="37" t="str">
        <f t="shared" si="7"/>
        <v/>
      </c>
      <c r="U2776" s="37" t="str">
        <f t="array" ref="U2776">IF($F2776="","",IFERROR(INDEX(Config!$F:$F,MATCH($F2776,Config!$D:$D,0)),0))</f>
        <v/>
      </c>
    </row>
    <row r="2777" ht="15.0" customHeight="1">
      <c r="A2777" s="34"/>
      <c r="B2777" s="35"/>
      <c r="C2777" s="15"/>
      <c r="D2777" s="15"/>
      <c r="E2777" s="15"/>
      <c r="F2777" s="15"/>
      <c r="G2777" s="36" t="str">
        <f t="array" ref="G2777">IF($F2777="","",IFERROR(INDEX(Config!$E:$E,MATCH($F2777,Config!$D:$D,0)),0))</f>
        <v/>
      </c>
      <c r="H2777" s="16"/>
      <c r="I2777" s="36" t="str">
        <f t="shared" si="1"/>
        <v/>
      </c>
      <c r="J2777" s="16"/>
      <c r="K2777" s="15"/>
      <c r="L2777" s="15"/>
      <c r="M2777" s="36" t="str">
        <f t="array" ref="M2777">IF($A2777="","",IF($L2777="Atendido",IFERROR($I2777*INDEX(Config!$B:$B,MATCH($C2777,Config!$A:$A,0)),0),0))</f>
        <v/>
      </c>
      <c r="N2777" s="36" t="str">
        <f t="shared" si="2"/>
        <v/>
      </c>
      <c r="O2777" s="36" t="str">
        <f t="shared" si="3"/>
        <v/>
      </c>
      <c r="P2777" s="15"/>
      <c r="Q2777" s="37" t="str">
        <f t="shared" si="4"/>
        <v/>
      </c>
      <c r="R2777" s="37" t="str">
        <f t="shared" si="5"/>
        <v/>
      </c>
      <c r="S2777" s="32" t="str">
        <f t="shared" si="6"/>
        <v/>
      </c>
      <c r="T2777" s="37" t="str">
        <f t="shared" si="7"/>
        <v/>
      </c>
      <c r="U2777" s="37" t="str">
        <f t="array" ref="U2777">IF($F2777="","",IFERROR(INDEX(Config!$F:$F,MATCH($F2777,Config!$D:$D,0)),0))</f>
        <v/>
      </c>
    </row>
    <row r="2778" ht="15.0" customHeight="1">
      <c r="A2778" s="34"/>
      <c r="B2778" s="35"/>
      <c r="C2778" s="15"/>
      <c r="D2778" s="15"/>
      <c r="E2778" s="15"/>
      <c r="F2778" s="15"/>
      <c r="G2778" s="36" t="str">
        <f t="array" ref="G2778">IF($F2778="","",IFERROR(INDEX(Config!$E:$E,MATCH($F2778,Config!$D:$D,0)),0))</f>
        <v/>
      </c>
      <c r="H2778" s="16"/>
      <c r="I2778" s="36" t="str">
        <f t="shared" si="1"/>
        <v/>
      </c>
      <c r="J2778" s="16"/>
      <c r="K2778" s="15"/>
      <c r="L2778" s="15"/>
      <c r="M2778" s="36" t="str">
        <f t="array" ref="M2778">IF($A2778="","",IF($L2778="Atendido",IFERROR($I2778*INDEX(Config!$B:$B,MATCH($C2778,Config!$A:$A,0)),0),0))</f>
        <v/>
      </c>
      <c r="N2778" s="36" t="str">
        <f t="shared" si="2"/>
        <v/>
      </c>
      <c r="O2778" s="36" t="str">
        <f t="shared" si="3"/>
        <v/>
      </c>
      <c r="P2778" s="15"/>
      <c r="Q2778" s="37" t="str">
        <f t="shared" si="4"/>
        <v/>
      </c>
      <c r="R2778" s="37" t="str">
        <f t="shared" si="5"/>
        <v/>
      </c>
      <c r="S2778" s="32" t="str">
        <f t="shared" si="6"/>
        <v/>
      </c>
      <c r="T2778" s="37" t="str">
        <f t="shared" si="7"/>
        <v/>
      </c>
      <c r="U2778" s="37" t="str">
        <f t="array" ref="U2778">IF($F2778="","",IFERROR(INDEX(Config!$F:$F,MATCH($F2778,Config!$D:$D,0)),0))</f>
        <v/>
      </c>
    </row>
    <row r="2779" ht="15.0" customHeight="1">
      <c r="A2779" s="34"/>
      <c r="B2779" s="35"/>
      <c r="C2779" s="15"/>
      <c r="D2779" s="15"/>
      <c r="E2779" s="15"/>
      <c r="F2779" s="15"/>
      <c r="G2779" s="36" t="str">
        <f t="array" ref="G2779">IF($F2779="","",IFERROR(INDEX(Config!$E:$E,MATCH($F2779,Config!$D:$D,0)),0))</f>
        <v/>
      </c>
      <c r="H2779" s="16"/>
      <c r="I2779" s="36" t="str">
        <f t="shared" si="1"/>
        <v/>
      </c>
      <c r="J2779" s="16"/>
      <c r="K2779" s="15"/>
      <c r="L2779" s="15"/>
      <c r="M2779" s="36" t="str">
        <f t="array" ref="M2779">IF($A2779="","",IF($L2779="Atendido",IFERROR($I2779*INDEX(Config!$B:$B,MATCH($C2779,Config!$A:$A,0)),0),0))</f>
        <v/>
      </c>
      <c r="N2779" s="36" t="str">
        <f t="shared" si="2"/>
        <v/>
      </c>
      <c r="O2779" s="36" t="str">
        <f t="shared" si="3"/>
        <v/>
      </c>
      <c r="P2779" s="15"/>
      <c r="Q2779" s="37" t="str">
        <f t="shared" si="4"/>
        <v/>
      </c>
      <c r="R2779" s="37" t="str">
        <f t="shared" si="5"/>
        <v/>
      </c>
      <c r="S2779" s="32" t="str">
        <f t="shared" si="6"/>
        <v/>
      </c>
      <c r="T2779" s="37" t="str">
        <f t="shared" si="7"/>
        <v/>
      </c>
      <c r="U2779" s="37" t="str">
        <f t="array" ref="U2779">IF($F2779="","",IFERROR(INDEX(Config!$F:$F,MATCH($F2779,Config!$D:$D,0)),0))</f>
        <v/>
      </c>
    </row>
    <row r="2780" ht="15.0" customHeight="1">
      <c r="A2780" s="34"/>
      <c r="B2780" s="35"/>
      <c r="C2780" s="15"/>
      <c r="D2780" s="15"/>
      <c r="E2780" s="15"/>
      <c r="F2780" s="15"/>
      <c r="G2780" s="36" t="str">
        <f t="array" ref="G2780">IF($F2780="","",IFERROR(INDEX(Config!$E:$E,MATCH($F2780,Config!$D:$D,0)),0))</f>
        <v/>
      </c>
      <c r="H2780" s="16"/>
      <c r="I2780" s="36" t="str">
        <f t="shared" si="1"/>
        <v/>
      </c>
      <c r="J2780" s="16"/>
      <c r="K2780" s="15"/>
      <c r="L2780" s="15"/>
      <c r="M2780" s="36" t="str">
        <f t="array" ref="M2780">IF($A2780="","",IF($L2780="Atendido",IFERROR($I2780*INDEX(Config!$B:$B,MATCH($C2780,Config!$A:$A,0)),0),0))</f>
        <v/>
      </c>
      <c r="N2780" s="36" t="str">
        <f t="shared" si="2"/>
        <v/>
      </c>
      <c r="O2780" s="36" t="str">
        <f t="shared" si="3"/>
        <v/>
      </c>
      <c r="P2780" s="15"/>
      <c r="Q2780" s="37" t="str">
        <f t="shared" si="4"/>
        <v/>
      </c>
      <c r="R2780" s="37" t="str">
        <f t="shared" si="5"/>
        <v/>
      </c>
      <c r="S2780" s="32" t="str">
        <f t="shared" si="6"/>
        <v/>
      </c>
      <c r="T2780" s="37" t="str">
        <f t="shared" si="7"/>
        <v/>
      </c>
      <c r="U2780" s="37" t="str">
        <f t="array" ref="U2780">IF($F2780="","",IFERROR(INDEX(Config!$F:$F,MATCH($F2780,Config!$D:$D,0)),0))</f>
        <v/>
      </c>
    </row>
    <row r="2781" ht="15.0" customHeight="1">
      <c r="A2781" s="34"/>
      <c r="B2781" s="35"/>
      <c r="C2781" s="15"/>
      <c r="D2781" s="15"/>
      <c r="E2781" s="15"/>
      <c r="F2781" s="15"/>
      <c r="G2781" s="36" t="str">
        <f t="array" ref="G2781">IF($F2781="","",IFERROR(INDEX(Config!$E:$E,MATCH($F2781,Config!$D:$D,0)),0))</f>
        <v/>
      </c>
      <c r="H2781" s="16"/>
      <c r="I2781" s="36" t="str">
        <f t="shared" si="1"/>
        <v/>
      </c>
      <c r="J2781" s="16"/>
      <c r="K2781" s="15"/>
      <c r="L2781" s="15"/>
      <c r="M2781" s="36" t="str">
        <f t="array" ref="M2781">IF($A2781="","",IF($L2781="Atendido",IFERROR($I2781*INDEX(Config!$B:$B,MATCH($C2781,Config!$A:$A,0)),0),0))</f>
        <v/>
      </c>
      <c r="N2781" s="36" t="str">
        <f t="shared" si="2"/>
        <v/>
      </c>
      <c r="O2781" s="36" t="str">
        <f t="shared" si="3"/>
        <v/>
      </c>
      <c r="P2781" s="15"/>
      <c r="Q2781" s="37" t="str">
        <f t="shared" si="4"/>
        <v/>
      </c>
      <c r="R2781" s="37" t="str">
        <f t="shared" si="5"/>
        <v/>
      </c>
      <c r="S2781" s="32" t="str">
        <f t="shared" si="6"/>
        <v/>
      </c>
      <c r="T2781" s="37" t="str">
        <f t="shared" si="7"/>
        <v/>
      </c>
      <c r="U2781" s="37" t="str">
        <f t="array" ref="U2781">IF($F2781="","",IFERROR(INDEX(Config!$F:$F,MATCH($F2781,Config!$D:$D,0)),0))</f>
        <v/>
      </c>
    </row>
    <row r="2782" ht="15.0" customHeight="1">
      <c r="A2782" s="34"/>
      <c r="B2782" s="35"/>
      <c r="C2782" s="15"/>
      <c r="D2782" s="15"/>
      <c r="E2782" s="15"/>
      <c r="F2782" s="15"/>
      <c r="G2782" s="36" t="str">
        <f t="array" ref="G2782">IF($F2782="","",IFERROR(INDEX(Config!$E:$E,MATCH($F2782,Config!$D:$D,0)),0))</f>
        <v/>
      </c>
      <c r="H2782" s="16"/>
      <c r="I2782" s="36" t="str">
        <f t="shared" si="1"/>
        <v/>
      </c>
      <c r="J2782" s="16"/>
      <c r="K2782" s="15"/>
      <c r="L2782" s="15"/>
      <c r="M2782" s="36" t="str">
        <f t="array" ref="M2782">IF($A2782="","",IF($L2782="Atendido",IFERROR($I2782*INDEX(Config!$B:$B,MATCH($C2782,Config!$A:$A,0)),0),0))</f>
        <v/>
      </c>
      <c r="N2782" s="36" t="str">
        <f t="shared" si="2"/>
        <v/>
      </c>
      <c r="O2782" s="36" t="str">
        <f t="shared" si="3"/>
        <v/>
      </c>
      <c r="P2782" s="15"/>
      <c r="Q2782" s="37" t="str">
        <f t="shared" si="4"/>
        <v/>
      </c>
      <c r="R2782" s="37" t="str">
        <f t="shared" si="5"/>
        <v/>
      </c>
      <c r="S2782" s="32" t="str">
        <f t="shared" si="6"/>
        <v/>
      </c>
      <c r="T2782" s="37" t="str">
        <f t="shared" si="7"/>
        <v/>
      </c>
      <c r="U2782" s="37" t="str">
        <f t="array" ref="U2782">IF($F2782="","",IFERROR(INDEX(Config!$F:$F,MATCH($F2782,Config!$D:$D,0)),0))</f>
        <v/>
      </c>
    </row>
    <row r="2783" ht="15.0" customHeight="1">
      <c r="A2783" s="34"/>
      <c r="B2783" s="35"/>
      <c r="C2783" s="15"/>
      <c r="D2783" s="15"/>
      <c r="E2783" s="15"/>
      <c r="F2783" s="15"/>
      <c r="G2783" s="36" t="str">
        <f t="array" ref="G2783">IF($F2783="","",IFERROR(INDEX(Config!$E:$E,MATCH($F2783,Config!$D:$D,0)),0))</f>
        <v/>
      </c>
      <c r="H2783" s="16"/>
      <c r="I2783" s="36" t="str">
        <f t="shared" si="1"/>
        <v/>
      </c>
      <c r="J2783" s="16"/>
      <c r="K2783" s="15"/>
      <c r="L2783" s="15"/>
      <c r="M2783" s="36" t="str">
        <f t="array" ref="M2783">IF($A2783="","",IF($L2783="Atendido",IFERROR($I2783*INDEX(Config!$B:$B,MATCH($C2783,Config!$A:$A,0)),0),0))</f>
        <v/>
      </c>
      <c r="N2783" s="36" t="str">
        <f t="shared" si="2"/>
        <v/>
      </c>
      <c r="O2783" s="36" t="str">
        <f t="shared" si="3"/>
        <v/>
      </c>
      <c r="P2783" s="15"/>
      <c r="Q2783" s="37" t="str">
        <f t="shared" si="4"/>
        <v/>
      </c>
      <c r="R2783" s="37" t="str">
        <f t="shared" si="5"/>
        <v/>
      </c>
      <c r="S2783" s="32" t="str">
        <f t="shared" si="6"/>
        <v/>
      </c>
      <c r="T2783" s="37" t="str">
        <f t="shared" si="7"/>
        <v/>
      </c>
      <c r="U2783" s="37" t="str">
        <f t="array" ref="U2783">IF($F2783="","",IFERROR(INDEX(Config!$F:$F,MATCH($F2783,Config!$D:$D,0)),0))</f>
        <v/>
      </c>
    </row>
    <row r="2784" ht="15.0" customHeight="1">
      <c r="A2784" s="34"/>
      <c r="B2784" s="35"/>
      <c r="C2784" s="15"/>
      <c r="D2784" s="15"/>
      <c r="E2784" s="15"/>
      <c r="F2784" s="15"/>
      <c r="G2784" s="36" t="str">
        <f t="array" ref="G2784">IF($F2784="","",IFERROR(INDEX(Config!$E:$E,MATCH($F2784,Config!$D:$D,0)),0))</f>
        <v/>
      </c>
      <c r="H2784" s="16"/>
      <c r="I2784" s="36" t="str">
        <f t="shared" si="1"/>
        <v/>
      </c>
      <c r="J2784" s="16"/>
      <c r="K2784" s="15"/>
      <c r="L2784" s="15"/>
      <c r="M2784" s="36" t="str">
        <f t="array" ref="M2784">IF($A2784="","",IF($L2784="Atendido",IFERROR($I2784*INDEX(Config!$B:$B,MATCH($C2784,Config!$A:$A,0)),0),0))</f>
        <v/>
      </c>
      <c r="N2784" s="36" t="str">
        <f t="shared" si="2"/>
        <v/>
      </c>
      <c r="O2784" s="36" t="str">
        <f t="shared" si="3"/>
        <v/>
      </c>
      <c r="P2784" s="15"/>
      <c r="Q2784" s="37" t="str">
        <f t="shared" si="4"/>
        <v/>
      </c>
      <c r="R2784" s="37" t="str">
        <f t="shared" si="5"/>
        <v/>
      </c>
      <c r="S2784" s="32" t="str">
        <f t="shared" si="6"/>
        <v/>
      </c>
      <c r="T2784" s="37" t="str">
        <f t="shared" si="7"/>
        <v/>
      </c>
      <c r="U2784" s="37" t="str">
        <f t="array" ref="U2784">IF($F2784="","",IFERROR(INDEX(Config!$F:$F,MATCH($F2784,Config!$D:$D,0)),0))</f>
        <v/>
      </c>
    </row>
    <row r="2785" ht="15.0" customHeight="1">
      <c r="A2785" s="34"/>
      <c r="B2785" s="35"/>
      <c r="C2785" s="15"/>
      <c r="D2785" s="15"/>
      <c r="E2785" s="15"/>
      <c r="F2785" s="15"/>
      <c r="G2785" s="36" t="str">
        <f t="array" ref="G2785">IF($F2785="","",IFERROR(INDEX(Config!$E:$E,MATCH($F2785,Config!$D:$D,0)),0))</f>
        <v/>
      </c>
      <c r="H2785" s="16"/>
      <c r="I2785" s="36" t="str">
        <f t="shared" si="1"/>
        <v/>
      </c>
      <c r="J2785" s="16"/>
      <c r="K2785" s="15"/>
      <c r="L2785" s="15"/>
      <c r="M2785" s="36" t="str">
        <f t="array" ref="M2785">IF($A2785="","",IF($L2785="Atendido",IFERROR($I2785*INDEX(Config!$B:$B,MATCH($C2785,Config!$A:$A,0)),0),0))</f>
        <v/>
      </c>
      <c r="N2785" s="36" t="str">
        <f t="shared" si="2"/>
        <v/>
      </c>
      <c r="O2785" s="36" t="str">
        <f t="shared" si="3"/>
        <v/>
      </c>
      <c r="P2785" s="15"/>
      <c r="Q2785" s="37" t="str">
        <f t="shared" si="4"/>
        <v/>
      </c>
      <c r="R2785" s="37" t="str">
        <f t="shared" si="5"/>
        <v/>
      </c>
      <c r="S2785" s="32" t="str">
        <f t="shared" si="6"/>
        <v/>
      </c>
      <c r="T2785" s="37" t="str">
        <f t="shared" si="7"/>
        <v/>
      </c>
      <c r="U2785" s="37" t="str">
        <f t="array" ref="U2785">IF($F2785="","",IFERROR(INDEX(Config!$F:$F,MATCH($F2785,Config!$D:$D,0)),0))</f>
        <v/>
      </c>
    </row>
    <row r="2786" ht="15.0" customHeight="1">
      <c r="A2786" s="34"/>
      <c r="B2786" s="35"/>
      <c r="C2786" s="15"/>
      <c r="D2786" s="15"/>
      <c r="E2786" s="15"/>
      <c r="F2786" s="15"/>
      <c r="G2786" s="36" t="str">
        <f t="array" ref="G2786">IF($F2786="","",IFERROR(INDEX(Config!$E:$E,MATCH($F2786,Config!$D:$D,0)),0))</f>
        <v/>
      </c>
      <c r="H2786" s="16"/>
      <c r="I2786" s="36" t="str">
        <f t="shared" si="1"/>
        <v/>
      </c>
      <c r="J2786" s="16"/>
      <c r="K2786" s="15"/>
      <c r="L2786" s="15"/>
      <c r="M2786" s="36" t="str">
        <f t="array" ref="M2786">IF($A2786="","",IF($L2786="Atendido",IFERROR($I2786*INDEX(Config!$B:$B,MATCH($C2786,Config!$A:$A,0)),0),0))</f>
        <v/>
      </c>
      <c r="N2786" s="36" t="str">
        <f t="shared" si="2"/>
        <v/>
      </c>
      <c r="O2786" s="36" t="str">
        <f t="shared" si="3"/>
        <v/>
      </c>
      <c r="P2786" s="15"/>
      <c r="Q2786" s="37" t="str">
        <f t="shared" si="4"/>
        <v/>
      </c>
      <c r="R2786" s="37" t="str">
        <f t="shared" si="5"/>
        <v/>
      </c>
      <c r="S2786" s="32" t="str">
        <f t="shared" si="6"/>
        <v/>
      </c>
      <c r="T2786" s="37" t="str">
        <f t="shared" si="7"/>
        <v/>
      </c>
      <c r="U2786" s="37" t="str">
        <f t="array" ref="U2786">IF($F2786="","",IFERROR(INDEX(Config!$F:$F,MATCH($F2786,Config!$D:$D,0)),0))</f>
        <v/>
      </c>
    </row>
    <row r="2787" ht="15.0" customHeight="1">
      <c r="A2787" s="34"/>
      <c r="B2787" s="35"/>
      <c r="C2787" s="15"/>
      <c r="D2787" s="15"/>
      <c r="E2787" s="15"/>
      <c r="F2787" s="15"/>
      <c r="G2787" s="36" t="str">
        <f t="array" ref="G2787">IF($F2787="","",IFERROR(INDEX(Config!$E:$E,MATCH($F2787,Config!$D:$D,0)),0))</f>
        <v/>
      </c>
      <c r="H2787" s="16"/>
      <c r="I2787" s="36" t="str">
        <f t="shared" si="1"/>
        <v/>
      </c>
      <c r="J2787" s="16"/>
      <c r="K2787" s="15"/>
      <c r="L2787" s="15"/>
      <c r="M2787" s="36" t="str">
        <f t="array" ref="M2787">IF($A2787="","",IF($L2787="Atendido",IFERROR($I2787*INDEX(Config!$B:$B,MATCH($C2787,Config!$A:$A,0)),0),0))</f>
        <v/>
      </c>
      <c r="N2787" s="36" t="str">
        <f t="shared" si="2"/>
        <v/>
      </c>
      <c r="O2787" s="36" t="str">
        <f t="shared" si="3"/>
        <v/>
      </c>
      <c r="P2787" s="15"/>
      <c r="Q2787" s="37" t="str">
        <f t="shared" si="4"/>
        <v/>
      </c>
      <c r="R2787" s="37" t="str">
        <f t="shared" si="5"/>
        <v/>
      </c>
      <c r="S2787" s="32" t="str">
        <f t="shared" si="6"/>
        <v/>
      </c>
      <c r="T2787" s="37" t="str">
        <f t="shared" si="7"/>
        <v/>
      </c>
      <c r="U2787" s="37" t="str">
        <f t="array" ref="U2787">IF($F2787="","",IFERROR(INDEX(Config!$F:$F,MATCH($F2787,Config!$D:$D,0)),0))</f>
        <v/>
      </c>
    </row>
    <row r="2788" ht="15.0" customHeight="1">
      <c r="A2788" s="34"/>
      <c r="B2788" s="35"/>
      <c r="C2788" s="15"/>
      <c r="D2788" s="15"/>
      <c r="E2788" s="15"/>
      <c r="F2788" s="15"/>
      <c r="G2788" s="36" t="str">
        <f t="array" ref="G2788">IF($F2788="","",IFERROR(INDEX(Config!$E:$E,MATCH($F2788,Config!$D:$D,0)),0))</f>
        <v/>
      </c>
      <c r="H2788" s="16"/>
      <c r="I2788" s="36" t="str">
        <f t="shared" si="1"/>
        <v/>
      </c>
      <c r="J2788" s="16"/>
      <c r="K2788" s="15"/>
      <c r="L2788" s="15"/>
      <c r="M2788" s="36" t="str">
        <f t="array" ref="M2788">IF($A2788="","",IF($L2788="Atendido",IFERROR($I2788*INDEX(Config!$B:$B,MATCH($C2788,Config!$A:$A,0)),0),0))</f>
        <v/>
      </c>
      <c r="N2788" s="36" t="str">
        <f t="shared" si="2"/>
        <v/>
      </c>
      <c r="O2788" s="36" t="str">
        <f t="shared" si="3"/>
        <v/>
      </c>
      <c r="P2788" s="15"/>
      <c r="Q2788" s="37" t="str">
        <f t="shared" si="4"/>
        <v/>
      </c>
      <c r="R2788" s="37" t="str">
        <f t="shared" si="5"/>
        <v/>
      </c>
      <c r="S2788" s="32" t="str">
        <f t="shared" si="6"/>
        <v/>
      </c>
      <c r="T2788" s="37" t="str">
        <f t="shared" si="7"/>
        <v/>
      </c>
      <c r="U2788" s="37" t="str">
        <f t="array" ref="U2788">IF($F2788="","",IFERROR(INDEX(Config!$F:$F,MATCH($F2788,Config!$D:$D,0)),0))</f>
        <v/>
      </c>
    </row>
    <row r="2789" ht="15.0" customHeight="1">
      <c r="A2789" s="34"/>
      <c r="B2789" s="35"/>
      <c r="C2789" s="15"/>
      <c r="D2789" s="15"/>
      <c r="E2789" s="15"/>
      <c r="F2789" s="15"/>
      <c r="G2789" s="36" t="str">
        <f t="array" ref="G2789">IF($F2789="","",IFERROR(INDEX(Config!$E:$E,MATCH($F2789,Config!$D:$D,0)),0))</f>
        <v/>
      </c>
      <c r="H2789" s="16"/>
      <c r="I2789" s="36" t="str">
        <f t="shared" si="1"/>
        <v/>
      </c>
      <c r="J2789" s="16"/>
      <c r="K2789" s="15"/>
      <c r="L2789" s="15"/>
      <c r="M2789" s="36" t="str">
        <f t="array" ref="M2789">IF($A2789="","",IF($L2789="Atendido",IFERROR($I2789*INDEX(Config!$B:$B,MATCH($C2789,Config!$A:$A,0)),0),0))</f>
        <v/>
      </c>
      <c r="N2789" s="36" t="str">
        <f t="shared" si="2"/>
        <v/>
      </c>
      <c r="O2789" s="36" t="str">
        <f t="shared" si="3"/>
        <v/>
      </c>
      <c r="P2789" s="15"/>
      <c r="Q2789" s="37" t="str">
        <f t="shared" si="4"/>
        <v/>
      </c>
      <c r="R2789" s="37" t="str">
        <f t="shared" si="5"/>
        <v/>
      </c>
      <c r="S2789" s="32" t="str">
        <f t="shared" si="6"/>
        <v/>
      </c>
      <c r="T2789" s="37" t="str">
        <f t="shared" si="7"/>
        <v/>
      </c>
      <c r="U2789" s="37" t="str">
        <f t="array" ref="U2789">IF($F2789="","",IFERROR(INDEX(Config!$F:$F,MATCH($F2789,Config!$D:$D,0)),0))</f>
        <v/>
      </c>
    </row>
    <row r="2790" ht="15.0" customHeight="1">
      <c r="A2790" s="34"/>
      <c r="B2790" s="35"/>
      <c r="C2790" s="15"/>
      <c r="D2790" s="15"/>
      <c r="E2790" s="15"/>
      <c r="F2790" s="15"/>
      <c r="G2790" s="36" t="str">
        <f t="array" ref="G2790">IF($F2790="","",IFERROR(INDEX(Config!$E:$E,MATCH($F2790,Config!$D:$D,0)),0))</f>
        <v/>
      </c>
      <c r="H2790" s="16"/>
      <c r="I2790" s="36" t="str">
        <f t="shared" si="1"/>
        <v/>
      </c>
      <c r="J2790" s="16"/>
      <c r="K2790" s="15"/>
      <c r="L2790" s="15"/>
      <c r="M2790" s="36" t="str">
        <f t="array" ref="M2790">IF($A2790="","",IF($L2790="Atendido",IFERROR($I2790*INDEX(Config!$B:$B,MATCH($C2790,Config!$A:$A,0)),0),0))</f>
        <v/>
      </c>
      <c r="N2790" s="36" t="str">
        <f t="shared" si="2"/>
        <v/>
      </c>
      <c r="O2790" s="36" t="str">
        <f t="shared" si="3"/>
        <v/>
      </c>
      <c r="P2790" s="15"/>
      <c r="Q2790" s="37" t="str">
        <f t="shared" si="4"/>
        <v/>
      </c>
      <c r="R2790" s="37" t="str">
        <f t="shared" si="5"/>
        <v/>
      </c>
      <c r="S2790" s="32" t="str">
        <f t="shared" si="6"/>
        <v/>
      </c>
      <c r="T2790" s="37" t="str">
        <f t="shared" si="7"/>
        <v/>
      </c>
      <c r="U2790" s="37" t="str">
        <f t="array" ref="U2790">IF($F2790="","",IFERROR(INDEX(Config!$F:$F,MATCH($F2790,Config!$D:$D,0)),0))</f>
        <v/>
      </c>
    </row>
    <row r="2791" ht="15.0" customHeight="1">
      <c r="A2791" s="34"/>
      <c r="B2791" s="35"/>
      <c r="C2791" s="15"/>
      <c r="D2791" s="15"/>
      <c r="E2791" s="15"/>
      <c r="F2791" s="15"/>
      <c r="G2791" s="36" t="str">
        <f t="array" ref="G2791">IF($F2791="","",IFERROR(INDEX(Config!$E:$E,MATCH($F2791,Config!$D:$D,0)),0))</f>
        <v/>
      </c>
      <c r="H2791" s="16"/>
      <c r="I2791" s="36" t="str">
        <f t="shared" si="1"/>
        <v/>
      </c>
      <c r="J2791" s="16"/>
      <c r="K2791" s="15"/>
      <c r="L2791" s="15"/>
      <c r="M2791" s="36" t="str">
        <f t="array" ref="M2791">IF($A2791="","",IF($L2791="Atendido",IFERROR($I2791*INDEX(Config!$B:$B,MATCH($C2791,Config!$A:$A,0)),0),0))</f>
        <v/>
      </c>
      <c r="N2791" s="36" t="str">
        <f t="shared" si="2"/>
        <v/>
      </c>
      <c r="O2791" s="36" t="str">
        <f t="shared" si="3"/>
        <v/>
      </c>
      <c r="P2791" s="15"/>
      <c r="Q2791" s="37" t="str">
        <f t="shared" si="4"/>
        <v/>
      </c>
      <c r="R2791" s="37" t="str">
        <f t="shared" si="5"/>
        <v/>
      </c>
      <c r="S2791" s="32" t="str">
        <f t="shared" si="6"/>
        <v/>
      </c>
      <c r="T2791" s="37" t="str">
        <f t="shared" si="7"/>
        <v/>
      </c>
      <c r="U2791" s="37" t="str">
        <f t="array" ref="U2791">IF($F2791="","",IFERROR(INDEX(Config!$F:$F,MATCH($F2791,Config!$D:$D,0)),0))</f>
        <v/>
      </c>
    </row>
    <row r="2792" ht="15.0" customHeight="1">
      <c r="A2792" s="34"/>
      <c r="B2792" s="35"/>
      <c r="C2792" s="15"/>
      <c r="D2792" s="15"/>
      <c r="E2792" s="15"/>
      <c r="F2792" s="15"/>
      <c r="G2792" s="36" t="str">
        <f t="array" ref="G2792">IF($F2792="","",IFERROR(INDEX(Config!$E:$E,MATCH($F2792,Config!$D:$D,0)),0))</f>
        <v/>
      </c>
      <c r="H2792" s="16"/>
      <c r="I2792" s="36" t="str">
        <f t="shared" si="1"/>
        <v/>
      </c>
      <c r="J2792" s="16"/>
      <c r="K2792" s="15"/>
      <c r="L2792" s="15"/>
      <c r="M2792" s="36" t="str">
        <f t="array" ref="M2792">IF($A2792="","",IF($L2792="Atendido",IFERROR($I2792*INDEX(Config!$B:$B,MATCH($C2792,Config!$A:$A,0)),0),0))</f>
        <v/>
      </c>
      <c r="N2792" s="36" t="str">
        <f t="shared" si="2"/>
        <v/>
      </c>
      <c r="O2792" s="36" t="str">
        <f t="shared" si="3"/>
        <v/>
      </c>
      <c r="P2792" s="15"/>
      <c r="Q2792" s="37" t="str">
        <f t="shared" si="4"/>
        <v/>
      </c>
      <c r="R2792" s="37" t="str">
        <f t="shared" si="5"/>
        <v/>
      </c>
      <c r="S2792" s="32" t="str">
        <f t="shared" si="6"/>
        <v/>
      </c>
      <c r="T2792" s="37" t="str">
        <f t="shared" si="7"/>
        <v/>
      </c>
      <c r="U2792" s="37" t="str">
        <f t="array" ref="U2792">IF($F2792="","",IFERROR(INDEX(Config!$F:$F,MATCH($F2792,Config!$D:$D,0)),0))</f>
        <v/>
      </c>
    </row>
    <row r="2793" ht="15.0" customHeight="1">
      <c r="A2793" s="34"/>
      <c r="B2793" s="35"/>
      <c r="C2793" s="15"/>
      <c r="D2793" s="15"/>
      <c r="E2793" s="15"/>
      <c r="F2793" s="15"/>
      <c r="G2793" s="36" t="str">
        <f t="array" ref="G2793">IF($F2793="","",IFERROR(INDEX(Config!$E:$E,MATCH($F2793,Config!$D:$D,0)),0))</f>
        <v/>
      </c>
      <c r="H2793" s="16"/>
      <c r="I2793" s="36" t="str">
        <f t="shared" si="1"/>
        <v/>
      </c>
      <c r="J2793" s="16"/>
      <c r="K2793" s="15"/>
      <c r="L2793" s="15"/>
      <c r="M2793" s="36" t="str">
        <f t="array" ref="M2793">IF($A2793="","",IF($L2793="Atendido",IFERROR($I2793*INDEX(Config!$B:$B,MATCH($C2793,Config!$A:$A,0)),0),0))</f>
        <v/>
      </c>
      <c r="N2793" s="36" t="str">
        <f t="shared" si="2"/>
        <v/>
      </c>
      <c r="O2793" s="36" t="str">
        <f t="shared" si="3"/>
        <v/>
      </c>
      <c r="P2793" s="15"/>
      <c r="Q2793" s="37" t="str">
        <f t="shared" si="4"/>
        <v/>
      </c>
      <c r="R2793" s="37" t="str">
        <f t="shared" si="5"/>
        <v/>
      </c>
      <c r="S2793" s="32" t="str">
        <f t="shared" si="6"/>
        <v/>
      </c>
      <c r="T2793" s="37" t="str">
        <f t="shared" si="7"/>
        <v/>
      </c>
      <c r="U2793" s="37" t="str">
        <f t="array" ref="U2793">IF($F2793="","",IFERROR(INDEX(Config!$F:$F,MATCH($F2793,Config!$D:$D,0)),0))</f>
        <v/>
      </c>
    </row>
    <row r="2794" ht="15.0" customHeight="1">
      <c r="A2794" s="34"/>
      <c r="B2794" s="35"/>
      <c r="C2794" s="15"/>
      <c r="D2794" s="15"/>
      <c r="E2794" s="15"/>
      <c r="F2794" s="15"/>
      <c r="G2794" s="36" t="str">
        <f t="array" ref="G2794">IF($F2794="","",IFERROR(INDEX(Config!$E:$E,MATCH($F2794,Config!$D:$D,0)),0))</f>
        <v/>
      </c>
      <c r="H2794" s="16"/>
      <c r="I2794" s="36" t="str">
        <f t="shared" si="1"/>
        <v/>
      </c>
      <c r="J2794" s="16"/>
      <c r="K2794" s="15"/>
      <c r="L2794" s="15"/>
      <c r="M2794" s="36" t="str">
        <f t="array" ref="M2794">IF($A2794="","",IF($L2794="Atendido",IFERROR($I2794*INDEX(Config!$B:$B,MATCH($C2794,Config!$A:$A,0)),0),0))</f>
        <v/>
      </c>
      <c r="N2794" s="36" t="str">
        <f t="shared" si="2"/>
        <v/>
      </c>
      <c r="O2794" s="36" t="str">
        <f t="shared" si="3"/>
        <v/>
      </c>
      <c r="P2794" s="15"/>
      <c r="Q2794" s="37" t="str">
        <f t="shared" si="4"/>
        <v/>
      </c>
      <c r="R2794" s="37" t="str">
        <f t="shared" si="5"/>
        <v/>
      </c>
      <c r="S2794" s="32" t="str">
        <f t="shared" si="6"/>
        <v/>
      </c>
      <c r="T2794" s="37" t="str">
        <f t="shared" si="7"/>
        <v/>
      </c>
      <c r="U2794" s="37" t="str">
        <f t="array" ref="U2794">IF($F2794="","",IFERROR(INDEX(Config!$F:$F,MATCH($F2794,Config!$D:$D,0)),0))</f>
        <v/>
      </c>
    </row>
    <row r="2795" ht="15.0" customHeight="1">
      <c r="A2795" s="34"/>
      <c r="B2795" s="35"/>
      <c r="C2795" s="15"/>
      <c r="D2795" s="15"/>
      <c r="E2795" s="15"/>
      <c r="F2795" s="15"/>
      <c r="G2795" s="36" t="str">
        <f t="array" ref="G2795">IF($F2795="","",IFERROR(INDEX(Config!$E:$E,MATCH($F2795,Config!$D:$D,0)),0))</f>
        <v/>
      </c>
      <c r="H2795" s="16"/>
      <c r="I2795" s="36" t="str">
        <f t="shared" si="1"/>
        <v/>
      </c>
      <c r="J2795" s="16"/>
      <c r="K2795" s="15"/>
      <c r="L2795" s="15"/>
      <c r="M2795" s="36" t="str">
        <f t="array" ref="M2795">IF($A2795="","",IF($L2795="Atendido",IFERROR($I2795*INDEX(Config!$B:$B,MATCH($C2795,Config!$A:$A,0)),0),0))</f>
        <v/>
      </c>
      <c r="N2795" s="36" t="str">
        <f t="shared" si="2"/>
        <v/>
      </c>
      <c r="O2795" s="36" t="str">
        <f t="shared" si="3"/>
        <v/>
      </c>
      <c r="P2795" s="15"/>
      <c r="Q2795" s="37" t="str">
        <f t="shared" si="4"/>
        <v/>
      </c>
      <c r="R2795" s="37" t="str">
        <f t="shared" si="5"/>
        <v/>
      </c>
      <c r="S2795" s="32" t="str">
        <f t="shared" si="6"/>
        <v/>
      </c>
      <c r="T2795" s="37" t="str">
        <f t="shared" si="7"/>
        <v/>
      </c>
      <c r="U2795" s="37" t="str">
        <f t="array" ref="U2795">IF($F2795="","",IFERROR(INDEX(Config!$F:$F,MATCH($F2795,Config!$D:$D,0)),0))</f>
        <v/>
      </c>
    </row>
    <row r="2796" ht="15.0" customHeight="1">
      <c r="A2796" s="34"/>
      <c r="B2796" s="35"/>
      <c r="C2796" s="15"/>
      <c r="D2796" s="15"/>
      <c r="E2796" s="15"/>
      <c r="F2796" s="15"/>
      <c r="G2796" s="36" t="str">
        <f t="array" ref="G2796">IF($F2796="","",IFERROR(INDEX(Config!$E:$E,MATCH($F2796,Config!$D:$D,0)),0))</f>
        <v/>
      </c>
      <c r="H2796" s="16"/>
      <c r="I2796" s="36" t="str">
        <f t="shared" si="1"/>
        <v/>
      </c>
      <c r="J2796" s="16"/>
      <c r="K2796" s="15"/>
      <c r="L2796" s="15"/>
      <c r="M2796" s="36" t="str">
        <f t="array" ref="M2796">IF($A2796="","",IF($L2796="Atendido",IFERROR($I2796*INDEX(Config!$B:$B,MATCH($C2796,Config!$A:$A,0)),0),0))</f>
        <v/>
      </c>
      <c r="N2796" s="36" t="str">
        <f t="shared" si="2"/>
        <v/>
      </c>
      <c r="O2796" s="36" t="str">
        <f t="shared" si="3"/>
        <v/>
      </c>
      <c r="P2796" s="15"/>
      <c r="Q2796" s="37" t="str">
        <f t="shared" si="4"/>
        <v/>
      </c>
      <c r="R2796" s="37" t="str">
        <f t="shared" si="5"/>
        <v/>
      </c>
      <c r="S2796" s="32" t="str">
        <f t="shared" si="6"/>
        <v/>
      </c>
      <c r="T2796" s="37" t="str">
        <f t="shared" si="7"/>
        <v/>
      </c>
      <c r="U2796" s="37" t="str">
        <f t="array" ref="U2796">IF($F2796="","",IFERROR(INDEX(Config!$F:$F,MATCH($F2796,Config!$D:$D,0)),0))</f>
        <v/>
      </c>
    </row>
    <row r="2797" ht="15.0" customHeight="1">
      <c r="A2797" s="34"/>
      <c r="B2797" s="35"/>
      <c r="C2797" s="15"/>
      <c r="D2797" s="15"/>
      <c r="E2797" s="15"/>
      <c r="F2797" s="15"/>
      <c r="G2797" s="36" t="str">
        <f t="array" ref="G2797">IF($F2797="","",IFERROR(INDEX(Config!$E:$E,MATCH($F2797,Config!$D:$D,0)),0))</f>
        <v/>
      </c>
      <c r="H2797" s="16"/>
      <c r="I2797" s="36" t="str">
        <f t="shared" si="1"/>
        <v/>
      </c>
      <c r="J2797" s="16"/>
      <c r="K2797" s="15"/>
      <c r="L2797" s="15"/>
      <c r="M2797" s="36" t="str">
        <f t="array" ref="M2797">IF($A2797="","",IF($L2797="Atendido",IFERROR($I2797*INDEX(Config!$B:$B,MATCH($C2797,Config!$A:$A,0)),0),0))</f>
        <v/>
      </c>
      <c r="N2797" s="36" t="str">
        <f t="shared" si="2"/>
        <v/>
      </c>
      <c r="O2797" s="36" t="str">
        <f t="shared" si="3"/>
        <v/>
      </c>
      <c r="P2797" s="15"/>
      <c r="Q2797" s="37" t="str">
        <f t="shared" si="4"/>
        <v/>
      </c>
      <c r="R2797" s="37" t="str">
        <f t="shared" si="5"/>
        <v/>
      </c>
      <c r="S2797" s="32" t="str">
        <f t="shared" si="6"/>
        <v/>
      </c>
      <c r="T2797" s="37" t="str">
        <f t="shared" si="7"/>
        <v/>
      </c>
      <c r="U2797" s="37" t="str">
        <f t="array" ref="U2797">IF($F2797="","",IFERROR(INDEX(Config!$F:$F,MATCH($F2797,Config!$D:$D,0)),0))</f>
        <v/>
      </c>
    </row>
    <row r="2798" ht="15.0" customHeight="1">
      <c r="A2798" s="34"/>
      <c r="B2798" s="35"/>
      <c r="C2798" s="15"/>
      <c r="D2798" s="15"/>
      <c r="E2798" s="15"/>
      <c r="F2798" s="15"/>
      <c r="G2798" s="36" t="str">
        <f t="array" ref="G2798">IF($F2798="","",IFERROR(INDEX(Config!$E:$E,MATCH($F2798,Config!$D:$D,0)),0))</f>
        <v/>
      </c>
      <c r="H2798" s="16"/>
      <c r="I2798" s="36" t="str">
        <f t="shared" si="1"/>
        <v/>
      </c>
      <c r="J2798" s="16"/>
      <c r="K2798" s="15"/>
      <c r="L2798" s="15"/>
      <c r="M2798" s="36" t="str">
        <f t="array" ref="M2798">IF($A2798="","",IF($L2798="Atendido",IFERROR($I2798*INDEX(Config!$B:$B,MATCH($C2798,Config!$A:$A,0)),0),0))</f>
        <v/>
      </c>
      <c r="N2798" s="36" t="str">
        <f t="shared" si="2"/>
        <v/>
      </c>
      <c r="O2798" s="36" t="str">
        <f t="shared" si="3"/>
        <v/>
      </c>
      <c r="P2798" s="15"/>
      <c r="Q2798" s="37" t="str">
        <f t="shared" si="4"/>
        <v/>
      </c>
      <c r="R2798" s="37" t="str">
        <f t="shared" si="5"/>
        <v/>
      </c>
      <c r="S2798" s="32" t="str">
        <f t="shared" si="6"/>
        <v/>
      </c>
      <c r="T2798" s="37" t="str">
        <f t="shared" si="7"/>
        <v/>
      </c>
      <c r="U2798" s="37" t="str">
        <f t="array" ref="U2798">IF($F2798="","",IFERROR(INDEX(Config!$F:$F,MATCH($F2798,Config!$D:$D,0)),0))</f>
        <v/>
      </c>
    </row>
    <row r="2799" ht="15.0" customHeight="1">
      <c r="A2799" s="34"/>
      <c r="B2799" s="35"/>
      <c r="C2799" s="15"/>
      <c r="D2799" s="15"/>
      <c r="E2799" s="15"/>
      <c r="F2799" s="15"/>
      <c r="G2799" s="36" t="str">
        <f t="array" ref="G2799">IF($F2799="","",IFERROR(INDEX(Config!$E:$E,MATCH($F2799,Config!$D:$D,0)),0))</f>
        <v/>
      </c>
      <c r="H2799" s="16"/>
      <c r="I2799" s="36" t="str">
        <f t="shared" si="1"/>
        <v/>
      </c>
      <c r="J2799" s="16"/>
      <c r="K2799" s="15"/>
      <c r="L2799" s="15"/>
      <c r="M2799" s="36" t="str">
        <f t="array" ref="M2799">IF($A2799="","",IF($L2799="Atendido",IFERROR($I2799*INDEX(Config!$B:$B,MATCH($C2799,Config!$A:$A,0)),0),0))</f>
        <v/>
      </c>
      <c r="N2799" s="36" t="str">
        <f t="shared" si="2"/>
        <v/>
      </c>
      <c r="O2799" s="36" t="str">
        <f t="shared" si="3"/>
        <v/>
      </c>
      <c r="P2799" s="15"/>
      <c r="Q2799" s="37" t="str">
        <f t="shared" si="4"/>
        <v/>
      </c>
      <c r="R2799" s="37" t="str">
        <f t="shared" si="5"/>
        <v/>
      </c>
      <c r="S2799" s="32" t="str">
        <f t="shared" si="6"/>
        <v/>
      </c>
      <c r="T2799" s="37" t="str">
        <f t="shared" si="7"/>
        <v/>
      </c>
      <c r="U2799" s="37" t="str">
        <f t="array" ref="U2799">IF($F2799="","",IFERROR(INDEX(Config!$F:$F,MATCH($F2799,Config!$D:$D,0)),0))</f>
        <v/>
      </c>
    </row>
    <row r="2800" ht="15.0" customHeight="1">
      <c r="A2800" s="34"/>
      <c r="B2800" s="35"/>
      <c r="C2800" s="15"/>
      <c r="D2800" s="15"/>
      <c r="E2800" s="15"/>
      <c r="F2800" s="15"/>
      <c r="G2800" s="36" t="str">
        <f t="array" ref="G2800">IF($F2800="","",IFERROR(INDEX(Config!$E:$E,MATCH($F2800,Config!$D:$D,0)),0))</f>
        <v/>
      </c>
      <c r="H2800" s="16"/>
      <c r="I2800" s="36" t="str">
        <f t="shared" si="1"/>
        <v/>
      </c>
      <c r="J2800" s="16"/>
      <c r="K2800" s="15"/>
      <c r="L2800" s="15"/>
      <c r="M2800" s="36" t="str">
        <f t="array" ref="M2800">IF($A2800="","",IF($L2800="Atendido",IFERROR($I2800*INDEX(Config!$B:$B,MATCH($C2800,Config!$A:$A,0)),0),0))</f>
        <v/>
      </c>
      <c r="N2800" s="36" t="str">
        <f t="shared" si="2"/>
        <v/>
      </c>
      <c r="O2800" s="36" t="str">
        <f t="shared" si="3"/>
        <v/>
      </c>
      <c r="P2800" s="15"/>
      <c r="Q2800" s="37" t="str">
        <f t="shared" si="4"/>
        <v/>
      </c>
      <c r="R2800" s="37" t="str">
        <f t="shared" si="5"/>
        <v/>
      </c>
      <c r="S2800" s="32" t="str">
        <f t="shared" si="6"/>
        <v/>
      </c>
      <c r="T2800" s="37" t="str">
        <f t="shared" si="7"/>
        <v/>
      </c>
      <c r="U2800" s="37" t="str">
        <f t="array" ref="U2800">IF($F2800="","",IFERROR(INDEX(Config!$F:$F,MATCH($F2800,Config!$D:$D,0)),0))</f>
        <v/>
      </c>
    </row>
    <row r="2801" ht="15.0" customHeight="1">
      <c r="A2801" s="34"/>
      <c r="B2801" s="35"/>
      <c r="C2801" s="15"/>
      <c r="D2801" s="15"/>
      <c r="E2801" s="15"/>
      <c r="F2801" s="15"/>
      <c r="G2801" s="36" t="str">
        <f t="array" ref="G2801">IF($F2801="","",IFERROR(INDEX(Config!$E:$E,MATCH($F2801,Config!$D:$D,0)),0))</f>
        <v/>
      </c>
      <c r="H2801" s="16"/>
      <c r="I2801" s="36" t="str">
        <f t="shared" si="1"/>
        <v/>
      </c>
      <c r="J2801" s="16"/>
      <c r="K2801" s="15"/>
      <c r="L2801" s="15"/>
      <c r="M2801" s="36" t="str">
        <f t="array" ref="M2801">IF($A2801="","",IF($L2801="Atendido",IFERROR($I2801*INDEX(Config!$B:$B,MATCH($C2801,Config!$A:$A,0)),0),0))</f>
        <v/>
      </c>
      <c r="N2801" s="36" t="str">
        <f t="shared" si="2"/>
        <v/>
      </c>
      <c r="O2801" s="36" t="str">
        <f t="shared" si="3"/>
        <v/>
      </c>
      <c r="P2801" s="15"/>
      <c r="Q2801" s="37" t="str">
        <f t="shared" si="4"/>
        <v/>
      </c>
      <c r="R2801" s="37" t="str">
        <f t="shared" si="5"/>
        <v/>
      </c>
      <c r="S2801" s="32" t="str">
        <f t="shared" si="6"/>
        <v/>
      </c>
      <c r="T2801" s="37" t="str">
        <f t="shared" si="7"/>
        <v/>
      </c>
      <c r="U2801" s="37" t="str">
        <f t="array" ref="U2801">IF($F2801="","",IFERROR(INDEX(Config!$F:$F,MATCH($F2801,Config!$D:$D,0)),0))</f>
        <v/>
      </c>
    </row>
    <row r="2802" ht="15.0" customHeight="1">
      <c r="A2802" s="34"/>
      <c r="B2802" s="35"/>
      <c r="C2802" s="15"/>
      <c r="D2802" s="15"/>
      <c r="E2802" s="15"/>
      <c r="F2802" s="15"/>
      <c r="G2802" s="36" t="str">
        <f t="array" ref="G2802">IF($F2802="","",IFERROR(INDEX(Config!$E:$E,MATCH($F2802,Config!$D:$D,0)),0))</f>
        <v/>
      </c>
      <c r="H2802" s="16"/>
      <c r="I2802" s="36" t="str">
        <f t="shared" si="1"/>
        <v/>
      </c>
      <c r="J2802" s="16"/>
      <c r="K2802" s="15"/>
      <c r="L2802" s="15"/>
      <c r="M2802" s="36" t="str">
        <f t="array" ref="M2802">IF($A2802="","",IF($L2802="Atendido",IFERROR($I2802*INDEX(Config!$B:$B,MATCH($C2802,Config!$A:$A,0)),0),0))</f>
        <v/>
      </c>
      <c r="N2802" s="36" t="str">
        <f t="shared" si="2"/>
        <v/>
      </c>
      <c r="O2802" s="36" t="str">
        <f t="shared" si="3"/>
        <v/>
      </c>
      <c r="P2802" s="15"/>
      <c r="Q2802" s="37" t="str">
        <f t="shared" si="4"/>
        <v/>
      </c>
      <c r="R2802" s="37" t="str">
        <f t="shared" si="5"/>
        <v/>
      </c>
      <c r="S2802" s="32" t="str">
        <f t="shared" si="6"/>
        <v/>
      </c>
      <c r="T2802" s="37" t="str">
        <f t="shared" si="7"/>
        <v/>
      </c>
      <c r="U2802" s="37" t="str">
        <f t="array" ref="U2802">IF($F2802="","",IFERROR(INDEX(Config!$F:$F,MATCH($F2802,Config!$D:$D,0)),0))</f>
        <v/>
      </c>
    </row>
    <row r="2803" ht="15.0" customHeight="1">
      <c r="A2803" s="34"/>
      <c r="B2803" s="35"/>
      <c r="C2803" s="15"/>
      <c r="D2803" s="15"/>
      <c r="E2803" s="15"/>
      <c r="F2803" s="15"/>
      <c r="G2803" s="36" t="str">
        <f t="array" ref="G2803">IF($F2803="","",IFERROR(INDEX(Config!$E:$E,MATCH($F2803,Config!$D:$D,0)),0))</f>
        <v/>
      </c>
      <c r="H2803" s="16"/>
      <c r="I2803" s="36" t="str">
        <f t="shared" si="1"/>
        <v/>
      </c>
      <c r="J2803" s="16"/>
      <c r="K2803" s="15"/>
      <c r="L2803" s="15"/>
      <c r="M2803" s="36" t="str">
        <f t="array" ref="M2803">IF($A2803="","",IF($L2803="Atendido",IFERROR($I2803*INDEX(Config!$B:$B,MATCH($C2803,Config!$A:$A,0)),0),0))</f>
        <v/>
      </c>
      <c r="N2803" s="36" t="str">
        <f t="shared" si="2"/>
        <v/>
      </c>
      <c r="O2803" s="36" t="str">
        <f t="shared" si="3"/>
        <v/>
      </c>
      <c r="P2803" s="15"/>
      <c r="Q2803" s="37" t="str">
        <f t="shared" si="4"/>
        <v/>
      </c>
      <c r="R2803" s="37" t="str">
        <f t="shared" si="5"/>
        <v/>
      </c>
      <c r="S2803" s="32" t="str">
        <f t="shared" si="6"/>
        <v/>
      </c>
      <c r="T2803" s="37" t="str">
        <f t="shared" si="7"/>
        <v/>
      </c>
      <c r="U2803" s="37" t="str">
        <f t="array" ref="U2803">IF($F2803="","",IFERROR(INDEX(Config!$F:$F,MATCH($F2803,Config!$D:$D,0)),0))</f>
        <v/>
      </c>
    </row>
    <row r="2804" ht="15.0" customHeight="1">
      <c r="A2804" s="34"/>
      <c r="B2804" s="35"/>
      <c r="C2804" s="15"/>
      <c r="D2804" s="15"/>
      <c r="E2804" s="15"/>
      <c r="F2804" s="15"/>
      <c r="G2804" s="36" t="str">
        <f t="array" ref="G2804">IF($F2804="","",IFERROR(INDEX(Config!$E:$E,MATCH($F2804,Config!$D:$D,0)),0))</f>
        <v/>
      </c>
      <c r="H2804" s="16"/>
      <c r="I2804" s="36" t="str">
        <f t="shared" si="1"/>
        <v/>
      </c>
      <c r="J2804" s="16"/>
      <c r="K2804" s="15"/>
      <c r="L2804" s="15"/>
      <c r="M2804" s="36" t="str">
        <f t="array" ref="M2804">IF($A2804="","",IF($L2804="Atendido",IFERROR($I2804*INDEX(Config!$B:$B,MATCH($C2804,Config!$A:$A,0)),0),0))</f>
        <v/>
      </c>
      <c r="N2804" s="36" t="str">
        <f t="shared" si="2"/>
        <v/>
      </c>
      <c r="O2804" s="36" t="str">
        <f t="shared" si="3"/>
        <v/>
      </c>
      <c r="P2804" s="15"/>
      <c r="Q2804" s="37" t="str">
        <f t="shared" si="4"/>
        <v/>
      </c>
      <c r="R2804" s="37" t="str">
        <f t="shared" si="5"/>
        <v/>
      </c>
      <c r="S2804" s="32" t="str">
        <f t="shared" si="6"/>
        <v/>
      </c>
      <c r="T2804" s="37" t="str">
        <f t="shared" si="7"/>
        <v/>
      </c>
      <c r="U2804" s="37" t="str">
        <f t="array" ref="U2804">IF($F2804="","",IFERROR(INDEX(Config!$F:$F,MATCH($F2804,Config!$D:$D,0)),0))</f>
        <v/>
      </c>
    </row>
    <row r="2805" ht="15.0" customHeight="1">
      <c r="A2805" s="34"/>
      <c r="B2805" s="35"/>
      <c r="C2805" s="15"/>
      <c r="D2805" s="15"/>
      <c r="E2805" s="15"/>
      <c r="F2805" s="15"/>
      <c r="G2805" s="36" t="str">
        <f t="array" ref="G2805">IF($F2805="","",IFERROR(INDEX(Config!$E:$E,MATCH($F2805,Config!$D:$D,0)),0))</f>
        <v/>
      </c>
      <c r="H2805" s="16"/>
      <c r="I2805" s="36" t="str">
        <f t="shared" si="1"/>
        <v/>
      </c>
      <c r="J2805" s="16"/>
      <c r="K2805" s="15"/>
      <c r="L2805" s="15"/>
      <c r="M2805" s="36" t="str">
        <f t="array" ref="M2805">IF($A2805="","",IF($L2805="Atendido",IFERROR($I2805*INDEX(Config!$B:$B,MATCH($C2805,Config!$A:$A,0)),0),0))</f>
        <v/>
      </c>
      <c r="N2805" s="36" t="str">
        <f t="shared" si="2"/>
        <v/>
      </c>
      <c r="O2805" s="36" t="str">
        <f t="shared" si="3"/>
        <v/>
      </c>
      <c r="P2805" s="15"/>
      <c r="Q2805" s="37" t="str">
        <f t="shared" si="4"/>
        <v/>
      </c>
      <c r="R2805" s="37" t="str">
        <f t="shared" si="5"/>
        <v/>
      </c>
      <c r="S2805" s="32" t="str">
        <f t="shared" si="6"/>
        <v/>
      </c>
      <c r="T2805" s="37" t="str">
        <f t="shared" si="7"/>
        <v/>
      </c>
      <c r="U2805" s="37" t="str">
        <f t="array" ref="U2805">IF($F2805="","",IFERROR(INDEX(Config!$F:$F,MATCH($F2805,Config!$D:$D,0)),0))</f>
        <v/>
      </c>
    </row>
    <row r="2806" ht="15.0" customHeight="1">
      <c r="A2806" s="34"/>
      <c r="B2806" s="35"/>
      <c r="C2806" s="15"/>
      <c r="D2806" s="15"/>
      <c r="E2806" s="15"/>
      <c r="F2806" s="15"/>
      <c r="G2806" s="36" t="str">
        <f t="array" ref="G2806">IF($F2806="","",IFERROR(INDEX(Config!$E:$E,MATCH($F2806,Config!$D:$D,0)),0))</f>
        <v/>
      </c>
      <c r="H2806" s="16"/>
      <c r="I2806" s="36" t="str">
        <f t="shared" si="1"/>
        <v/>
      </c>
      <c r="J2806" s="16"/>
      <c r="K2806" s="15"/>
      <c r="L2806" s="15"/>
      <c r="M2806" s="36" t="str">
        <f t="array" ref="M2806">IF($A2806="","",IF($L2806="Atendido",IFERROR($I2806*INDEX(Config!$B:$B,MATCH($C2806,Config!$A:$A,0)),0),0))</f>
        <v/>
      </c>
      <c r="N2806" s="36" t="str">
        <f t="shared" si="2"/>
        <v/>
      </c>
      <c r="O2806" s="36" t="str">
        <f t="shared" si="3"/>
        <v/>
      </c>
      <c r="P2806" s="15"/>
      <c r="Q2806" s="37" t="str">
        <f t="shared" si="4"/>
        <v/>
      </c>
      <c r="R2806" s="37" t="str">
        <f t="shared" si="5"/>
        <v/>
      </c>
      <c r="S2806" s="32" t="str">
        <f t="shared" si="6"/>
        <v/>
      </c>
      <c r="T2806" s="37" t="str">
        <f t="shared" si="7"/>
        <v/>
      </c>
      <c r="U2806" s="37" t="str">
        <f t="array" ref="U2806">IF($F2806="","",IFERROR(INDEX(Config!$F:$F,MATCH($F2806,Config!$D:$D,0)),0))</f>
        <v/>
      </c>
    </row>
    <row r="2807" ht="15.0" customHeight="1">
      <c r="A2807" s="34"/>
      <c r="B2807" s="35"/>
      <c r="C2807" s="15"/>
      <c r="D2807" s="15"/>
      <c r="E2807" s="15"/>
      <c r="F2807" s="15"/>
      <c r="G2807" s="36" t="str">
        <f t="array" ref="G2807">IF($F2807="","",IFERROR(INDEX(Config!$E:$E,MATCH($F2807,Config!$D:$D,0)),0))</f>
        <v/>
      </c>
      <c r="H2807" s="16"/>
      <c r="I2807" s="36" t="str">
        <f t="shared" si="1"/>
        <v/>
      </c>
      <c r="J2807" s="16"/>
      <c r="K2807" s="15"/>
      <c r="L2807" s="15"/>
      <c r="M2807" s="36" t="str">
        <f t="array" ref="M2807">IF($A2807="","",IF($L2807="Atendido",IFERROR($I2807*INDEX(Config!$B:$B,MATCH($C2807,Config!$A:$A,0)),0),0))</f>
        <v/>
      </c>
      <c r="N2807" s="36" t="str">
        <f t="shared" si="2"/>
        <v/>
      </c>
      <c r="O2807" s="36" t="str">
        <f t="shared" si="3"/>
        <v/>
      </c>
      <c r="P2807" s="15"/>
      <c r="Q2807" s="37" t="str">
        <f t="shared" si="4"/>
        <v/>
      </c>
      <c r="R2807" s="37" t="str">
        <f t="shared" si="5"/>
        <v/>
      </c>
      <c r="S2807" s="32" t="str">
        <f t="shared" si="6"/>
        <v/>
      </c>
      <c r="T2807" s="37" t="str">
        <f t="shared" si="7"/>
        <v/>
      </c>
      <c r="U2807" s="37" t="str">
        <f t="array" ref="U2807">IF($F2807="","",IFERROR(INDEX(Config!$F:$F,MATCH($F2807,Config!$D:$D,0)),0))</f>
        <v/>
      </c>
    </row>
    <row r="2808" ht="15.0" customHeight="1">
      <c r="A2808" s="34"/>
      <c r="B2808" s="35"/>
      <c r="C2808" s="15"/>
      <c r="D2808" s="15"/>
      <c r="E2808" s="15"/>
      <c r="F2808" s="15"/>
      <c r="G2808" s="36" t="str">
        <f t="array" ref="G2808">IF($F2808="","",IFERROR(INDEX(Config!$E:$E,MATCH($F2808,Config!$D:$D,0)),0))</f>
        <v/>
      </c>
      <c r="H2808" s="16"/>
      <c r="I2808" s="36" t="str">
        <f t="shared" si="1"/>
        <v/>
      </c>
      <c r="J2808" s="16"/>
      <c r="K2808" s="15"/>
      <c r="L2808" s="15"/>
      <c r="M2808" s="36" t="str">
        <f t="array" ref="M2808">IF($A2808="","",IF($L2808="Atendido",IFERROR($I2808*INDEX(Config!$B:$B,MATCH($C2808,Config!$A:$A,0)),0),0))</f>
        <v/>
      </c>
      <c r="N2808" s="36" t="str">
        <f t="shared" si="2"/>
        <v/>
      </c>
      <c r="O2808" s="36" t="str">
        <f t="shared" si="3"/>
        <v/>
      </c>
      <c r="P2808" s="15"/>
      <c r="Q2808" s="37" t="str">
        <f t="shared" si="4"/>
        <v/>
      </c>
      <c r="R2808" s="37" t="str">
        <f t="shared" si="5"/>
        <v/>
      </c>
      <c r="S2808" s="32" t="str">
        <f t="shared" si="6"/>
        <v/>
      </c>
      <c r="T2808" s="37" t="str">
        <f t="shared" si="7"/>
        <v/>
      </c>
      <c r="U2808" s="37" t="str">
        <f t="array" ref="U2808">IF($F2808="","",IFERROR(INDEX(Config!$F:$F,MATCH($F2808,Config!$D:$D,0)),0))</f>
        <v/>
      </c>
    </row>
    <row r="2809" ht="15.0" customHeight="1">
      <c r="A2809" s="34"/>
      <c r="B2809" s="35"/>
      <c r="C2809" s="15"/>
      <c r="D2809" s="15"/>
      <c r="E2809" s="15"/>
      <c r="F2809" s="15"/>
      <c r="G2809" s="36" t="str">
        <f t="array" ref="G2809">IF($F2809="","",IFERROR(INDEX(Config!$E:$E,MATCH($F2809,Config!$D:$D,0)),0))</f>
        <v/>
      </c>
      <c r="H2809" s="16"/>
      <c r="I2809" s="36" t="str">
        <f t="shared" si="1"/>
        <v/>
      </c>
      <c r="J2809" s="16"/>
      <c r="K2809" s="15"/>
      <c r="L2809" s="15"/>
      <c r="M2809" s="36" t="str">
        <f t="array" ref="M2809">IF($A2809="","",IF($L2809="Atendido",IFERROR($I2809*INDEX(Config!$B:$B,MATCH($C2809,Config!$A:$A,0)),0),0))</f>
        <v/>
      </c>
      <c r="N2809" s="36" t="str">
        <f t="shared" si="2"/>
        <v/>
      </c>
      <c r="O2809" s="36" t="str">
        <f t="shared" si="3"/>
        <v/>
      </c>
      <c r="P2809" s="15"/>
      <c r="Q2809" s="37" t="str">
        <f t="shared" si="4"/>
        <v/>
      </c>
      <c r="R2809" s="37" t="str">
        <f t="shared" si="5"/>
        <v/>
      </c>
      <c r="S2809" s="32" t="str">
        <f t="shared" si="6"/>
        <v/>
      </c>
      <c r="T2809" s="37" t="str">
        <f t="shared" si="7"/>
        <v/>
      </c>
      <c r="U2809" s="37" t="str">
        <f t="array" ref="U2809">IF($F2809="","",IFERROR(INDEX(Config!$F:$F,MATCH($F2809,Config!$D:$D,0)),0))</f>
        <v/>
      </c>
    </row>
    <row r="2810" ht="15.0" customHeight="1">
      <c r="A2810" s="34"/>
      <c r="B2810" s="35"/>
      <c r="C2810" s="15"/>
      <c r="D2810" s="15"/>
      <c r="E2810" s="15"/>
      <c r="F2810" s="15"/>
      <c r="G2810" s="36" t="str">
        <f t="array" ref="G2810">IF($F2810="","",IFERROR(INDEX(Config!$E:$E,MATCH($F2810,Config!$D:$D,0)),0))</f>
        <v/>
      </c>
      <c r="H2810" s="16"/>
      <c r="I2810" s="36" t="str">
        <f t="shared" si="1"/>
        <v/>
      </c>
      <c r="J2810" s="16"/>
      <c r="K2810" s="15"/>
      <c r="L2810" s="15"/>
      <c r="M2810" s="36" t="str">
        <f t="array" ref="M2810">IF($A2810="","",IF($L2810="Atendido",IFERROR($I2810*INDEX(Config!$B:$B,MATCH($C2810,Config!$A:$A,0)),0),0))</f>
        <v/>
      </c>
      <c r="N2810" s="36" t="str">
        <f t="shared" si="2"/>
        <v/>
      </c>
      <c r="O2810" s="36" t="str">
        <f t="shared" si="3"/>
        <v/>
      </c>
      <c r="P2810" s="15"/>
      <c r="Q2810" s="37" t="str">
        <f t="shared" si="4"/>
        <v/>
      </c>
      <c r="R2810" s="37" t="str">
        <f t="shared" si="5"/>
        <v/>
      </c>
      <c r="S2810" s="32" t="str">
        <f t="shared" si="6"/>
        <v/>
      </c>
      <c r="T2810" s="37" t="str">
        <f t="shared" si="7"/>
        <v/>
      </c>
      <c r="U2810" s="37" t="str">
        <f t="array" ref="U2810">IF($F2810="","",IFERROR(INDEX(Config!$F:$F,MATCH($F2810,Config!$D:$D,0)),0))</f>
        <v/>
      </c>
    </row>
    <row r="2811" ht="15.0" customHeight="1">
      <c r="A2811" s="34"/>
      <c r="B2811" s="35"/>
      <c r="C2811" s="15"/>
      <c r="D2811" s="15"/>
      <c r="E2811" s="15"/>
      <c r="F2811" s="15"/>
      <c r="G2811" s="36" t="str">
        <f t="array" ref="G2811">IF($F2811="","",IFERROR(INDEX(Config!$E:$E,MATCH($F2811,Config!$D:$D,0)),0))</f>
        <v/>
      </c>
      <c r="H2811" s="16"/>
      <c r="I2811" s="36" t="str">
        <f t="shared" si="1"/>
        <v/>
      </c>
      <c r="J2811" s="16"/>
      <c r="K2811" s="15"/>
      <c r="L2811" s="15"/>
      <c r="M2811" s="36" t="str">
        <f t="array" ref="M2811">IF($A2811="","",IF($L2811="Atendido",IFERROR($I2811*INDEX(Config!$B:$B,MATCH($C2811,Config!$A:$A,0)),0),0))</f>
        <v/>
      </c>
      <c r="N2811" s="36" t="str">
        <f t="shared" si="2"/>
        <v/>
      </c>
      <c r="O2811" s="36" t="str">
        <f t="shared" si="3"/>
        <v/>
      </c>
      <c r="P2811" s="15"/>
      <c r="Q2811" s="37" t="str">
        <f t="shared" si="4"/>
        <v/>
      </c>
      <c r="R2811" s="37" t="str">
        <f t="shared" si="5"/>
        <v/>
      </c>
      <c r="S2811" s="32" t="str">
        <f t="shared" si="6"/>
        <v/>
      </c>
      <c r="T2811" s="37" t="str">
        <f t="shared" si="7"/>
        <v/>
      </c>
      <c r="U2811" s="37" t="str">
        <f t="array" ref="U2811">IF($F2811="","",IFERROR(INDEX(Config!$F:$F,MATCH($F2811,Config!$D:$D,0)),0))</f>
        <v/>
      </c>
    </row>
    <row r="2812" ht="15.0" customHeight="1">
      <c r="A2812" s="34"/>
      <c r="B2812" s="35"/>
      <c r="C2812" s="15"/>
      <c r="D2812" s="15"/>
      <c r="E2812" s="15"/>
      <c r="F2812" s="15"/>
      <c r="G2812" s="36" t="str">
        <f t="array" ref="G2812">IF($F2812="","",IFERROR(INDEX(Config!$E:$E,MATCH($F2812,Config!$D:$D,0)),0))</f>
        <v/>
      </c>
      <c r="H2812" s="16"/>
      <c r="I2812" s="36" t="str">
        <f t="shared" si="1"/>
        <v/>
      </c>
      <c r="J2812" s="16"/>
      <c r="K2812" s="15"/>
      <c r="L2812" s="15"/>
      <c r="M2812" s="36" t="str">
        <f t="array" ref="M2812">IF($A2812="","",IF($L2812="Atendido",IFERROR($I2812*INDEX(Config!$B:$B,MATCH($C2812,Config!$A:$A,0)),0),0))</f>
        <v/>
      </c>
      <c r="N2812" s="36" t="str">
        <f t="shared" si="2"/>
        <v/>
      </c>
      <c r="O2812" s="36" t="str">
        <f t="shared" si="3"/>
        <v/>
      </c>
      <c r="P2812" s="15"/>
      <c r="Q2812" s="37" t="str">
        <f t="shared" si="4"/>
        <v/>
      </c>
      <c r="R2812" s="37" t="str">
        <f t="shared" si="5"/>
        <v/>
      </c>
      <c r="S2812" s="32" t="str">
        <f t="shared" si="6"/>
        <v/>
      </c>
      <c r="T2812" s="37" t="str">
        <f t="shared" si="7"/>
        <v/>
      </c>
      <c r="U2812" s="37" t="str">
        <f t="array" ref="U2812">IF($F2812="","",IFERROR(INDEX(Config!$F:$F,MATCH($F2812,Config!$D:$D,0)),0))</f>
        <v/>
      </c>
    </row>
    <row r="2813" ht="15.0" customHeight="1">
      <c r="A2813" s="34"/>
      <c r="B2813" s="35"/>
      <c r="C2813" s="15"/>
      <c r="D2813" s="15"/>
      <c r="E2813" s="15"/>
      <c r="F2813" s="15"/>
      <c r="G2813" s="36" t="str">
        <f t="array" ref="G2813">IF($F2813="","",IFERROR(INDEX(Config!$E:$E,MATCH($F2813,Config!$D:$D,0)),0))</f>
        <v/>
      </c>
      <c r="H2813" s="16"/>
      <c r="I2813" s="36" t="str">
        <f t="shared" si="1"/>
        <v/>
      </c>
      <c r="J2813" s="16"/>
      <c r="K2813" s="15"/>
      <c r="L2813" s="15"/>
      <c r="M2813" s="36" t="str">
        <f t="array" ref="M2813">IF($A2813="","",IF($L2813="Atendido",IFERROR($I2813*INDEX(Config!$B:$B,MATCH($C2813,Config!$A:$A,0)),0),0))</f>
        <v/>
      </c>
      <c r="N2813" s="36" t="str">
        <f t="shared" si="2"/>
        <v/>
      </c>
      <c r="O2813" s="36" t="str">
        <f t="shared" si="3"/>
        <v/>
      </c>
      <c r="P2813" s="15"/>
      <c r="Q2813" s="37" t="str">
        <f t="shared" si="4"/>
        <v/>
      </c>
      <c r="R2813" s="37" t="str">
        <f t="shared" si="5"/>
        <v/>
      </c>
      <c r="S2813" s="32" t="str">
        <f t="shared" si="6"/>
        <v/>
      </c>
      <c r="T2813" s="37" t="str">
        <f t="shared" si="7"/>
        <v/>
      </c>
      <c r="U2813" s="37" t="str">
        <f t="array" ref="U2813">IF($F2813="","",IFERROR(INDEX(Config!$F:$F,MATCH($F2813,Config!$D:$D,0)),0))</f>
        <v/>
      </c>
    </row>
    <row r="2814" ht="15.0" customHeight="1">
      <c r="A2814" s="34"/>
      <c r="B2814" s="35"/>
      <c r="C2814" s="15"/>
      <c r="D2814" s="15"/>
      <c r="E2814" s="15"/>
      <c r="F2814" s="15"/>
      <c r="G2814" s="36" t="str">
        <f t="array" ref="G2814">IF($F2814="","",IFERROR(INDEX(Config!$E:$E,MATCH($F2814,Config!$D:$D,0)),0))</f>
        <v/>
      </c>
      <c r="H2814" s="16"/>
      <c r="I2814" s="36" t="str">
        <f t="shared" si="1"/>
        <v/>
      </c>
      <c r="J2814" s="16"/>
      <c r="K2814" s="15"/>
      <c r="L2814" s="15"/>
      <c r="M2814" s="36" t="str">
        <f t="array" ref="M2814">IF($A2814="","",IF($L2814="Atendido",IFERROR($I2814*INDEX(Config!$B:$B,MATCH($C2814,Config!$A:$A,0)),0),0))</f>
        <v/>
      </c>
      <c r="N2814" s="36" t="str">
        <f t="shared" si="2"/>
        <v/>
      </c>
      <c r="O2814" s="36" t="str">
        <f t="shared" si="3"/>
        <v/>
      </c>
      <c r="P2814" s="15"/>
      <c r="Q2814" s="37" t="str">
        <f t="shared" si="4"/>
        <v/>
      </c>
      <c r="R2814" s="37" t="str">
        <f t="shared" si="5"/>
        <v/>
      </c>
      <c r="S2814" s="32" t="str">
        <f t="shared" si="6"/>
        <v/>
      </c>
      <c r="T2814" s="37" t="str">
        <f t="shared" si="7"/>
        <v/>
      </c>
      <c r="U2814" s="37" t="str">
        <f t="array" ref="U2814">IF($F2814="","",IFERROR(INDEX(Config!$F:$F,MATCH($F2814,Config!$D:$D,0)),0))</f>
        <v/>
      </c>
    </row>
    <row r="2815" ht="15.0" customHeight="1">
      <c r="A2815" s="34"/>
      <c r="B2815" s="35"/>
      <c r="C2815" s="15"/>
      <c r="D2815" s="15"/>
      <c r="E2815" s="15"/>
      <c r="F2815" s="15"/>
      <c r="G2815" s="36" t="str">
        <f t="array" ref="G2815">IF($F2815="","",IFERROR(INDEX(Config!$E:$E,MATCH($F2815,Config!$D:$D,0)),0))</f>
        <v/>
      </c>
      <c r="H2815" s="16"/>
      <c r="I2815" s="36" t="str">
        <f t="shared" si="1"/>
        <v/>
      </c>
      <c r="J2815" s="16"/>
      <c r="K2815" s="15"/>
      <c r="L2815" s="15"/>
      <c r="M2815" s="36" t="str">
        <f t="array" ref="M2815">IF($A2815="","",IF($L2815="Atendido",IFERROR($I2815*INDEX(Config!$B:$B,MATCH($C2815,Config!$A:$A,0)),0),0))</f>
        <v/>
      </c>
      <c r="N2815" s="36" t="str">
        <f t="shared" si="2"/>
        <v/>
      </c>
      <c r="O2815" s="36" t="str">
        <f t="shared" si="3"/>
        <v/>
      </c>
      <c r="P2815" s="15"/>
      <c r="Q2815" s="37" t="str">
        <f t="shared" si="4"/>
        <v/>
      </c>
      <c r="R2815" s="37" t="str">
        <f t="shared" si="5"/>
        <v/>
      </c>
      <c r="S2815" s="32" t="str">
        <f t="shared" si="6"/>
        <v/>
      </c>
      <c r="T2815" s="37" t="str">
        <f t="shared" si="7"/>
        <v/>
      </c>
      <c r="U2815" s="37" t="str">
        <f t="array" ref="U2815">IF($F2815="","",IFERROR(INDEX(Config!$F:$F,MATCH($F2815,Config!$D:$D,0)),0))</f>
        <v/>
      </c>
    </row>
    <row r="2816" ht="15.0" customHeight="1">
      <c r="A2816" s="34"/>
      <c r="B2816" s="35"/>
      <c r="C2816" s="15"/>
      <c r="D2816" s="15"/>
      <c r="E2816" s="15"/>
      <c r="F2816" s="15"/>
      <c r="G2816" s="36" t="str">
        <f t="array" ref="G2816">IF($F2816="","",IFERROR(INDEX(Config!$E:$E,MATCH($F2816,Config!$D:$D,0)),0))</f>
        <v/>
      </c>
      <c r="H2816" s="16"/>
      <c r="I2816" s="36" t="str">
        <f t="shared" si="1"/>
        <v/>
      </c>
      <c r="J2816" s="16"/>
      <c r="K2816" s="15"/>
      <c r="L2816" s="15"/>
      <c r="M2816" s="36" t="str">
        <f t="array" ref="M2816">IF($A2816="","",IF($L2816="Atendido",IFERROR($I2816*INDEX(Config!$B:$B,MATCH($C2816,Config!$A:$A,0)),0),0))</f>
        <v/>
      </c>
      <c r="N2816" s="36" t="str">
        <f t="shared" si="2"/>
        <v/>
      </c>
      <c r="O2816" s="36" t="str">
        <f t="shared" si="3"/>
        <v/>
      </c>
      <c r="P2816" s="15"/>
      <c r="Q2816" s="37" t="str">
        <f t="shared" si="4"/>
        <v/>
      </c>
      <c r="R2816" s="37" t="str">
        <f t="shared" si="5"/>
        <v/>
      </c>
      <c r="S2816" s="32" t="str">
        <f t="shared" si="6"/>
        <v/>
      </c>
      <c r="T2816" s="37" t="str">
        <f t="shared" si="7"/>
        <v/>
      </c>
      <c r="U2816" s="37" t="str">
        <f t="array" ref="U2816">IF($F2816="","",IFERROR(INDEX(Config!$F:$F,MATCH($F2816,Config!$D:$D,0)),0))</f>
        <v/>
      </c>
    </row>
    <row r="2817" ht="15.0" customHeight="1">
      <c r="A2817" s="34"/>
      <c r="B2817" s="35"/>
      <c r="C2817" s="15"/>
      <c r="D2817" s="15"/>
      <c r="E2817" s="15"/>
      <c r="F2817" s="15"/>
      <c r="G2817" s="36" t="str">
        <f t="array" ref="G2817">IF($F2817="","",IFERROR(INDEX(Config!$E:$E,MATCH($F2817,Config!$D:$D,0)),0))</f>
        <v/>
      </c>
      <c r="H2817" s="16"/>
      <c r="I2817" s="36" t="str">
        <f t="shared" si="1"/>
        <v/>
      </c>
      <c r="J2817" s="16"/>
      <c r="K2817" s="15"/>
      <c r="L2817" s="15"/>
      <c r="M2817" s="36" t="str">
        <f t="array" ref="M2817">IF($A2817="","",IF($L2817="Atendido",IFERROR($I2817*INDEX(Config!$B:$B,MATCH($C2817,Config!$A:$A,0)),0),0))</f>
        <v/>
      </c>
      <c r="N2817" s="36" t="str">
        <f t="shared" si="2"/>
        <v/>
      </c>
      <c r="O2817" s="36" t="str">
        <f t="shared" si="3"/>
        <v/>
      </c>
      <c r="P2817" s="15"/>
      <c r="Q2817" s="37" t="str">
        <f t="shared" si="4"/>
        <v/>
      </c>
      <c r="R2817" s="37" t="str">
        <f t="shared" si="5"/>
        <v/>
      </c>
      <c r="S2817" s="32" t="str">
        <f t="shared" si="6"/>
        <v/>
      </c>
      <c r="T2817" s="37" t="str">
        <f t="shared" si="7"/>
        <v/>
      </c>
      <c r="U2817" s="37" t="str">
        <f t="array" ref="U2817">IF($F2817="","",IFERROR(INDEX(Config!$F:$F,MATCH($F2817,Config!$D:$D,0)),0))</f>
        <v/>
      </c>
    </row>
    <row r="2818" ht="15.0" customHeight="1">
      <c r="A2818" s="34"/>
      <c r="B2818" s="35"/>
      <c r="C2818" s="15"/>
      <c r="D2818" s="15"/>
      <c r="E2818" s="15"/>
      <c r="F2818" s="15"/>
      <c r="G2818" s="36" t="str">
        <f t="array" ref="G2818">IF($F2818="","",IFERROR(INDEX(Config!$E:$E,MATCH($F2818,Config!$D:$D,0)),0))</f>
        <v/>
      </c>
      <c r="H2818" s="16"/>
      <c r="I2818" s="36" t="str">
        <f t="shared" si="1"/>
        <v/>
      </c>
      <c r="J2818" s="16"/>
      <c r="K2818" s="15"/>
      <c r="L2818" s="15"/>
      <c r="M2818" s="36" t="str">
        <f t="array" ref="M2818">IF($A2818="","",IF($L2818="Atendido",IFERROR($I2818*INDEX(Config!$B:$B,MATCH($C2818,Config!$A:$A,0)),0),0))</f>
        <v/>
      </c>
      <c r="N2818" s="36" t="str">
        <f t="shared" si="2"/>
        <v/>
      </c>
      <c r="O2818" s="36" t="str">
        <f t="shared" si="3"/>
        <v/>
      </c>
      <c r="P2818" s="15"/>
      <c r="Q2818" s="37" t="str">
        <f t="shared" si="4"/>
        <v/>
      </c>
      <c r="R2818" s="37" t="str">
        <f t="shared" si="5"/>
        <v/>
      </c>
      <c r="S2818" s="32" t="str">
        <f t="shared" si="6"/>
        <v/>
      </c>
      <c r="T2818" s="37" t="str">
        <f t="shared" si="7"/>
        <v/>
      </c>
      <c r="U2818" s="37" t="str">
        <f t="array" ref="U2818">IF($F2818="","",IFERROR(INDEX(Config!$F:$F,MATCH($F2818,Config!$D:$D,0)),0))</f>
        <v/>
      </c>
    </row>
    <row r="2819" ht="15.0" customHeight="1">
      <c r="A2819" s="34"/>
      <c r="B2819" s="35"/>
      <c r="C2819" s="15"/>
      <c r="D2819" s="15"/>
      <c r="E2819" s="15"/>
      <c r="F2819" s="15"/>
      <c r="G2819" s="36" t="str">
        <f t="array" ref="G2819">IF($F2819="","",IFERROR(INDEX(Config!$E:$E,MATCH($F2819,Config!$D:$D,0)),0))</f>
        <v/>
      </c>
      <c r="H2819" s="16"/>
      <c r="I2819" s="36" t="str">
        <f t="shared" si="1"/>
        <v/>
      </c>
      <c r="J2819" s="16"/>
      <c r="K2819" s="15"/>
      <c r="L2819" s="15"/>
      <c r="M2819" s="36" t="str">
        <f t="array" ref="M2819">IF($A2819="","",IF($L2819="Atendido",IFERROR($I2819*INDEX(Config!$B:$B,MATCH($C2819,Config!$A:$A,0)),0),0))</f>
        <v/>
      </c>
      <c r="N2819" s="36" t="str">
        <f t="shared" si="2"/>
        <v/>
      </c>
      <c r="O2819" s="36" t="str">
        <f t="shared" si="3"/>
        <v/>
      </c>
      <c r="P2819" s="15"/>
      <c r="Q2819" s="37" t="str">
        <f t="shared" si="4"/>
        <v/>
      </c>
      <c r="R2819" s="37" t="str">
        <f t="shared" si="5"/>
        <v/>
      </c>
      <c r="S2819" s="32" t="str">
        <f t="shared" si="6"/>
        <v/>
      </c>
      <c r="T2819" s="37" t="str">
        <f t="shared" si="7"/>
        <v/>
      </c>
      <c r="U2819" s="37" t="str">
        <f t="array" ref="U2819">IF($F2819="","",IFERROR(INDEX(Config!$F:$F,MATCH($F2819,Config!$D:$D,0)),0))</f>
        <v/>
      </c>
    </row>
    <row r="2820" ht="15.0" customHeight="1">
      <c r="A2820" s="34"/>
      <c r="B2820" s="35"/>
      <c r="C2820" s="15"/>
      <c r="D2820" s="15"/>
      <c r="E2820" s="15"/>
      <c r="F2820" s="15"/>
      <c r="G2820" s="36" t="str">
        <f t="array" ref="G2820">IF($F2820="","",IFERROR(INDEX(Config!$E:$E,MATCH($F2820,Config!$D:$D,0)),0))</f>
        <v/>
      </c>
      <c r="H2820" s="16"/>
      <c r="I2820" s="36" t="str">
        <f t="shared" si="1"/>
        <v/>
      </c>
      <c r="J2820" s="16"/>
      <c r="K2820" s="15"/>
      <c r="L2820" s="15"/>
      <c r="M2820" s="36" t="str">
        <f t="array" ref="M2820">IF($A2820="","",IF($L2820="Atendido",IFERROR($I2820*INDEX(Config!$B:$B,MATCH($C2820,Config!$A:$A,0)),0),0))</f>
        <v/>
      </c>
      <c r="N2820" s="36" t="str">
        <f t="shared" si="2"/>
        <v/>
      </c>
      <c r="O2820" s="36" t="str">
        <f t="shared" si="3"/>
        <v/>
      </c>
      <c r="P2820" s="15"/>
      <c r="Q2820" s="37" t="str">
        <f t="shared" si="4"/>
        <v/>
      </c>
      <c r="R2820" s="37" t="str">
        <f t="shared" si="5"/>
        <v/>
      </c>
      <c r="S2820" s="32" t="str">
        <f t="shared" si="6"/>
        <v/>
      </c>
      <c r="T2820" s="37" t="str">
        <f t="shared" si="7"/>
        <v/>
      </c>
      <c r="U2820" s="37" t="str">
        <f t="array" ref="U2820">IF($F2820="","",IFERROR(INDEX(Config!$F:$F,MATCH($F2820,Config!$D:$D,0)),0))</f>
        <v/>
      </c>
    </row>
    <row r="2821" ht="15.0" customHeight="1">
      <c r="A2821" s="34"/>
      <c r="B2821" s="35"/>
      <c r="C2821" s="15"/>
      <c r="D2821" s="15"/>
      <c r="E2821" s="15"/>
      <c r="F2821" s="15"/>
      <c r="G2821" s="36" t="str">
        <f t="array" ref="G2821">IF($F2821="","",IFERROR(INDEX(Config!$E:$E,MATCH($F2821,Config!$D:$D,0)),0))</f>
        <v/>
      </c>
      <c r="H2821" s="16"/>
      <c r="I2821" s="36" t="str">
        <f t="shared" si="1"/>
        <v/>
      </c>
      <c r="J2821" s="16"/>
      <c r="K2821" s="15"/>
      <c r="L2821" s="15"/>
      <c r="M2821" s="36" t="str">
        <f t="array" ref="M2821">IF($A2821="","",IF($L2821="Atendido",IFERROR($I2821*INDEX(Config!$B:$B,MATCH($C2821,Config!$A:$A,0)),0),0))</f>
        <v/>
      </c>
      <c r="N2821" s="36" t="str">
        <f t="shared" si="2"/>
        <v/>
      </c>
      <c r="O2821" s="36" t="str">
        <f t="shared" si="3"/>
        <v/>
      </c>
      <c r="P2821" s="15"/>
      <c r="Q2821" s="37" t="str">
        <f t="shared" si="4"/>
        <v/>
      </c>
      <c r="R2821" s="37" t="str">
        <f t="shared" si="5"/>
        <v/>
      </c>
      <c r="S2821" s="32" t="str">
        <f t="shared" si="6"/>
        <v/>
      </c>
      <c r="T2821" s="37" t="str">
        <f t="shared" si="7"/>
        <v/>
      </c>
      <c r="U2821" s="37" t="str">
        <f t="array" ref="U2821">IF($F2821="","",IFERROR(INDEX(Config!$F:$F,MATCH($F2821,Config!$D:$D,0)),0))</f>
        <v/>
      </c>
    </row>
    <row r="2822" ht="15.0" customHeight="1">
      <c r="A2822" s="34"/>
      <c r="B2822" s="35"/>
      <c r="C2822" s="15"/>
      <c r="D2822" s="15"/>
      <c r="E2822" s="15"/>
      <c r="F2822" s="15"/>
      <c r="G2822" s="36" t="str">
        <f t="array" ref="G2822">IF($F2822="","",IFERROR(INDEX(Config!$E:$E,MATCH($F2822,Config!$D:$D,0)),0))</f>
        <v/>
      </c>
      <c r="H2822" s="16"/>
      <c r="I2822" s="36" t="str">
        <f t="shared" si="1"/>
        <v/>
      </c>
      <c r="J2822" s="16"/>
      <c r="K2822" s="15"/>
      <c r="L2822" s="15"/>
      <c r="M2822" s="36" t="str">
        <f t="array" ref="M2822">IF($A2822="","",IF($L2822="Atendido",IFERROR($I2822*INDEX(Config!$B:$B,MATCH($C2822,Config!$A:$A,0)),0),0))</f>
        <v/>
      </c>
      <c r="N2822" s="36" t="str">
        <f t="shared" si="2"/>
        <v/>
      </c>
      <c r="O2822" s="36" t="str">
        <f t="shared" si="3"/>
        <v/>
      </c>
      <c r="P2822" s="15"/>
      <c r="Q2822" s="37" t="str">
        <f t="shared" si="4"/>
        <v/>
      </c>
      <c r="R2822" s="37" t="str">
        <f t="shared" si="5"/>
        <v/>
      </c>
      <c r="S2822" s="32" t="str">
        <f t="shared" si="6"/>
        <v/>
      </c>
      <c r="T2822" s="37" t="str">
        <f t="shared" si="7"/>
        <v/>
      </c>
      <c r="U2822" s="37" t="str">
        <f t="array" ref="U2822">IF($F2822="","",IFERROR(INDEX(Config!$F:$F,MATCH($F2822,Config!$D:$D,0)),0))</f>
        <v/>
      </c>
    </row>
    <row r="2823" ht="15.0" customHeight="1">
      <c r="A2823" s="34"/>
      <c r="B2823" s="35"/>
      <c r="C2823" s="15"/>
      <c r="D2823" s="15"/>
      <c r="E2823" s="15"/>
      <c r="F2823" s="15"/>
      <c r="G2823" s="36" t="str">
        <f t="array" ref="G2823">IF($F2823="","",IFERROR(INDEX(Config!$E:$E,MATCH($F2823,Config!$D:$D,0)),0))</f>
        <v/>
      </c>
      <c r="H2823" s="16"/>
      <c r="I2823" s="36" t="str">
        <f t="shared" si="1"/>
        <v/>
      </c>
      <c r="J2823" s="16"/>
      <c r="K2823" s="15"/>
      <c r="L2823" s="15"/>
      <c r="M2823" s="36" t="str">
        <f t="array" ref="M2823">IF($A2823="","",IF($L2823="Atendido",IFERROR($I2823*INDEX(Config!$B:$B,MATCH($C2823,Config!$A:$A,0)),0),0))</f>
        <v/>
      </c>
      <c r="N2823" s="36" t="str">
        <f t="shared" si="2"/>
        <v/>
      </c>
      <c r="O2823" s="36" t="str">
        <f t="shared" si="3"/>
        <v/>
      </c>
      <c r="P2823" s="15"/>
      <c r="Q2823" s="37" t="str">
        <f t="shared" si="4"/>
        <v/>
      </c>
      <c r="R2823" s="37" t="str">
        <f t="shared" si="5"/>
        <v/>
      </c>
      <c r="S2823" s="32" t="str">
        <f t="shared" si="6"/>
        <v/>
      </c>
      <c r="T2823" s="37" t="str">
        <f t="shared" si="7"/>
        <v/>
      </c>
      <c r="U2823" s="37" t="str">
        <f t="array" ref="U2823">IF($F2823="","",IFERROR(INDEX(Config!$F:$F,MATCH($F2823,Config!$D:$D,0)),0))</f>
        <v/>
      </c>
    </row>
    <row r="2824" ht="15.0" customHeight="1">
      <c r="A2824" s="34"/>
      <c r="B2824" s="35"/>
      <c r="C2824" s="15"/>
      <c r="D2824" s="15"/>
      <c r="E2824" s="15"/>
      <c r="F2824" s="15"/>
      <c r="G2824" s="36" t="str">
        <f t="array" ref="G2824">IF($F2824="","",IFERROR(INDEX(Config!$E:$E,MATCH($F2824,Config!$D:$D,0)),0))</f>
        <v/>
      </c>
      <c r="H2824" s="16"/>
      <c r="I2824" s="36" t="str">
        <f t="shared" si="1"/>
        <v/>
      </c>
      <c r="J2824" s="16"/>
      <c r="K2824" s="15"/>
      <c r="L2824" s="15"/>
      <c r="M2824" s="36" t="str">
        <f t="array" ref="M2824">IF($A2824="","",IF($L2824="Atendido",IFERROR($I2824*INDEX(Config!$B:$B,MATCH($C2824,Config!$A:$A,0)),0),0))</f>
        <v/>
      </c>
      <c r="N2824" s="36" t="str">
        <f t="shared" si="2"/>
        <v/>
      </c>
      <c r="O2824" s="36" t="str">
        <f t="shared" si="3"/>
        <v/>
      </c>
      <c r="P2824" s="15"/>
      <c r="Q2824" s="37" t="str">
        <f t="shared" si="4"/>
        <v/>
      </c>
      <c r="R2824" s="37" t="str">
        <f t="shared" si="5"/>
        <v/>
      </c>
      <c r="S2824" s="32" t="str">
        <f t="shared" si="6"/>
        <v/>
      </c>
      <c r="T2824" s="37" t="str">
        <f t="shared" si="7"/>
        <v/>
      </c>
      <c r="U2824" s="37" t="str">
        <f t="array" ref="U2824">IF($F2824="","",IFERROR(INDEX(Config!$F:$F,MATCH($F2824,Config!$D:$D,0)),0))</f>
        <v/>
      </c>
    </row>
    <row r="2825" ht="15.0" customHeight="1">
      <c r="A2825" s="34"/>
      <c r="B2825" s="35"/>
      <c r="C2825" s="15"/>
      <c r="D2825" s="15"/>
      <c r="E2825" s="15"/>
      <c r="F2825" s="15"/>
      <c r="G2825" s="36" t="str">
        <f t="array" ref="G2825">IF($F2825="","",IFERROR(INDEX(Config!$E:$E,MATCH($F2825,Config!$D:$D,0)),0))</f>
        <v/>
      </c>
      <c r="H2825" s="16"/>
      <c r="I2825" s="36" t="str">
        <f t="shared" si="1"/>
        <v/>
      </c>
      <c r="J2825" s="16"/>
      <c r="K2825" s="15"/>
      <c r="L2825" s="15"/>
      <c r="M2825" s="36" t="str">
        <f t="array" ref="M2825">IF($A2825="","",IF($L2825="Atendido",IFERROR($I2825*INDEX(Config!$B:$B,MATCH($C2825,Config!$A:$A,0)),0),0))</f>
        <v/>
      </c>
      <c r="N2825" s="36" t="str">
        <f t="shared" si="2"/>
        <v/>
      </c>
      <c r="O2825" s="36" t="str">
        <f t="shared" si="3"/>
        <v/>
      </c>
      <c r="P2825" s="15"/>
      <c r="Q2825" s="37" t="str">
        <f t="shared" si="4"/>
        <v/>
      </c>
      <c r="R2825" s="37" t="str">
        <f t="shared" si="5"/>
        <v/>
      </c>
      <c r="S2825" s="32" t="str">
        <f t="shared" si="6"/>
        <v/>
      </c>
      <c r="T2825" s="37" t="str">
        <f t="shared" si="7"/>
        <v/>
      </c>
      <c r="U2825" s="37" t="str">
        <f t="array" ref="U2825">IF($F2825="","",IFERROR(INDEX(Config!$F:$F,MATCH($F2825,Config!$D:$D,0)),0))</f>
        <v/>
      </c>
    </row>
    <row r="2826" ht="15.0" customHeight="1">
      <c r="A2826" s="34"/>
      <c r="B2826" s="35"/>
      <c r="C2826" s="15"/>
      <c r="D2826" s="15"/>
      <c r="E2826" s="15"/>
      <c r="F2826" s="15"/>
      <c r="G2826" s="36" t="str">
        <f t="array" ref="G2826">IF($F2826="","",IFERROR(INDEX(Config!$E:$E,MATCH($F2826,Config!$D:$D,0)),0))</f>
        <v/>
      </c>
      <c r="H2826" s="16"/>
      <c r="I2826" s="36" t="str">
        <f t="shared" si="1"/>
        <v/>
      </c>
      <c r="J2826" s="16"/>
      <c r="K2826" s="15"/>
      <c r="L2826" s="15"/>
      <c r="M2826" s="36" t="str">
        <f t="array" ref="M2826">IF($A2826="","",IF($L2826="Atendido",IFERROR($I2826*INDEX(Config!$B:$B,MATCH($C2826,Config!$A:$A,0)),0),0))</f>
        <v/>
      </c>
      <c r="N2826" s="36" t="str">
        <f t="shared" si="2"/>
        <v/>
      </c>
      <c r="O2826" s="36" t="str">
        <f t="shared" si="3"/>
        <v/>
      </c>
      <c r="P2826" s="15"/>
      <c r="Q2826" s="37" t="str">
        <f t="shared" si="4"/>
        <v/>
      </c>
      <c r="R2826" s="37" t="str">
        <f t="shared" si="5"/>
        <v/>
      </c>
      <c r="S2826" s="32" t="str">
        <f t="shared" si="6"/>
        <v/>
      </c>
      <c r="T2826" s="37" t="str">
        <f t="shared" si="7"/>
        <v/>
      </c>
      <c r="U2826" s="37" t="str">
        <f t="array" ref="U2826">IF($F2826="","",IFERROR(INDEX(Config!$F:$F,MATCH($F2826,Config!$D:$D,0)),0))</f>
        <v/>
      </c>
    </row>
    <row r="2827" ht="15.0" customHeight="1">
      <c r="A2827" s="34"/>
      <c r="B2827" s="35"/>
      <c r="C2827" s="15"/>
      <c r="D2827" s="15"/>
      <c r="E2827" s="15"/>
      <c r="F2827" s="15"/>
      <c r="G2827" s="36" t="str">
        <f t="array" ref="G2827">IF($F2827="","",IFERROR(INDEX(Config!$E:$E,MATCH($F2827,Config!$D:$D,0)),0))</f>
        <v/>
      </c>
      <c r="H2827" s="16"/>
      <c r="I2827" s="36" t="str">
        <f t="shared" si="1"/>
        <v/>
      </c>
      <c r="J2827" s="16"/>
      <c r="K2827" s="15"/>
      <c r="L2827" s="15"/>
      <c r="M2827" s="36" t="str">
        <f t="array" ref="M2827">IF($A2827="","",IF($L2827="Atendido",IFERROR($I2827*INDEX(Config!$B:$B,MATCH($C2827,Config!$A:$A,0)),0),0))</f>
        <v/>
      </c>
      <c r="N2827" s="36" t="str">
        <f t="shared" si="2"/>
        <v/>
      </c>
      <c r="O2827" s="36" t="str">
        <f t="shared" si="3"/>
        <v/>
      </c>
      <c r="P2827" s="15"/>
      <c r="Q2827" s="37" t="str">
        <f t="shared" si="4"/>
        <v/>
      </c>
      <c r="R2827" s="37" t="str">
        <f t="shared" si="5"/>
        <v/>
      </c>
      <c r="S2827" s="32" t="str">
        <f t="shared" si="6"/>
        <v/>
      </c>
      <c r="T2827" s="37" t="str">
        <f t="shared" si="7"/>
        <v/>
      </c>
      <c r="U2827" s="37" t="str">
        <f t="array" ref="U2827">IF($F2827="","",IFERROR(INDEX(Config!$F:$F,MATCH($F2827,Config!$D:$D,0)),0))</f>
        <v/>
      </c>
    </row>
    <row r="2828" ht="15.0" customHeight="1">
      <c r="A2828" s="34"/>
      <c r="B2828" s="35"/>
      <c r="C2828" s="15"/>
      <c r="D2828" s="15"/>
      <c r="E2828" s="15"/>
      <c r="F2828" s="15"/>
      <c r="G2828" s="36" t="str">
        <f t="array" ref="G2828">IF($F2828="","",IFERROR(INDEX(Config!$E:$E,MATCH($F2828,Config!$D:$D,0)),0))</f>
        <v/>
      </c>
      <c r="H2828" s="16"/>
      <c r="I2828" s="36" t="str">
        <f t="shared" si="1"/>
        <v/>
      </c>
      <c r="J2828" s="16"/>
      <c r="K2828" s="15"/>
      <c r="L2828" s="15"/>
      <c r="M2828" s="36" t="str">
        <f t="array" ref="M2828">IF($A2828="","",IF($L2828="Atendido",IFERROR($I2828*INDEX(Config!$B:$B,MATCH($C2828,Config!$A:$A,0)),0),0))</f>
        <v/>
      </c>
      <c r="N2828" s="36" t="str">
        <f t="shared" si="2"/>
        <v/>
      </c>
      <c r="O2828" s="36" t="str">
        <f t="shared" si="3"/>
        <v/>
      </c>
      <c r="P2828" s="15"/>
      <c r="Q2828" s="37" t="str">
        <f t="shared" si="4"/>
        <v/>
      </c>
      <c r="R2828" s="37" t="str">
        <f t="shared" si="5"/>
        <v/>
      </c>
      <c r="S2828" s="32" t="str">
        <f t="shared" si="6"/>
        <v/>
      </c>
      <c r="T2828" s="37" t="str">
        <f t="shared" si="7"/>
        <v/>
      </c>
      <c r="U2828" s="37" t="str">
        <f t="array" ref="U2828">IF($F2828="","",IFERROR(INDEX(Config!$F:$F,MATCH($F2828,Config!$D:$D,0)),0))</f>
        <v/>
      </c>
    </row>
    <row r="2829" ht="15.0" customHeight="1">
      <c r="A2829" s="34"/>
      <c r="B2829" s="35"/>
      <c r="C2829" s="15"/>
      <c r="D2829" s="15"/>
      <c r="E2829" s="15"/>
      <c r="F2829" s="15"/>
      <c r="G2829" s="36" t="str">
        <f t="array" ref="G2829">IF($F2829="","",IFERROR(INDEX(Config!$E:$E,MATCH($F2829,Config!$D:$D,0)),0))</f>
        <v/>
      </c>
      <c r="H2829" s="16"/>
      <c r="I2829" s="36" t="str">
        <f t="shared" si="1"/>
        <v/>
      </c>
      <c r="J2829" s="16"/>
      <c r="K2829" s="15"/>
      <c r="L2829" s="15"/>
      <c r="M2829" s="36" t="str">
        <f t="array" ref="M2829">IF($A2829="","",IF($L2829="Atendido",IFERROR($I2829*INDEX(Config!$B:$B,MATCH($C2829,Config!$A:$A,0)),0),0))</f>
        <v/>
      </c>
      <c r="N2829" s="36" t="str">
        <f t="shared" si="2"/>
        <v/>
      </c>
      <c r="O2829" s="36" t="str">
        <f t="shared" si="3"/>
        <v/>
      </c>
      <c r="P2829" s="15"/>
      <c r="Q2829" s="37" t="str">
        <f t="shared" si="4"/>
        <v/>
      </c>
      <c r="R2829" s="37" t="str">
        <f t="shared" si="5"/>
        <v/>
      </c>
      <c r="S2829" s="32" t="str">
        <f t="shared" si="6"/>
        <v/>
      </c>
      <c r="T2829" s="37" t="str">
        <f t="shared" si="7"/>
        <v/>
      </c>
      <c r="U2829" s="37" t="str">
        <f t="array" ref="U2829">IF($F2829="","",IFERROR(INDEX(Config!$F:$F,MATCH($F2829,Config!$D:$D,0)),0))</f>
        <v/>
      </c>
    </row>
    <row r="2830" ht="15.0" customHeight="1">
      <c r="A2830" s="34"/>
      <c r="B2830" s="35"/>
      <c r="C2830" s="15"/>
      <c r="D2830" s="15"/>
      <c r="E2830" s="15"/>
      <c r="F2830" s="15"/>
      <c r="G2830" s="36" t="str">
        <f t="array" ref="G2830">IF($F2830="","",IFERROR(INDEX(Config!$E:$E,MATCH($F2830,Config!$D:$D,0)),0))</f>
        <v/>
      </c>
      <c r="H2830" s="16"/>
      <c r="I2830" s="36" t="str">
        <f t="shared" si="1"/>
        <v/>
      </c>
      <c r="J2830" s="16"/>
      <c r="K2830" s="15"/>
      <c r="L2830" s="15"/>
      <c r="M2830" s="36" t="str">
        <f t="array" ref="M2830">IF($A2830="","",IF($L2830="Atendido",IFERROR($I2830*INDEX(Config!$B:$B,MATCH($C2830,Config!$A:$A,0)),0),0))</f>
        <v/>
      </c>
      <c r="N2830" s="36" t="str">
        <f t="shared" si="2"/>
        <v/>
      </c>
      <c r="O2830" s="36" t="str">
        <f t="shared" si="3"/>
        <v/>
      </c>
      <c r="P2830" s="15"/>
      <c r="Q2830" s="37" t="str">
        <f t="shared" si="4"/>
        <v/>
      </c>
      <c r="R2830" s="37" t="str">
        <f t="shared" si="5"/>
        <v/>
      </c>
      <c r="S2830" s="32" t="str">
        <f t="shared" si="6"/>
        <v/>
      </c>
      <c r="T2830" s="37" t="str">
        <f t="shared" si="7"/>
        <v/>
      </c>
      <c r="U2830" s="37" t="str">
        <f t="array" ref="U2830">IF($F2830="","",IFERROR(INDEX(Config!$F:$F,MATCH($F2830,Config!$D:$D,0)),0))</f>
        <v/>
      </c>
    </row>
    <row r="2831" ht="15.0" customHeight="1">
      <c r="A2831" s="34"/>
      <c r="B2831" s="35"/>
      <c r="C2831" s="15"/>
      <c r="D2831" s="15"/>
      <c r="E2831" s="15"/>
      <c r="F2831" s="15"/>
      <c r="G2831" s="36" t="str">
        <f t="array" ref="G2831">IF($F2831="","",IFERROR(INDEX(Config!$E:$E,MATCH($F2831,Config!$D:$D,0)),0))</f>
        <v/>
      </c>
      <c r="H2831" s="16"/>
      <c r="I2831" s="36" t="str">
        <f t="shared" si="1"/>
        <v/>
      </c>
      <c r="J2831" s="16"/>
      <c r="K2831" s="15"/>
      <c r="L2831" s="15"/>
      <c r="M2831" s="36" t="str">
        <f t="array" ref="M2831">IF($A2831="","",IF($L2831="Atendido",IFERROR($I2831*INDEX(Config!$B:$B,MATCH($C2831,Config!$A:$A,0)),0),0))</f>
        <v/>
      </c>
      <c r="N2831" s="36" t="str">
        <f t="shared" si="2"/>
        <v/>
      </c>
      <c r="O2831" s="36" t="str">
        <f t="shared" si="3"/>
        <v/>
      </c>
      <c r="P2831" s="15"/>
      <c r="Q2831" s="37" t="str">
        <f t="shared" si="4"/>
        <v/>
      </c>
      <c r="R2831" s="37" t="str">
        <f t="shared" si="5"/>
        <v/>
      </c>
      <c r="S2831" s="32" t="str">
        <f t="shared" si="6"/>
        <v/>
      </c>
      <c r="T2831" s="37" t="str">
        <f t="shared" si="7"/>
        <v/>
      </c>
      <c r="U2831" s="37" t="str">
        <f t="array" ref="U2831">IF($F2831="","",IFERROR(INDEX(Config!$F:$F,MATCH($F2831,Config!$D:$D,0)),0))</f>
        <v/>
      </c>
    </row>
    <row r="2832" ht="15.0" customHeight="1">
      <c r="A2832" s="34"/>
      <c r="B2832" s="35"/>
      <c r="C2832" s="15"/>
      <c r="D2832" s="15"/>
      <c r="E2832" s="15"/>
      <c r="F2832" s="15"/>
      <c r="G2832" s="36" t="str">
        <f t="array" ref="G2832">IF($F2832="","",IFERROR(INDEX(Config!$E:$E,MATCH($F2832,Config!$D:$D,0)),0))</f>
        <v/>
      </c>
      <c r="H2832" s="16"/>
      <c r="I2832" s="36" t="str">
        <f t="shared" si="1"/>
        <v/>
      </c>
      <c r="J2832" s="16"/>
      <c r="K2832" s="15"/>
      <c r="L2832" s="15"/>
      <c r="M2832" s="36" t="str">
        <f t="array" ref="M2832">IF($A2832="","",IF($L2832="Atendido",IFERROR($I2832*INDEX(Config!$B:$B,MATCH($C2832,Config!$A:$A,0)),0),0))</f>
        <v/>
      </c>
      <c r="N2832" s="36" t="str">
        <f t="shared" si="2"/>
        <v/>
      </c>
      <c r="O2832" s="36" t="str">
        <f t="shared" si="3"/>
        <v/>
      </c>
      <c r="P2832" s="15"/>
      <c r="Q2832" s="37" t="str">
        <f t="shared" si="4"/>
        <v/>
      </c>
      <c r="R2832" s="37" t="str">
        <f t="shared" si="5"/>
        <v/>
      </c>
      <c r="S2832" s="32" t="str">
        <f t="shared" si="6"/>
        <v/>
      </c>
      <c r="T2832" s="37" t="str">
        <f t="shared" si="7"/>
        <v/>
      </c>
      <c r="U2832" s="37" t="str">
        <f t="array" ref="U2832">IF($F2832="","",IFERROR(INDEX(Config!$F:$F,MATCH($F2832,Config!$D:$D,0)),0))</f>
        <v/>
      </c>
    </row>
    <row r="2833" ht="15.0" customHeight="1">
      <c r="A2833" s="34"/>
      <c r="B2833" s="35"/>
      <c r="C2833" s="15"/>
      <c r="D2833" s="15"/>
      <c r="E2833" s="15"/>
      <c r="F2833" s="15"/>
      <c r="G2833" s="36" t="str">
        <f t="array" ref="G2833">IF($F2833="","",IFERROR(INDEX(Config!$E:$E,MATCH($F2833,Config!$D:$D,0)),0))</f>
        <v/>
      </c>
      <c r="H2833" s="16"/>
      <c r="I2833" s="36" t="str">
        <f t="shared" si="1"/>
        <v/>
      </c>
      <c r="J2833" s="16"/>
      <c r="K2833" s="15"/>
      <c r="L2833" s="15"/>
      <c r="M2833" s="36" t="str">
        <f t="array" ref="M2833">IF($A2833="","",IF($L2833="Atendido",IFERROR($I2833*INDEX(Config!$B:$B,MATCH($C2833,Config!$A:$A,0)),0),0))</f>
        <v/>
      </c>
      <c r="N2833" s="36" t="str">
        <f t="shared" si="2"/>
        <v/>
      </c>
      <c r="O2833" s="36" t="str">
        <f t="shared" si="3"/>
        <v/>
      </c>
      <c r="P2833" s="15"/>
      <c r="Q2833" s="37" t="str">
        <f t="shared" si="4"/>
        <v/>
      </c>
      <c r="R2833" s="37" t="str">
        <f t="shared" si="5"/>
        <v/>
      </c>
      <c r="S2833" s="32" t="str">
        <f t="shared" si="6"/>
        <v/>
      </c>
      <c r="T2833" s="37" t="str">
        <f t="shared" si="7"/>
        <v/>
      </c>
      <c r="U2833" s="37" t="str">
        <f t="array" ref="U2833">IF($F2833="","",IFERROR(INDEX(Config!$F:$F,MATCH($F2833,Config!$D:$D,0)),0))</f>
        <v/>
      </c>
    </row>
    <row r="2834" ht="15.0" customHeight="1">
      <c r="A2834" s="34"/>
      <c r="B2834" s="35"/>
      <c r="C2834" s="15"/>
      <c r="D2834" s="15"/>
      <c r="E2834" s="15"/>
      <c r="F2834" s="15"/>
      <c r="G2834" s="36" t="str">
        <f t="array" ref="G2834">IF($F2834="","",IFERROR(INDEX(Config!$E:$E,MATCH($F2834,Config!$D:$D,0)),0))</f>
        <v/>
      </c>
      <c r="H2834" s="16"/>
      <c r="I2834" s="36" t="str">
        <f t="shared" si="1"/>
        <v/>
      </c>
      <c r="J2834" s="16"/>
      <c r="K2834" s="15"/>
      <c r="L2834" s="15"/>
      <c r="M2834" s="36" t="str">
        <f t="array" ref="M2834">IF($A2834="","",IF($L2834="Atendido",IFERROR($I2834*INDEX(Config!$B:$B,MATCH($C2834,Config!$A:$A,0)),0),0))</f>
        <v/>
      </c>
      <c r="N2834" s="36" t="str">
        <f t="shared" si="2"/>
        <v/>
      </c>
      <c r="O2834" s="36" t="str">
        <f t="shared" si="3"/>
        <v/>
      </c>
      <c r="P2834" s="15"/>
      <c r="Q2834" s="37" t="str">
        <f t="shared" si="4"/>
        <v/>
      </c>
      <c r="R2834" s="37" t="str">
        <f t="shared" si="5"/>
        <v/>
      </c>
      <c r="S2834" s="32" t="str">
        <f t="shared" si="6"/>
        <v/>
      </c>
      <c r="T2834" s="37" t="str">
        <f t="shared" si="7"/>
        <v/>
      </c>
      <c r="U2834" s="37" t="str">
        <f t="array" ref="U2834">IF($F2834="","",IFERROR(INDEX(Config!$F:$F,MATCH($F2834,Config!$D:$D,0)),0))</f>
        <v/>
      </c>
    </row>
    <row r="2835" ht="15.0" customHeight="1">
      <c r="A2835" s="34"/>
      <c r="B2835" s="35"/>
      <c r="C2835" s="15"/>
      <c r="D2835" s="15"/>
      <c r="E2835" s="15"/>
      <c r="F2835" s="15"/>
      <c r="G2835" s="36" t="str">
        <f t="array" ref="G2835">IF($F2835="","",IFERROR(INDEX(Config!$E:$E,MATCH($F2835,Config!$D:$D,0)),0))</f>
        <v/>
      </c>
      <c r="H2835" s="16"/>
      <c r="I2835" s="36" t="str">
        <f t="shared" si="1"/>
        <v/>
      </c>
      <c r="J2835" s="16"/>
      <c r="K2835" s="15"/>
      <c r="L2835" s="15"/>
      <c r="M2835" s="36" t="str">
        <f t="array" ref="M2835">IF($A2835="","",IF($L2835="Atendido",IFERROR($I2835*INDEX(Config!$B:$B,MATCH($C2835,Config!$A:$A,0)),0),0))</f>
        <v/>
      </c>
      <c r="N2835" s="36" t="str">
        <f t="shared" si="2"/>
        <v/>
      </c>
      <c r="O2835" s="36" t="str">
        <f t="shared" si="3"/>
        <v/>
      </c>
      <c r="P2835" s="15"/>
      <c r="Q2835" s="37" t="str">
        <f t="shared" si="4"/>
        <v/>
      </c>
      <c r="R2835" s="37" t="str">
        <f t="shared" si="5"/>
        <v/>
      </c>
      <c r="S2835" s="32" t="str">
        <f t="shared" si="6"/>
        <v/>
      </c>
      <c r="T2835" s="37" t="str">
        <f t="shared" si="7"/>
        <v/>
      </c>
      <c r="U2835" s="37" t="str">
        <f t="array" ref="U2835">IF($F2835="","",IFERROR(INDEX(Config!$F:$F,MATCH($F2835,Config!$D:$D,0)),0))</f>
        <v/>
      </c>
    </row>
    <row r="2836" ht="15.0" customHeight="1">
      <c r="A2836" s="34"/>
      <c r="B2836" s="35"/>
      <c r="C2836" s="15"/>
      <c r="D2836" s="15"/>
      <c r="E2836" s="15"/>
      <c r="F2836" s="15"/>
      <c r="G2836" s="36" t="str">
        <f t="array" ref="G2836">IF($F2836="","",IFERROR(INDEX(Config!$E:$E,MATCH($F2836,Config!$D:$D,0)),0))</f>
        <v/>
      </c>
      <c r="H2836" s="16"/>
      <c r="I2836" s="36" t="str">
        <f t="shared" si="1"/>
        <v/>
      </c>
      <c r="J2836" s="16"/>
      <c r="K2836" s="15"/>
      <c r="L2836" s="15"/>
      <c r="M2836" s="36" t="str">
        <f t="array" ref="M2836">IF($A2836="","",IF($L2836="Atendido",IFERROR($I2836*INDEX(Config!$B:$B,MATCH($C2836,Config!$A:$A,0)),0),0))</f>
        <v/>
      </c>
      <c r="N2836" s="36" t="str">
        <f t="shared" si="2"/>
        <v/>
      </c>
      <c r="O2836" s="36" t="str">
        <f t="shared" si="3"/>
        <v/>
      </c>
      <c r="P2836" s="15"/>
      <c r="Q2836" s="37" t="str">
        <f t="shared" si="4"/>
        <v/>
      </c>
      <c r="R2836" s="37" t="str">
        <f t="shared" si="5"/>
        <v/>
      </c>
      <c r="S2836" s="32" t="str">
        <f t="shared" si="6"/>
        <v/>
      </c>
      <c r="T2836" s="37" t="str">
        <f t="shared" si="7"/>
        <v/>
      </c>
      <c r="U2836" s="37" t="str">
        <f t="array" ref="U2836">IF($F2836="","",IFERROR(INDEX(Config!$F:$F,MATCH($F2836,Config!$D:$D,0)),0))</f>
        <v/>
      </c>
    </row>
    <row r="2837" ht="15.0" customHeight="1">
      <c r="A2837" s="34"/>
      <c r="B2837" s="35"/>
      <c r="C2837" s="15"/>
      <c r="D2837" s="15"/>
      <c r="E2837" s="15"/>
      <c r="F2837" s="15"/>
      <c r="G2837" s="36" t="str">
        <f t="array" ref="G2837">IF($F2837="","",IFERROR(INDEX(Config!$E:$E,MATCH($F2837,Config!$D:$D,0)),0))</f>
        <v/>
      </c>
      <c r="H2837" s="16"/>
      <c r="I2837" s="36" t="str">
        <f t="shared" si="1"/>
        <v/>
      </c>
      <c r="J2837" s="16"/>
      <c r="K2837" s="15"/>
      <c r="L2837" s="15"/>
      <c r="M2837" s="36" t="str">
        <f t="array" ref="M2837">IF($A2837="","",IF($L2837="Atendido",IFERROR($I2837*INDEX(Config!$B:$B,MATCH($C2837,Config!$A:$A,0)),0),0))</f>
        <v/>
      </c>
      <c r="N2837" s="36" t="str">
        <f t="shared" si="2"/>
        <v/>
      </c>
      <c r="O2837" s="36" t="str">
        <f t="shared" si="3"/>
        <v/>
      </c>
      <c r="P2837" s="15"/>
      <c r="Q2837" s="37" t="str">
        <f t="shared" si="4"/>
        <v/>
      </c>
      <c r="R2837" s="37" t="str">
        <f t="shared" si="5"/>
        <v/>
      </c>
      <c r="S2837" s="32" t="str">
        <f t="shared" si="6"/>
        <v/>
      </c>
      <c r="T2837" s="37" t="str">
        <f t="shared" si="7"/>
        <v/>
      </c>
      <c r="U2837" s="37" t="str">
        <f t="array" ref="U2837">IF($F2837="","",IFERROR(INDEX(Config!$F:$F,MATCH($F2837,Config!$D:$D,0)),0))</f>
        <v/>
      </c>
    </row>
    <row r="2838" ht="15.0" customHeight="1">
      <c r="A2838" s="34"/>
      <c r="B2838" s="35"/>
      <c r="C2838" s="15"/>
      <c r="D2838" s="15"/>
      <c r="E2838" s="15"/>
      <c r="F2838" s="15"/>
      <c r="G2838" s="36" t="str">
        <f t="array" ref="G2838">IF($F2838="","",IFERROR(INDEX(Config!$E:$E,MATCH($F2838,Config!$D:$D,0)),0))</f>
        <v/>
      </c>
      <c r="H2838" s="16"/>
      <c r="I2838" s="36" t="str">
        <f t="shared" si="1"/>
        <v/>
      </c>
      <c r="J2838" s="16"/>
      <c r="K2838" s="15"/>
      <c r="L2838" s="15"/>
      <c r="M2838" s="36" t="str">
        <f t="array" ref="M2838">IF($A2838="","",IF($L2838="Atendido",IFERROR($I2838*INDEX(Config!$B:$B,MATCH($C2838,Config!$A:$A,0)),0),0))</f>
        <v/>
      </c>
      <c r="N2838" s="36" t="str">
        <f t="shared" si="2"/>
        <v/>
      </c>
      <c r="O2838" s="36" t="str">
        <f t="shared" si="3"/>
        <v/>
      </c>
      <c r="P2838" s="15"/>
      <c r="Q2838" s="37" t="str">
        <f t="shared" si="4"/>
        <v/>
      </c>
      <c r="R2838" s="37" t="str">
        <f t="shared" si="5"/>
        <v/>
      </c>
      <c r="S2838" s="32" t="str">
        <f t="shared" si="6"/>
        <v/>
      </c>
      <c r="T2838" s="37" t="str">
        <f t="shared" si="7"/>
        <v/>
      </c>
      <c r="U2838" s="37" t="str">
        <f t="array" ref="U2838">IF($F2838="","",IFERROR(INDEX(Config!$F:$F,MATCH($F2838,Config!$D:$D,0)),0))</f>
        <v/>
      </c>
    </row>
    <row r="2839" ht="15.0" customHeight="1">
      <c r="A2839" s="34"/>
      <c r="B2839" s="35"/>
      <c r="C2839" s="15"/>
      <c r="D2839" s="15"/>
      <c r="E2839" s="15"/>
      <c r="F2839" s="15"/>
      <c r="G2839" s="36" t="str">
        <f t="array" ref="G2839">IF($F2839="","",IFERROR(INDEX(Config!$E:$E,MATCH($F2839,Config!$D:$D,0)),0))</f>
        <v/>
      </c>
      <c r="H2839" s="16"/>
      <c r="I2839" s="36" t="str">
        <f t="shared" si="1"/>
        <v/>
      </c>
      <c r="J2839" s="16"/>
      <c r="K2839" s="15"/>
      <c r="L2839" s="15"/>
      <c r="M2839" s="36" t="str">
        <f t="array" ref="M2839">IF($A2839="","",IF($L2839="Atendido",IFERROR($I2839*INDEX(Config!$B:$B,MATCH($C2839,Config!$A:$A,0)),0),0))</f>
        <v/>
      </c>
      <c r="N2839" s="36" t="str">
        <f t="shared" si="2"/>
        <v/>
      </c>
      <c r="O2839" s="36" t="str">
        <f t="shared" si="3"/>
        <v/>
      </c>
      <c r="P2839" s="15"/>
      <c r="Q2839" s="37" t="str">
        <f t="shared" si="4"/>
        <v/>
      </c>
      <c r="R2839" s="37" t="str">
        <f t="shared" si="5"/>
        <v/>
      </c>
      <c r="S2839" s="32" t="str">
        <f t="shared" si="6"/>
        <v/>
      </c>
      <c r="T2839" s="37" t="str">
        <f t="shared" si="7"/>
        <v/>
      </c>
      <c r="U2839" s="37" t="str">
        <f t="array" ref="U2839">IF($F2839="","",IFERROR(INDEX(Config!$F:$F,MATCH($F2839,Config!$D:$D,0)),0))</f>
        <v/>
      </c>
    </row>
    <row r="2840" ht="15.0" customHeight="1">
      <c r="A2840" s="34"/>
      <c r="B2840" s="35"/>
      <c r="C2840" s="15"/>
      <c r="D2840" s="15"/>
      <c r="E2840" s="15"/>
      <c r="F2840" s="15"/>
      <c r="G2840" s="36" t="str">
        <f t="array" ref="G2840">IF($F2840="","",IFERROR(INDEX(Config!$E:$E,MATCH($F2840,Config!$D:$D,0)),0))</f>
        <v/>
      </c>
      <c r="H2840" s="16"/>
      <c r="I2840" s="36" t="str">
        <f t="shared" si="1"/>
        <v/>
      </c>
      <c r="J2840" s="16"/>
      <c r="K2840" s="15"/>
      <c r="L2840" s="15"/>
      <c r="M2840" s="36" t="str">
        <f t="array" ref="M2840">IF($A2840="","",IF($L2840="Atendido",IFERROR($I2840*INDEX(Config!$B:$B,MATCH($C2840,Config!$A:$A,0)),0),0))</f>
        <v/>
      </c>
      <c r="N2840" s="36" t="str">
        <f t="shared" si="2"/>
        <v/>
      </c>
      <c r="O2840" s="36" t="str">
        <f t="shared" si="3"/>
        <v/>
      </c>
      <c r="P2840" s="15"/>
      <c r="Q2840" s="37" t="str">
        <f t="shared" si="4"/>
        <v/>
      </c>
      <c r="R2840" s="37" t="str">
        <f t="shared" si="5"/>
        <v/>
      </c>
      <c r="S2840" s="32" t="str">
        <f t="shared" si="6"/>
        <v/>
      </c>
      <c r="T2840" s="37" t="str">
        <f t="shared" si="7"/>
        <v/>
      </c>
      <c r="U2840" s="37" t="str">
        <f t="array" ref="U2840">IF($F2840="","",IFERROR(INDEX(Config!$F:$F,MATCH($F2840,Config!$D:$D,0)),0))</f>
        <v/>
      </c>
    </row>
    <row r="2841" ht="15.0" customHeight="1">
      <c r="A2841" s="34"/>
      <c r="B2841" s="35"/>
      <c r="C2841" s="15"/>
      <c r="D2841" s="15"/>
      <c r="E2841" s="15"/>
      <c r="F2841" s="15"/>
      <c r="G2841" s="36" t="str">
        <f t="array" ref="G2841">IF($F2841="","",IFERROR(INDEX(Config!$E:$E,MATCH($F2841,Config!$D:$D,0)),0))</f>
        <v/>
      </c>
      <c r="H2841" s="16"/>
      <c r="I2841" s="36" t="str">
        <f t="shared" si="1"/>
        <v/>
      </c>
      <c r="J2841" s="16"/>
      <c r="K2841" s="15"/>
      <c r="L2841" s="15"/>
      <c r="M2841" s="36" t="str">
        <f t="array" ref="M2841">IF($A2841="","",IF($L2841="Atendido",IFERROR($I2841*INDEX(Config!$B:$B,MATCH($C2841,Config!$A:$A,0)),0),0))</f>
        <v/>
      </c>
      <c r="N2841" s="36" t="str">
        <f t="shared" si="2"/>
        <v/>
      </c>
      <c r="O2841" s="36" t="str">
        <f t="shared" si="3"/>
        <v/>
      </c>
      <c r="P2841" s="15"/>
      <c r="Q2841" s="37" t="str">
        <f t="shared" si="4"/>
        <v/>
      </c>
      <c r="R2841" s="37" t="str">
        <f t="shared" si="5"/>
        <v/>
      </c>
      <c r="S2841" s="32" t="str">
        <f t="shared" si="6"/>
        <v/>
      </c>
      <c r="T2841" s="37" t="str">
        <f t="shared" si="7"/>
        <v/>
      </c>
      <c r="U2841" s="37" t="str">
        <f t="array" ref="U2841">IF($F2841="","",IFERROR(INDEX(Config!$F:$F,MATCH($F2841,Config!$D:$D,0)),0))</f>
        <v/>
      </c>
    </row>
    <row r="2842" ht="15.0" customHeight="1">
      <c r="A2842" s="34"/>
      <c r="B2842" s="35"/>
      <c r="C2842" s="15"/>
      <c r="D2842" s="15"/>
      <c r="E2842" s="15"/>
      <c r="F2842" s="15"/>
      <c r="G2842" s="36" t="str">
        <f t="array" ref="G2842">IF($F2842="","",IFERROR(INDEX(Config!$E:$E,MATCH($F2842,Config!$D:$D,0)),0))</f>
        <v/>
      </c>
      <c r="H2842" s="16"/>
      <c r="I2842" s="36" t="str">
        <f t="shared" si="1"/>
        <v/>
      </c>
      <c r="J2842" s="16"/>
      <c r="K2842" s="15"/>
      <c r="L2842" s="15"/>
      <c r="M2842" s="36" t="str">
        <f t="array" ref="M2842">IF($A2842="","",IF($L2842="Atendido",IFERROR($I2842*INDEX(Config!$B:$B,MATCH($C2842,Config!$A:$A,0)),0),0))</f>
        <v/>
      </c>
      <c r="N2842" s="36" t="str">
        <f t="shared" si="2"/>
        <v/>
      </c>
      <c r="O2842" s="36" t="str">
        <f t="shared" si="3"/>
        <v/>
      </c>
      <c r="P2842" s="15"/>
      <c r="Q2842" s="37" t="str">
        <f t="shared" si="4"/>
        <v/>
      </c>
      <c r="R2842" s="37" t="str">
        <f t="shared" si="5"/>
        <v/>
      </c>
      <c r="S2842" s="32" t="str">
        <f t="shared" si="6"/>
        <v/>
      </c>
      <c r="T2842" s="37" t="str">
        <f t="shared" si="7"/>
        <v/>
      </c>
      <c r="U2842" s="37" t="str">
        <f t="array" ref="U2842">IF($F2842="","",IFERROR(INDEX(Config!$F:$F,MATCH($F2842,Config!$D:$D,0)),0))</f>
        <v/>
      </c>
    </row>
    <row r="2843" ht="15.0" customHeight="1">
      <c r="A2843" s="34"/>
      <c r="B2843" s="35"/>
      <c r="C2843" s="15"/>
      <c r="D2843" s="15"/>
      <c r="E2843" s="15"/>
      <c r="F2843" s="15"/>
      <c r="G2843" s="36" t="str">
        <f t="array" ref="G2843">IF($F2843="","",IFERROR(INDEX(Config!$E:$E,MATCH($F2843,Config!$D:$D,0)),0))</f>
        <v/>
      </c>
      <c r="H2843" s="16"/>
      <c r="I2843" s="36" t="str">
        <f t="shared" si="1"/>
        <v/>
      </c>
      <c r="J2843" s="16"/>
      <c r="K2843" s="15"/>
      <c r="L2843" s="15"/>
      <c r="M2843" s="36" t="str">
        <f t="array" ref="M2843">IF($A2843="","",IF($L2843="Atendido",IFERROR($I2843*INDEX(Config!$B:$B,MATCH($C2843,Config!$A:$A,0)),0),0))</f>
        <v/>
      </c>
      <c r="N2843" s="36" t="str">
        <f t="shared" si="2"/>
        <v/>
      </c>
      <c r="O2843" s="36" t="str">
        <f t="shared" si="3"/>
        <v/>
      </c>
      <c r="P2843" s="15"/>
      <c r="Q2843" s="37" t="str">
        <f t="shared" si="4"/>
        <v/>
      </c>
      <c r="R2843" s="37" t="str">
        <f t="shared" si="5"/>
        <v/>
      </c>
      <c r="S2843" s="32" t="str">
        <f t="shared" si="6"/>
        <v/>
      </c>
      <c r="T2843" s="37" t="str">
        <f t="shared" si="7"/>
        <v/>
      </c>
      <c r="U2843" s="37" t="str">
        <f t="array" ref="U2843">IF($F2843="","",IFERROR(INDEX(Config!$F:$F,MATCH($F2843,Config!$D:$D,0)),0))</f>
        <v/>
      </c>
    </row>
    <row r="2844" ht="15.0" customHeight="1">
      <c r="A2844" s="34"/>
      <c r="B2844" s="35"/>
      <c r="C2844" s="15"/>
      <c r="D2844" s="15"/>
      <c r="E2844" s="15"/>
      <c r="F2844" s="15"/>
      <c r="G2844" s="36" t="str">
        <f t="array" ref="G2844">IF($F2844="","",IFERROR(INDEX(Config!$E:$E,MATCH($F2844,Config!$D:$D,0)),0))</f>
        <v/>
      </c>
      <c r="H2844" s="16"/>
      <c r="I2844" s="36" t="str">
        <f t="shared" si="1"/>
        <v/>
      </c>
      <c r="J2844" s="16"/>
      <c r="K2844" s="15"/>
      <c r="L2844" s="15"/>
      <c r="M2844" s="36" t="str">
        <f t="array" ref="M2844">IF($A2844="","",IF($L2844="Atendido",IFERROR($I2844*INDEX(Config!$B:$B,MATCH($C2844,Config!$A:$A,0)),0),0))</f>
        <v/>
      </c>
      <c r="N2844" s="36" t="str">
        <f t="shared" si="2"/>
        <v/>
      </c>
      <c r="O2844" s="36" t="str">
        <f t="shared" si="3"/>
        <v/>
      </c>
      <c r="P2844" s="15"/>
      <c r="Q2844" s="37" t="str">
        <f t="shared" si="4"/>
        <v/>
      </c>
      <c r="R2844" s="37" t="str">
        <f t="shared" si="5"/>
        <v/>
      </c>
      <c r="S2844" s="32" t="str">
        <f t="shared" si="6"/>
        <v/>
      </c>
      <c r="T2844" s="37" t="str">
        <f t="shared" si="7"/>
        <v/>
      </c>
      <c r="U2844" s="37" t="str">
        <f t="array" ref="U2844">IF($F2844="","",IFERROR(INDEX(Config!$F:$F,MATCH($F2844,Config!$D:$D,0)),0))</f>
        <v/>
      </c>
    </row>
    <row r="2845" ht="15.0" customHeight="1">
      <c r="A2845" s="34"/>
      <c r="B2845" s="35"/>
      <c r="C2845" s="15"/>
      <c r="D2845" s="15"/>
      <c r="E2845" s="15"/>
      <c r="F2845" s="15"/>
      <c r="G2845" s="36" t="str">
        <f t="array" ref="G2845">IF($F2845="","",IFERROR(INDEX(Config!$E:$E,MATCH($F2845,Config!$D:$D,0)),0))</f>
        <v/>
      </c>
      <c r="H2845" s="16"/>
      <c r="I2845" s="36" t="str">
        <f t="shared" si="1"/>
        <v/>
      </c>
      <c r="J2845" s="16"/>
      <c r="K2845" s="15"/>
      <c r="L2845" s="15"/>
      <c r="M2845" s="36" t="str">
        <f t="array" ref="M2845">IF($A2845="","",IF($L2845="Atendido",IFERROR($I2845*INDEX(Config!$B:$B,MATCH($C2845,Config!$A:$A,0)),0),0))</f>
        <v/>
      </c>
      <c r="N2845" s="36" t="str">
        <f t="shared" si="2"/>
        <v/>
      </c>
      <c r="O2845" s="36" t="str">
        <f t="shared" si="3"/>
        <v/>
      </c>
      <c r="P2845" s="15"/>
      <c r="Q2845" s="37" t="str">
        <f t="shared" si="4"/>
        <v/>
      </c>
      <c r="R2845" s="37" t="str">
        <f t="shared" si="5"/>
        <v/>
      </c>
      <c r="S2845" s="32" t="str">
        <f t="shared" si="6"/>
        <v/>
      </c>
      <c r="T2845" s="37" t="str">
        <f t="shared" si="7"/>
        <v/>
      </c>
      <c r="U2845" s="37" t="str">
        <f t="array" ref="U2845">IF($F2845="","",IFERROR(INDEX(Config!$F:$F,MATCH($F2845,Config!$D:$D,0)),0))</f>
        <v/>
      </c>
    </row>
    <row r="2846" ht="15.0" customHeight="1">
      <c r="A2846" s="34"/>
      <c r="B2846" s="35"/>
      <c r="C2846" s="15"/>
      <c r="D2846" s="15"/>
      <c r="E2846" s="15"/>
      <c r="F2846" s="15"/>
      <c r="G2846" s="36" t="str">
        <f t="array" ref="G2846">IF($F2846="","",IFERROR(INDEX(Config!$E:$E,MATCH($F2846,Config!$D:$D,0)),0))</f>
        <v/>
      </c>
      <c r="H2846" s="16"/>
      <c r="I2846" s="36" t="str">
        <f t="shared" si="1"/>
        <v/>
      </c>
      <c r="J2846" s="16"/>
      <c r="K2846" s="15"/>
      <c r="L2846" s="15"/>
      <c r="M2846" s="36" t="str">
        <f t="array" ref="M2846">IF($A2846="","",IF($L2846="Atendido",IFERROR($I2846*INDEX(Config!$B:$B,MATCH($C2846,Config!$A:$A,0)),0),0))</f>
        <v/>
      </c>
      <c r="N2846" s="36" t="str">
        <f t="shared" si="2"/>
        <v/>
      </c>
      <c r="O2846" s="36" t="str">
        <f t="shared" si="3"/>
        <v/>
      </c>
      <c r="P2846" s="15"/>
      <c r="Q2846" s="37" t="str">
        <f t="shared" si="4"/>
        <v/>
      </c>
      <c r="R2846" s="37" t="str">
        <f t="shared" si="5"/>
        <v/>
      </c>
      <c r="S2846" s="32" t="str">
        <f t="shared" si="6"/>
        <v/>
      </c>
      <c r="T2846" s="37" t="str">
        <f t="shared" si="7"/>
        <v/>
      </c>
      <c r="U2846" s="37" t="str">
        <f t="array" ref="U2846">IF($F2846="","",IFERROR(INDEX(Config!$F:$F,MATCH($F2846,Config!$D:$D,0)),0))</f>
        <v/>
      </c>
    </row>
    <row r="2847" ht="15.0" customHeight="1">
      <c r="A2847" s="34"/>
      <c r="B2847" s="35"/>
      <c r="C2847" s="15"/>
      <c r="D2847" s="15"/>
      <c r="E2847" s="15"/>
      <c r="F2847" s="15"/>
      <c r="G2847" s="36" t="str">
        <f t="array" ref="G2847">IF($F2847="","",IFERROR(INDEX(Config!$E:$E,MATCH($F2847,Config!$D:$D,0)),0))</f>
        <v/>
      </c>
      <c r="H2847" s="16"/>
      <c r="I2847" s="36" t="str">
        <f t="shared" si="1"/>
        <v/>
      </c>
      <c r="J2847" s="16"/>
      <c r="K2847" s="15"/>
      <c r="L2847" s="15"/>
      <c r="M2847" s="36" t="str">
        <f t="array" ref="M2847">IF($A2847="","",IF($L2847="Atendido",IFERROR($I2847*INDEX(Config!$B:$B,MATCH($C2847,Config!$A:$A,0)),0),0))</f>
        <v/>
      </c>
      <c r="N2847" s="36" t="str">
        <f t="shared" si="2"/>
        <v/>
      </c>
      <c r="O2847" s="36" t="str">
        <f t="shared" si="3"/>
        <v/>
      </c>
      <c r="P2847" s="15"/>
      <c r="Q2847" s="37" t="str">
        <f t="shared" si="4"/>
        <v/>
      </c>
      <c r="R2847" s="37" t="str">
        <f t="shared" si="5"/>
        <v/>
      </c>
      <c r="S2847" s="32" t="str">
        <f t="shared" si="6"/>
        <v/>
      </c>
      <c r="T2847" s="37" t="str">
        <f t="shared" si="7"/>
        <v/>
      </c>
      <c r="U2847" s="37" t="str">
        <f t="array" ref="U2847">IF($F2847="","",IFERROR(INDEX(Config!$F:$F,MATCH($F2847,Config!$D:$D,0)),0))</f>
        <v/>
      </c>
    </row>
    <row r="2848" ht="15.0" customHeight="1">
      <c r="A2848" s="34"/>
      <c r="B2848" s="35"/>
      <c r="C2848" s="15"/>
      <c r="D2848" s="15"/>
      <c r="E2848" s="15"/>
      <c r="F2848" s="15"/>
      <c r="G2848" s="36" t="str">
        <f t="array" ref="G2848">IF($F2848="","",IFERROR(INDEX(Config!$E:$E,MATCH($F2848,Config!$D:$D,0)),0))</f>
        <v/>
      </c>
      <c r="H2848" s="16"/>
      <c r="I2848" s="36" t="str">
        <f t="shared" si="1"/>
        <v/>
      </c>
      <c r="J2848" s="16"/>
      <c r="K2848" s="15"/>
      <c r="L2848" s="15"/>
      <c r="M2848" s="36" t="str">
        <f t="array" ref="M2848">IF($A2848="","",IF($L2848="Atendido",IFERROR($I2848*INDEX(Config!$B:$B,MATCH($C2848,Config!$A:$A,0)),0),0))</f>
        <v/>
      </c>
      <c r="N2848" s="36" t="str">
        <f t="shared" si="2"/>
        <v/>
      </c>
      <c r="O2848" s="36" t="str">
        <f t="shared" si="3"/>
        <v/>
      </c>
      <c r="P2848" s="15"/>
      <c r="Q2848" s="37" t="str">
        <f t="shared" si="4"/>
        <v/>
      </c>
      <c r="R2848" s="37" t="str">
        <f t="shared" si="5"/>
        <v/>
      </c>
      <c r="S2848" s="32" t="str">
        <f t="shared" si="6"/>
        <v/>
      </c>
      <c r="T2848" s="37" t="str">
        <f t="shared" si="7"/>
        <v/>
      </c>
      <c r="U2848" s="37" t="str">
        <f t="array" ref="U2848">IF($F2848="","",IFERROR(INDEX(Config!$F:$F,MATCH($F2848,Config!$D:$D,0)),0))</f>
        <v/>
      </c>
    </row>
    <row r="2849" ht="15.0" customHeight="1">
      <c r="A2849" s="34"/>
      <c r="B2849" s="35"/>
      <c r="C2849" s="15"/>
      <c r="D2849" s="15"/>
      <c r="E2849" s="15"/>
      <c r="F2849" s="15"/>
      <c r="G2849" s="36" t="str">
        <f t="array" ref="G2849">IF($F2849="","",IFERROR(INDEX(Config!$E:$E,MATCH($F2849,Config!$D:$D,0)),0))</f>
        <v/>
      </c>
      <c r="H2849" s="16"/>
      <c r="I2849" s="36" t="str">
        <f t="shared" si="1"/>
        <v/>
      </c>
      <c r="J2849" s="16"/>
      <c r="K2849" s="15"/>
      <c r="L2849" s="15"/>
      <c r="M2849" s="36" t="str">
        <f t="array" ref="M2849">IF($A2849="","",IF($L2849="Atendido",IFERROR($I2849*INDEX(Config!$B:$B,MATCH($C2849,Config!$A:$A,0)),0),0))</f>
        <v/>
      </c>
      <c r="N2849" s="36" t="str">
        <f t="shared" si="2"/>
        <v/>
      </c>
      <c r="O2849" s="36" t="str">
        <f t="shared" si="3"/>
        <v/>
      </c>
      <c r="P2849" s="15"/>
      <c r="Q2849" s="37" t="str">
        <f t="shared" si="4"/>
        <v/>
      </c>
      <c r="R2849" s="37" t="str">
        <f t="shared" si="5"/>
        <v/>
      </c>
      <c r="S2849" s="32" t="str">
        <f t="shared" si="6"/>
        <v/>
      </c>
      <c r="T2849" s="37" t="str">
        <f t="shared" si="7"/>
        <v/>
      </c>
      <c r="U2849" s="37" t="str">
        <f t="array" ref="U2849">IF($F2849="","",IFERROR(INDEX(Config!$F:$F,MATCH($F2849,Config!$D:$D,0)),0))</f>
        <v/>
      </c>
    </row>
    <row r="2850" ht="15.0" customHeight="1">
      <c r="A2850" s="34"/>
      <c r="B2850" s="35"/>
      <c r="C2850" s="15"/>
      <c r="D2850" s="15"/>
      <c r="E2850" s="15"/>
      <c r="F2850" s="15"/>
      <c r="G2850" s="36" t="str">
        <f t="array" ref="G2850">IF($F2850="","",IFERROR(INDEX(Config!$E:$E,MATCH($F2850,Config!$D:$D,0)),0))</f>
        <v/>
      </c>
      <c r="H2850" s="16"/>
      <c r="I2850" s="36" t="str">
        <f t="shared" si="1"/>
        <v/>
      </c>
      <c r="J2850" s="16"/>
      <c r="K2850" s="15"/>
      <c r="L2850" s="15"/>
      <c r="M2850" s="36" t="str">
        <f t="array" ref="M2850">IF($A2850="","",IF($L2850="Atendido",IFERROR($I2850*INDEX(Config!$B:$B,MATCH($C2850,Config!$A:$A,0)),0),0))</f>
        <v/>
      </c>
      <c r="N2850" s="36" t="str">
        <f t="shared" si="2"/>
        <v/>
      </c>
      <c r="O2850" s="36" t="str">
        <f t="shared" si="3"/>
        <v/>
      </c>
      <c r="P2850" s="15"/>
      <c r="Q2850" s="37" t="str">
        <f t="shared" si="4"/>
        <v/>
      </c>
      <c r="R2850" s="37" t="str">
        <f t="shared" si="5"/>
        <v/>
      </c>
      <c r="S2850" s="32" t="str">
        <f t="shared" si="6"/>
        <v/>
      </c>
      <c r="T2850" s="37" t="str">
        <f t="shared" si="7"/>
        <v/>
      </c>
      <c r="U2850" s="37" t="str">
        <f t="array" ref="U2850">IF($F2850="","",IFERROR(INDEX(Config!$F:$F,MATCH($F2850,Config!$D:$D,0)),0))</f>
        <v/>
      </c>
    </row>
    <row r="2851" ht="15.0" customHeight="1">
      <c r="A2851" s="34"/>
      <c r="B2851" s="35"/>
      <c r="C2851" s="15"/>
      <c r="D2851" s="15"/>
      <c r="E2851" s="15"/>
      <c r="F2851" s="15"/>
      <c r="G2851" s="36" t="str">
        <f t="array" ref="G2851">IF($F2851="","",IFERROR(INDEX(Config!$E:$E,MATCH($F2851,Config!$D:$D,0)),0))</f>
        <v/>
      </c>
      <c r="H2851" s="16"/>
      <c r="I2851" s="36" t="str">
        <f t="shared" si="1"/>
        <v/>
      </c>
      <c r="J2851" s="16"/>
      <c r="K2851" s="15"/>
      <c r="L2851" s="15"/>
      <c r="M2851" s="36" t="str">
        <f t="array" ref="M2851">IF($A2851="","",IF($L2851="Atendido",IFERROR($I2851*INDEX(Config!$B:$B,MATCH($C2851,Config!$A:$A,0)),0),0))</f>
        <v/>
      </c>
      <c r="N2851" s="36" t="str">
        <f t="shared" si="2"/>
        <v/>
      </c>
      <c r="O2851" s="36" t="str">
        <f t="shared" si="3"/>
        <v/>
      </c>
      <c r="P2851" s="15"/>
      <c r="Q2851" s="37" t="str">
        <f t="shared" si="4"/>
        <v/>
      </c>
      <c r="R2851" s="37" t="str">
        <f t="shared" si="5"/>
        <v/>
      </c>
      <c r="S2851" s="32" t="str">
        <f t="shared" si="6"/>
        <v/>
      </c>
      <c r="T2851" s="37" t="str">
        <f t="shared" si="7"/>
        <v/>
      </c>
      <c r="U2851" s="37" t="str">
        <f t="array" ref="U2851">IF($F2851="","",IFERROR(INDEX(Config!$F:$F,MATCH($F2851,Config!$D:$D,0)),0))</f>
        <v/>
      </c>
    </row>
    <row r="2852" ht="15.0" customHeight="1">
      <c r="A2852" s="34"/>
      <c r="B2852" s="35"/>
      <c r="C2852" s="15"/>
      <c r="D2852" s="15"/>
      <c r="E2852" s="15"/>
      <c r="F2852" s="15"/>
      <c r="G2852" s="36" t="str">
        <f t="array" ref="G2852">IF($F2852="","",IFERROR(INDEX(Config!$E:$E,MATCH($F2852,Config!$D:$D,0)),0))</f>
        <v/>
      </c>
      <c r="H2852" s="16"/>
      <c r="I2852" s="36" t="str">
        <f t="shared" si="1"/>
        <v/>
      </c>
      <c r="J2852" s="16"/>
      <c r="K2852" s="15"/>
      <c r="L2852" s="15"/>
      <c r="M2852" s="36" t="str">
        <f t="array" ref="M2852">IF($A2852="","",IF($L2852="Atendido",IFERROR($I2852*INDEX(Config!$B:$B,MATCH($C2852,Config!$A:$A,0)),0),0))</f>
        <v/>
      </c>
      <c r="N2852" s="36" t="str">
        <f t="shared" si="2"/>
        <v/>
      </c>
      <c r="O2852" s="36" t="str">
        <f t="shared" si="3"/>
        <v/>
      </c>
      <c r="P2852" s="15"/>
      <c r="Q2852" s="37" t="str">
        <f t="shared" si="4"/>
        <v/>
      </c>
      <c r="R2852" s="37" t="str">
        <f t="shared" si="5"/>
        <v/>
      </c>
      <c r="S2852" s="32" t="str">
        <f t="shared" si="6"/>
        <v/>
      </c>
      <c r="T2852" s="37" t="str">
        <f t="shared" si="7"/>
        <v/>
      </c>
      <c r="U2852" s="37" t="str">
        <f t="array" ref="U2852">IF($F2852="","",IFERROR(INDEX(Config!$F:$F,MATCH($F2852,Config!$D:$D,0)),0))</f>
        <v/>
      </c>
    </row>
    <row r="2853" ht="15.0" customHeight="1">
      <c r="A2853" s="34"/>
      <c r="B2853" s="35"/>
      <c r="C2853" s="15"/>
      <c r="D2853" s="15"/>
      <c r="E2853" s="15"/>
      <c r="F2853" s="15"/>
      <c r="G2853" s="36" t="str">
        <f t="array" ref="G2853">IF($F2853="","",IFERROR(INDEX(Config!$E:$E,MATCH($F2853,Config!$D:$D,0)),0))</f>
        <v/>
      </c>
      <c r="H2853" s="16"/>
      <c r="I2853" s="36" t="str">
        <f t="shared" si="1"/>
        <v/>
      </c>
      <c r="J2853" s="16"/>
      <c r="K2853" s="15"/>
      <c r="L2853" s="15"/>
      <c r="M2853" s="36" t="str">
        <f t="array" ref="M2853">IF($A2853="","",IF($L2853="Atendido",IFERROR($I2853*INDEX(Config!$B:$B,MATCH($C2853,Config!$A:$A,0)),0),0))</f>
        <v/>
      </c>
      <c r="N2853" s="36" t="str">
        <f t="shared" si="2"/>
        <v/>
      </c>
      <c r="O2853" s="36" t="str">
        <f t="shared" si="3"/>
        <v/>
      </c>
      <c r="P2853" s="15"/>
      <c r="Q2853" s="37" t="str">
        <f t="shared" si="4"/>
        <v/>
      </c>
      <c r="R2853" s="37" t="str">
        <f t="shared" si="5"/>
        <v/>
      </c>
      <c r="S2853" s="32" t="str">
        <f t="shared" si="6"/>
        <v/>
      </c>
      <c r="T2853" s="37" t="str">
        <f t="shared" si="7"/>
        <v/>
      </c>
      <c r="U2853" s="37" t="str">
        <f t="array" ref="U2853">IF($F2853="","",IFERROR(INDEX(Config!$F:$F,MATCH($F2853,Config!$D:$D,0)),0))</f>
        <v/>
      </c>
    </row>
    <row r="2854" ht="15.0" customHeight="1">
      <c r="A2854" s="34"/>
      <c r="B2854" s="35"/>
      <c r="C2854" s="15"/>
      <c r="D2854" s="15"/>
      <c r="E2854" s="15"/>
      <c r="F2854" s="15"/>
      <c r="G2854" s="36" t="str">
        <f t="array" ref="G2854">IF($F2854="","",IFERROR(INDEX(Config!$E:$E,MATCH($F2854,Config!$D:$D,0)),0))</f>
        <v/>
      </c>
      <c r="H2854" s="16"/>
      <c r="I2854" s="36" t="str">
        <f t="shared" si="1"/>
        <v/>
      </c>
      <c r="J2854" s="16"/>
      <c r="K2854" s="15"/>
      <c r="L2854" s="15"/>
      <c r="M2854" s="36" t="str">
        <f t="array" ref="M2854">IF($A2854="","",IF($L2854="Atendido",IFERROR($I2854*INDEX(Config!$B:$B,MATCH($C2854,Config!$A:$A,0)),0),0))</f>
        <v/>
      </c>
      <c r="N2854" s="36" t="str">
        <f t="shared" si="2"/>
        <v/>
      </c>
      <c r="O2854" s="36" t="str">
        <f t="shared" si="3"/>
        <v/>
      </c>
      <c r="P2854" s="15"/>
      <c r="Q2854" s="37" t="str">
        <f t="shared" si="4"/>
        <v/>
      </c>
      <c r="R2854" s="37" t="str">
        <f t="shared" si="5"/>
        <v/>
      </c>
      <c r="S2854" s="32" t="str">
        <f t="shared" si="6"/>
        <v/>
      </c>
      <c r="T2854" s="37" t="str">
        <f t="shared" si="7"/>
        <v/>
      </c>
      <c r="U2854" s="37" t="str">
        <f t="array" ref="U2854">IF($F2854="","",IFERROR(INDEX(Config!$F:$F,MATCH($F2854,Config!$D:$D,0)),0))</f>
        <v/>
      </c>
    </row>
    <row r="2855" ht="15.0" customHeight="1">
      <c r="A2855" s="34"/>
      <c r="B2855" s="35"/>
      <c r="C2855" s="15"/>
      <c r="D2855" s="15"/>
      <c r="E2855" s="15"/>
      <c r="F2855" s="15"/>
      <c r="G2855" s="36" t="str">
        <f t="array" ref="G2855">IF($F2855="","",IFERROR(INDEX(Config!$E:$E,MATCH($F2855,Config!$D:$D,0)),0))</f>
        <v/>
      </c>
      <c r="H2855" s="16"/>
      <c r="I2855" s="36" t="str">
        <f t="shared" si="1"/>
        <v/>
      </c>
      <c r="J2855" s="16"/>
      <c r="K2855" s="15"/>
      <c r="L2855" s="15"/>
      <c r="M2855" s="36" t="str">
        <f t="array" ref="M2855">IF($A2855="","",IF($L2855="Atendido",IFERROR($I2855*INDEX(Config!$B:$B,MATCH($C2855,Config!$A:$A,0)),0),0))</f>
        <v/>
      </c>
      <c r="N2855" s="36" t="str">
        <f t="shared" si="2"/>
        <v/>
      </c>
      <c r="O2855" s="36" t="str">
        <f t="shared" si="3"/>
        <v/>
      </c>
      <c r="P2855" s="15"/>
      <c r="Q2855" s="37" t="str">
        <f t="shared" si="4"/>
        <v/>
      </c>
      <c r="R2855" s="37" t="str">
        <f t="shared" si="5"/>
        <v/>
      </c>
      <c r="S2855" s="32" t="str">
        <f t="shared" si="6"/>
        <v/>
      </c>
      <c r="T2855" s="37" t="str">
        <f t="shared" si="7"/>
        <v/>
      </c>
      <c r="U2855" s="37" t="str">
        <f t="array" ref="U2855">IF($F2855="","",IFERROR(INDEX(Config!$F:$F,MATCH($F2855,Config!$D:$D,0)),0))</f>
        <v/>
      </c>
    </row>
    <row r="2856" ht="15.0" customHeight="1">
      <c r="A2856" s="34"/>
      <c r="B2856" s="35"/>
      <c r="C2856" s="15"/>
      <c r="D2856" s="15"/>
      <c r="E2856" s="15"/>
      <c r="F2856" s="15"/>
      <c r="G2856" s="36" t="str">
        <f t="array" ref="G2856">IF($F2856="","",IFERROR(INDEX(Config!$E:$E,MATCH($F2856,Config!$D:$D,0)),0))</f>
        <v/>
      </c>
      <c r="H2856" s="16"/>
      <c r="I2856" s="36" t="str">
        <f t="shared" si="1"/>
        <v/>
      </c>
      <c r="J2856" s="16"/>
      <c r="K2856" s="15"/>
      <c r="L2856" s="15"/>
      <c r="M2856" s="36" t="str">
        <f t="array" ref="M2856">IF($A2856="","",IF($L2856="Atendido",IFERROR($I2856*INDEX(Config!$B:$B,MATCH($C2856,Config!$A:$A,0)),0),0))</f>
        <v/>
      </c>
      <c r="N2856" s="36" t="str">
        <f t="shared" si="2"/>
        <v/>
      </c>
      <c r="O2856" s="36" t="str">
        <f t="shared" si="3"/>
        <v/>
      </c>
      <c r="P2856" s="15"/>
      <c r="Q2856" s="37" t="str">
        <f t="shared" si="4"/>
        <v/>
      </c>
      <c r="R2856" s="37" t="str">
        <f t="shared" si="5"/>
        <v/>
      </c>
      <c r="S2856" s="32" t="str">
        <f t="shared" si="6"/>
        <v/>
      </c>
      <c r="T2856" s="37" t="str">
        <f t="shared" si="7"/>
        <v/>
      </c>
      <c r="U2856" s="37" t="str">
        <f t="array" ref="U2856">IF($F2856="","",IFERROR(INDEX(Config!$F:$F,MATCH($F2856,Config!$D:$D,0)),0))</f>
        <v/>
      </c>
    </row>
    <row r="2857" ht="15.0" customHeight="1">
      <c r="A2857" s="34"/>
      <c r="B2857" s="35"/>
      <c r="C2857" s="15"/>
      <c r="D2857" s="15"/>
      <c r="E2857" s="15"/>
      <c r="F2857" s="15"/>
      <c r="G2857" s="36" t="str">
        <f t="array" ref="G2857">IF($F2857="","",IFERROR(INDEX(Config!$E:$E,MATCH($F2857,Config!$D:$D,0)),0))</f>
        <v/>
      </c>
      <c r="H2857" s="16"/>
      <c r="I2857" s="36" t="str">
        <f t="shared" si="1"/>
        <v/>
      </c>
      <c r="J2857" s="16"/>
      <c r="K2857" s="15"/>
      <c r="L2857" s="15"/>
      <c r="M2857" s="36" t="str">
        <f t="array" ref="M2857">IF($A2857="","",IF($L2857="Atendido",IFERROR($I2857*INDEX(Config!$B:$B,MATCH($C2857,Config!$A:$A,0)),0),0))</f>
        <v/>
      </c>
      <c r="N2857" s="36" t="str">
        <f t="shared" si="2"/>
        <v/>
      </c>
      <c r="O2857" s="36" t="str">
        <f t="shared" si="3"/>
        <v/>
      </c>
      <c r="P2857" s="15"/>
      <c r="Q2857" s="37" t="str">
        <f t="shared" si="4"/>
        <v/>
      </c>
      <c r="R2857" s="37" t="str">
        <f t="shared" si="5"/>
        <v/>
      </c>
      <c r="S2857" s="32" t="str">
        <f t="shared" si="6"/>
        <v/>
      </c>
      <c r="T2857" s="37" t="str">
        <f t="shared" si="7"/>
        <v/>
      </c>
      <c r="U2857" s="37" t="str">
        <f t="array" ref="U2857">IF($F2857="","",IFERROR(INDEX(Config!$F:$F,MATCH($F2857,Config!$D:$D,0)),0))</f>
        <v/>
      </c>
    </row>
    <row r="2858" ht="15.0" customHeight="1">
      <c r="A2858" s="34"/>
      <c r="B2858" s="35"/>
      <c r="C2858" s="15"/>
      <c r="D2858" s="15"/>
      <c r="E2858" s="15"/>
      <c r="F2858" s="15"/>
      <c r="G2858" s="36" t="str">
        <f t="array" ref="G2858">IF($F2858="","",IFERROR(INDEX(Config!$E:$E,MATCH($F2858,Config!$D:$D,0)),0))</f>
        <v/>
      </c>
      <c r="H2858" s="16"/>
      <c r="I2858" s="36" t="str">
        <f t="shared" si="1"/>
        <v/>
      </c>
      <c r="J2858" s="16"/>
      <c r="K2858" s="15"/>
      <c r="L2858" s="15"/>
      <c r="M2858" s="36" t="str">
        <f t="array" ref="M2858">IF($A2858="","",IF($L2858="Atendido",IFERROR($I2858*INDEX(Config!$B:$B,MATCH($C2858,Config!$A:$A,0)),0),0))</f>
        <v/>
      </c>
      <c r="N2858" s="36" t="str">
        <f t="shared" si="2"/>
        <v/>
      </c>
      <c r="O2858" s="36" t="str">
        <f t="shared" si="3"/>
        <v/>
      </c>
      <c r="P2858" s="15"/>
      <c r="Q2858" s="37" t="str">
        <f t="shared" si="4"/>
        <v/>
      </c>
      <c r="R2858" s="37" t="str">
        <f t="shared" si="5"/>
        <v/>
      </c>
      <c r="S2858" s="32" t="str">
        <f t="shared" si="6"/>
        <v/>
      </c>
      <c r="T2858" s="37" t="str">
        <f t="shared" si="7"/>
        <v/>
      </c>
      <c r="U2858" s="37" t="str">
        <f t="array" ref="U2858">IF($F2858="","",IFERROR(INDEX(Config!$F:$F,MATCH($F2858,Config!$D:$D,0)),0))</f>
        <v/>
      </c>
    </row>
    <row r="2859" ht="15.0" customHeight="1">
      <c r="A2859" s="34"/>
      <c r="B2859" s="35"/>
      <c r="C2859" s="15"/>
      <c r="D2859" s="15"/>
      <c r="E2859" s="15"/>
      <c r="F2859" s="15"/>
      <c r="G2859" s="36" t="str">
        <f t="array" ref="G2859">IF($F2859="","",IFERROR(INDEX(Config!$E:$E,MATCH($F2859,Config!$D:$D,0)),0))</f>
        <v/>
      </c>
      <c r="H2859" s="16"/>
      <c r="I2859" s="36" t="str">
        <f t="shared" si="1"/>
        <v/>
      </c>
      <c r="J2859" s="16"/>
      <c r="K2859" s="15"/>
      <c r="L2859" s="15"/>
      <c r="M2859" s="36" t="str">
        <f t="array" ref="M2859">IF($A2859="","",IF($L2859="Atendido",IFERROR($I2859*INDEX(Config!$B:$B,MATCH($C2859,Config!$A:$A,0)),0),0))</f>
        <v/>
      </c>
      <c r="N2859" s="36" t="str">
        <f t="shared" si="2"/>
        <v/>
      </c>
      <c r="O2859" s="36" t="str">
        <f t="shared" si="3"/>
        <v/>
      </c>
      <c r="P2859" s="15"/>
      <c r="Q2859" s="37" t="str">
        <f t="shared" si="4"/>
        <v/>
      </c>
      <c r="R2859" s="37" t="str">
        <f t="shared" si="5"/>
        <v/>
      </c>
      <c r="S2859" s="32" t="str">
        <f t="shared" si="6"/>
        <v/>
      </c>
      <c r="T2859" s="37" t="str">
        <f t="shared" si="7"/>
        <v/>
      </c>
      <c r="U2859" s="37" t="str">
        <f t="array" ref="U2859">IF($F2859="","",IFERROR(INDEX(Config!$F:$F,MATCH($F2859,Config!$D:$D,0)),0))</f>
        <v/>
      </c>
    </row>
    <row r="2860" ht="15.0" customHeight="1">
      <c r="A2860" s="34"/>
      <c r="B2860" s="35"/>
      <c r="C2860" s="15"/>
      <c r="D2860" s="15"/>
      <c r="E2860" s="15"/>
      <c r="F2860" s="15"/>
      <c r="G2860" s="36" t="str">
        <f t="array" ref="G2860">IF($F2860="","",IFERROR(INDEX(Config!$E:$E,MATCH($F2860,Config!$D:$D,0)),0))</f>
        <v/>
      </c>
      <c r="H2860" s="16"/>
      <c r="I2860" s="36" t="str">
        <f t="shared" si="1"/>
        <v/>
      </c>
      <c r="J2860" s="16"/>
      <c r="K2860" s="15"/>
      <c r="L2860" s="15"/>
      <c r="M2860" s="36" t="str">
        <f t="array" ref="M2860">IF($A2860="","",IF($L2860="Atendido",IFERROR($I2860*INDEX(Config!$B:$B,MATCH($C2860,Config!$A:$A,0)),0),0))</f>
        <v/>
      </c>
      <c r="N2860" s="36" t="str">
        <f t="shared" si="2"/>
        <v/>
      </c>
      <c r="O2860" s="36" t="str">
        <f t="shared" si="3"/>
        <v/>
      </c>
      <c r="P2860" s="15"/>
      <c r="Q2860" s="37" t="str">
        <f t="shared" si="4"/>
        <v/>
      </c>
      <c r="R2860" s="37" t="str">
        <f t="shared" si="5"/>
        <v/>
      </c>
      <c r="S2860" s="32" t="str">
        <f t="shared" si="6"/>
        <v/>
      </c>
      <c r="T2860" s="37" t="str">
        <f t="shared" si="7"/>
        <v/>
      </c>
      <c r="U2860" s="37" t="str">
        <f t="array" ref="U2860">IF($F2860="","",IFERROR(INDEX(Config!$F:$F,MATCH($F2860,Config!$D:$D,0)),0))</f>
        <v/>
      </c>
    </row>
    <row r="2861" ht="15.0" customHeight="1">
      <c r="A2861" s="34"/>
      <c r="B2861" s="35"/>
      <c r="C2861" s="15"/>
      <c r="D2861" s="15"/>
      <c r="E2861" s="15"/>
      <c r="F2861" s="15"/>
      <c r="G2861" s="36" t="str">
        <f t="array" ref="G2861">IF($F2861="","",IFERROR(INDEX(Config!$E:$E,MATCH($F2861,Config!$D:$D,0)),0))</f>
        <v/>
      </c>
      <c r="H2861" s="16"/>
      <c r="I2861" s="36" t="str">
        <f t="shared" si="1"/>
        <v/>
      </c>
      <c r="J2861" s="16"/>
      <c r="K2861" s="15"/>
      <c r="L2861" s="15"/>
      <c r="M2861" s="36" t="str">
        <f t="array" ref="M2861">IF($A2861="","",IF($L2861="Atendido",IFERROR($I2861*INDEX(Config!$B:$B,MATCH($C2861,Config!$A:$A,0)),0),0))</f>
        <v/>
      </c>
      <c r="N2861" s="36" t="str">
        <f t="shared" si="2"/>
        <v/>
      </c>
      <c r="O2861" s="36" t="str">
        <f t="shared" si="3"/>
        <v/>
      </c>
      <c r="P2861" s="15"/>
      <c r="Q2861" s="37" t="str">
        <f t="shared" si="4"/>
        <v/>
      </c>
      <c r="R2861" s="37" t="str">
        <f t="shared" si="5"/>
        <v/>
      </c>
      <c r="S2861" s="32" t="str">
        <f t="shared" si="6"/>
        <v/>
      </c>
      <c r="T2861" s="37" t="str">
        <f t="shared" si="7"/>
        <v/>
      </c>
      <c r="U2861" s="37" t="str">
        <f t="array" ref="U2861">IF($F2861="","",IFERROR(INDEX(Config!$F:$F,MATCH($F2861,Config!$D:$D,0)),0))</f>
        <v/>
      </c>
    </row>
    <row r="2862" ht="15.0" customHeight="1">
      <c r="A2862" s="34"/>
      <c r="B2862" s="35"/>
      <c r="C2862" s="15"/>
      <c r="D2862" s="15"/>
      <c r="E2862" s="15"/>
      <c r="F2862" s="15"/>
      <c r="G2862" s="36" t="str">
        <f t="array" ref="G2862">IF($F2862="","",IFERROR(INDEX(Config!$E:$E,MATCH($F2862,Config!$D:$D,0)),0))</f>
        <v/>
      </c>
      <c r="H2862" s="16"/>
      <c r="I2862" s="36" t="str">
        <f t="shared" si="1"/>
        <v/>
      </c>
      <c r="J2862" s="16"/>
      <c r="K2862" s="15"/>
      <c r="L2862" s="15"/>
      <c r="M2862" s="36" t="str">
        <f t="array" ref="M2862">IF($A2862="","",IF($L2862="Atendido",IFERROR($I2862*INDEX(Config!$B:$B,MATCH($C2862,Config!$A:$A,0)),0),0))</f>
        <v/>
      </c>
      <c r="N2862" s="36" t="str">
        <f t="shared" si="2"/>
        <v/>
      </c>
      <c r="O2862" s="36" t="str">
        <f t="shared" si="3"/>
        <v/>
      </c>
      <c r="P2862" s="15"/>
      <c r="Q2862" s="37" t="str">
        <f t="shared" si="4"/>
        <v/>
      </c>
      <c r="R2862" s="37" t="str">
        <f t="shared" si="5"/>
        <v/>
      </c>
      <c r="S2862" s="32" t="str">
        <f t="shared" si="6"/>
        <v/>
      </c>
      <c r="T2862" s="37" t="str">
        <f t="shared" si="7"/>
        <v/>
      </c>
      <c r="U2862" s="37" t="str">
        <f t="array" ref="U2862">IF($F2862="","",IFERROR(INDEX(Config!$F:$F,MATCH($F2862,Config!$D:$D,0)),0))</f>
        <v/>
      </c>
    </row>
    <row r="2863" ht="15.0" customHeight="1">
      <c r="A2863" s="34"/>
      <c r="B2863" s="35"/>
      <c r="C2863" s="15"/>
      <c r="D2863" s="15"/>
      <c r="E2863" s="15"/>
      <c r="F2863" s="15"/>
      <c r="G2863" s="36" t="str">
        <f t="array" ref="G2863">IF($F2863="","",IFERROR(INDEX(Config!$E:$E,MATCH($F2863,Config!$D:$D,0)),0))</f>
        <v/>
      </c>
      <c r="H2863" s="16"/>
      <c r="I2863" s="36" t="str">
        <f t="shared" si="1"/>
        <v/>
      </c>
      <c r="J2863" s="16"/>
      <c r="K2863" s="15"/>
      <c r="L2863" s="15"/>
      <c r="M2863" s="36" t="str">
        <f t="array" ref="M2863">IF($A2863="","",IF($L2863="Atendido",IFERROR($I2863*INDEX(Config!$B:$B,MATCH($C2863,Config!$A:$A,0)),0),0))</f>
        <v/>
      </c>
      <c r="N2863" s="36" t="str">
        <f t="shared" si="2"/>
        <v/>
      </c>
      <c r="O2863" s="36" t="str">
        <f t="shared" si="3"/>
        <v/>
      </c>
      <c r="P2863" s="15"/>
      <c r="Q2863" s="37" t="str">
        <f t="shared" si="4"/>
        <v/>
      </c>
      <c r="R2863" s="37" t="str">
        <f t="shared" si="5"/>
        <v/>
      </c>
      <c r="S2863" s="32" t="str">
        <f t="shared" si="6"/>
        <v/>
      </c>
      <c r="T2863" s="37" t="str">
        <f t="shared" si="7"/>
        <v/>
      </c>
      <c r="U2863" s="37" t="str">
        <f t="array" ref="U2863">IF($F2863="","",IFERROR(INDEX(Config!$F:$F,MATCH($F2863,Config!$D:$D,0)),0))</f>
        <v/>
      </c>
    </row>
    <row r="2864" ht="15.0" customHeight="1">
      <c r="A2864" s="34"/>
      <c r="B2864" s="35"/>
      <c r="C2864" s="15"/>
      <c r="D2864" s="15"/>
      <c r="E2864" s="15"/>
      <c r="F2864" s="15"/>
      <c r="G2864" s="36" t="str">
        <f t="array" ref="G2864">IF($F2864="","",IFERROR(INDEX(Config!$E:$E,MATCH($F2864,Config!$D:$D,0)),0))</f>
        <v/>
      </c>
      <c r="H2864" s="16"/>
      <c r="I2864" s="36" t="str">
        <f t="shared" si="1"/>
        <v/>
      </c>
      <c r="J2864" s="16"/>
      <c r="K2864" s="15"/>
      <c r="L2864" s="15"/>
      <c r="M2864" s="36" t="str">
        <f t="array" ref="M2864">IF($A2864="","",IF($L2864="Atendido",IFERROR($I2864*INDEX(Config!$B:$B,MATCH($C2864,Config!$A:$A,0)),0),0))</f>
        <v/>
      </c>
      <c r="N2864" s="36" t="str">
        <f t="shared" si="2"/>
        <v/>
      </c>
      <c r="O2864" s="36" t="str">
        <f t="shared" si="3"/>
        <v/>
      </c>
      <c r="P2864" s="15"/>
      <c r="Q2864" s="37" t="str">
        <f t="shared" si="4"/>
        <v/>
      </c>
      <c r="R2864" s="37" t="str">
        <f t="shared" si="5"/>
        <v/>
      </c>
      <c r="S2864" s="32" t="str">
        <f t="shared" si="6"/>
        <v/>
      </c>
      <c r="T2864" s="37" t="str">
        <f t="shared" si="7"/>
        <v/>
      </c>
      <c r="U2864" s="37" t="str">
        <f t="array" ref="U2864">IF($F2864="","",IFERROR(INDEX(Config!$F:$F,MATCH($F2864,Config!$D:$D,0)),0))</f>
        <v/>
      </c>
    </row>
    <row r="2865" ht="15.0" customHeight="1">
      <c r="A2865" s="34"/>
      <c r="B2865" s="35"/>
      <c r="C2865" s="15"/>
      <c r="D2865" s="15"/>
      <c r="E2865" s="15"/>
      <c r="F2865" s="15"/>
      <c r="G2865" s="36" t="str">
        <f t="array" ref="G2865">IF($F2865="","",IFERROR(INDEX(Config!$E:$E,MATCH($F2865,Config!$D:$D,0)),0))</f>
        <v/>
      </c>
      <c r="H2865" s="16"/>
      <c r="I2865" s="36" t="str">
        <f t="shared" si="1"/>
        <v/>
      </c>
      <c r="J2865" s="16"/>
      <c r="K2865" s="15"/>
      <c r="L2865" s="15"/>
      <c r="M2865" s="36" t="str">
        <f t="array" ref="M2865">IF($A2865="","",IF($L2865="Atendido",IFERROR($I2865*INDEX(Config!$B:$B,MATCH($C2865,Config!$A:$A,0)),0),0))</f>
        <v/>
      </c>
      <c r="N2865" s="36" t="str">
        <f t="shared" si="2"/>
        <v/>
      </c>
      <c r="O2865" s="36" t="str">
        <f t="shared" si="3"/>
        <v/>
      </c>
      <c r="P2865" s="15"/>
      <c r="Q2865" s="37" t="str">
        <f t="shared" si="4"/>
        <v/>
      </c>
      <c r="R2865" s="37" t="str">
        <f t="shared" si="5"/>
        <v/>
      </c>
      <c r="S2865" s="32" t="str">
        <f t="shared" si="6"/>
        <v/>
      </c>
      <c r="T2865" s="37" t="str">
        <f t="shared" si="7"/>
        <v/>
      </c>
      <c r="U2865" s="37" t="str">
        <f t="array" ref="U2865">IF($F2865="","",IFERROR(INDEX(Config!$F:$F,MATCH($F2865,Config!$D:$D,0)),0))</f>
        <v/>
      </c>
    </row>
    <row r="2866" ht="15.0" customHeight="1">
      <c r="A2866" s="34"/>
      <c r="B2866" s="35"/>
      <c r="C2866" s="15"/>
      <c r="D2866" s="15"/>
      <c r="E2866" s="15"/>
      <c r="F2866" s="15"/>
      <c r="G2866" s="36" t="str">
        <f t="array" ref="G2866">IF($F2866="","",IFERROR(INDEX(Config!$E:$E,MATCH($F2866,Config!$D:$D,0)),0))</f>
        <v/>
      </c>
      <c r="H2866" s="16"/>
      <c r="I2866" s="36" t="str">
        <f t="shared" si="1"/>
        <v/>
      </c>
      <c r="J2866" s="16"/>
      <c r="K2866" s="15"/>
      <c r="L2866" s="15"/>
      <c r="M2866" s="36" t="str">
        <f t="array" ref="M2866">IF($A2866="","",IF($L2866="Atendido",IFERROR($I2866*INDEX(Config!$B:$B,MATCH($C2866,Config!$A:$A,0)),0),0))</f>
        <v/>
      </c>
      <c r="N2866" s="36" t="str">
        <f t="shared" si="2"/>
        <v/>
      </c>
      <c r="O2866" s="36" t="str">
        <f t="shared" si="3"/>
        <v/>
      </c>
      <c r="P2866" s="15"/>
      <c r="Q2866" s="37" t="str">
        <f t="shared" si="4"/>
        <v/>
      </c>
      <c r="R2866" s="37" t="str">
        <f t="shared" si="5"/>
        <v/>
      </c>
      <c r="S2866" s="32" t="str">
        <f t="shared" si="6"/>
        <v/>
      </c>
      <c r="T2866" s="37" t="str">
        <f t="shared" si="7"/>
        <v/>
      </c>
      <c r="U2866" s="37" t="str">
        <f t="array" ref="U2866">IF($F2866="","",IFERROR(INDEX(Config!$F:$F,MATCH($F2866,Config!$D:$D,0)),0))</f>
        <v/>
      </c>
    </row>
    <row r="2867" ht="15.0" customHeight="1">
      <c r="A2867" s="34"/>
      <c r="B2867" s="35"/>
      <c r="C2867" s="15"/>
      <c r="D2867" s="15"/>
      <c r="E2867" s="15"/>
      <c r="F2867" s="15"/>
      <c r="G2867" s="36" t="str">
        <f t="array" ref="G2867">IF($F2867="","",IFERROR(INDEX(Config!$E:$E,MATCH($F2867,Config!$D:$D,0)),0))</f>
        <v/>
      </c>
      <c r="H2867" s="16"/>
      <c r="I2867" s="36" t="str">
        <f t="shared" si="1"/>
        <v/>
      </c>
      <c r="J2867" s="16"/>
      <c r="K2867" s="15"/>
      <c r="L2867" s="15"/>
      <c r="M2867" s="36" t="str">
        <f t="array" ref="M2867">IF($A2867="","",IF($L2867="Atendido",IFERROR($I2867*INDEX(Config!$B:$B,MATCH($C2867,Config!$A:$A,0)),0),0))</f>
        <v/>
      </c>
      <c r="N2867" s="36" t="str">
        <f t="shared" si="2"/>
        <v/>
      </c>
      <c r="O2867" s="36" t="str">
        <f t="shared" si="3"/>
        <v/>
      </c>
      <c r="P2867" s="15"/>
      <c r="Q2867" s="37" t="str">
        <f t="shared" si="4"/>
        <v/>
      </c>
      <c r="R2867" s="37" t="str">
        <f t="shared" si="5"/>
        <v/>
      </c>
      <c r="S2867" s="32" t="str">
        <f t="shared" si="6"/>
        <v/>
      </c>
      <c r="T2867" s="37" t="str">
        <f t="shared" si="7"/>
        <v/>
      </c>
      <c r="U2867" s="37" t="str">
        <f t="array" ref="U2867">IF($F2867="","",IFERROR(INDEX(Config!$F:$F,MATCH($F2867,Config!$D:$D,0)),0))</f>
        <v/>
      </c>
    </row>
    <row r="2868" ht="15.0" customHeight="1">
      <c r="A2868" s="34"/>
      <c r="B2868" s="35"/>
      <c r="C2868" s="15"/>
      <c r="D2868" s="15"/>
      <c r="E2868" s="15"/>
      <c r="F2868" s="15"/>
      <c r="G2868" s="36" t="str">
        <f t="array" ref="G2868">IF($F2868="","",IFERROR(INDEX(Config!$E:$E,MATCH($F2868,Config!$D:$D,0)),0))</f>
        <v/>
      </c>
      <c r="H2868" s="16"/>
      <c r="I2868" s="36" t="str">
        <f t="shared" si="1"/>
        <v/>
      </c>
      <c r="J2868" s="16"/>
      <c r="K2868" s="15"/>
      <c r="L2868" s="15"/>
      <c r="M2868" s="36" t="str">
        <f t="array" ref="M2868">IF($A2868="","",IF($L2868="Atendido",IFERROR($I2868*INDEX(Config!$B:$B,MATCH($C2868,Config!$A:$A,0)),0),0))</f>
        <v/>
      </c>
      <c r="N2868" s="36" t="str">
        <f t="shared" si="2"/>
        <v/>
      </c>
      <c r="O2868" s="36" t="str">
        <f t="shared" si="3"/>
        <v/>
      </c>
      <c r="P2868" s="15"/>
      <c r="Q2868" s="37" t="str">
        <f t="shared" si="4"/>
        <v/>
      </c>
      <c r="R2868" s="37" t="str">
        <f t="shared" si="5"/>
        <v/>
      </c>
      <c r="S2868" s="32" t="str">
        <f t="shared" si="6"/>
        <v/>
      </c>
      <c r="T2868" s="37" t="str">
        <f t="shared" si="7"/>
        <v/>
      </c>
      <c r="U2868" s="37" t="str">
        <f t="array" ref="U2868">IF($F2868="","",IFERROR(INDEX(Config!$F:$F,MATCH($F2868,Config!$D:$D,0)),0))</f>
        <v/>
      </c>
    </row>
    <row r="2869" ht="15.0" customHeight="1">
      <c r="A2869" s="34"/>
      <c r="B2869" s="35"/>
      <c r="C2869" s="15"/>
      <c r="D2869" s="15"/>
      <c r="E2869" s="15"/>
      <c r="F2869" s="15"/>
      <c r="G2869" s="36" t="str">
        <f t="array" ref="G2869">IF($F2869="","",IFERROR(INDEX(Config!$E:$E,MATCH($F2869,Config!$D:$D,0)),0))</f>
        <v/>
      </c>
      <c r="H2869" s="16"/>
      <c r="I2869" s="36" t="str">
        <f t="shared" si="1"/>
        <v/>
      </c>
      <c r="J2869" s="16"/>
      <c r="K2869" s="15"/>
      <c r="L2869" s="15"/>
      <c r="M2869" s="36" t="str">
        <f t="array" ref="M2869">IF($A2869="","",IF($L2869="Atendido",IFERROR($I2869*INDEX(Config!$B:$B,MATCH($C2869,Config!$A:$A,0)),0),0))</f>
        <v/>
      </c>
      <c r="N2869" s="36" t="str">
        <f t="shared" si="2"/>
        <v/>
      </c>
      <c r="O2869" s="36" t="str">
        <f t="shared" si="3"/>
        <v/>
      </c>
      <c r="P2869" s="15"/>
      <c r="Q2869" s="37" t="str">
        <f t="shared" si="4"/>
        <v/>
      </c>
      <c r="R2869" s="37" t="str">
        <f t="shared" si="5"/>
        <v/>
      </c>
      <c r="S2869" s="32" t="str">
        <f t="shared" si="6"/>
        <v/>
      </c>
      <c r="T2869" s="37" t="str">
        <f t="shared" si="7"/>
        <v/>
      </c>
      <c r="U2869" s="37" t="str">
        <f t="array" ref="U2869">IF($F2869="","",IFERROR(INDEX(Config!$F:$F,MATCH($F2869,Config!$D:$D,0)),0))</f>
        <v/>
      </c>
    </row>
    <row r="2870" ht="15.0" customHeight="1">
      <c r="A2870" s="34"/>
      <c r="B2870" s="35"/>
      <c r="C2870" s="15"/>
      <c r="D2870" s="15"/>
      <c r="E2870" s="15"/>
      <c r="F2870" s="15"/>
      <c r="G2870" s="36" t="str">
        <f t="array" ref="G2870">IF($F2870="","",IFERROR(INDEX(Config!$E:$E,MATCH($F2870,Config!$D:$D,0)),0))</f>
        <v/>
      </c>
      <c r="H2870" s="16"/>
      <c r="I2870" s="36" t="str">
        <f t="shared" si="1"/>
        <v/>
      </c>
      <c r="J2870" s="16"/>
      <c r="K2870" s="15"/>
      <c r="L2870" s="15"/>
      <c r="M2870" s="36" t="str">
        <f t="array" ref="M2870">IF($A2870="","",IF($L2870="Atendido",IFERROR($I2870*INDEX(Config!$B:$B,MATCH($C2870,Config!$A:$A,0)),0),0))</f>
        <v/>
      </c>
      <c r="N2870" s="36" t="str">
        <f t="shared" si="2"/>
        <v/>
      </c>
      <c r="O2870" s="36" t="str">
        <f t="shared" si="3"/>
        <v/>
      </c>
      <c r="P2870" s="15"/>
      <c r="Q2870" s="37" t="str">
        <f t="shared" si="4"/>
        <v/>
      </c>
      <c r="R2870" s="37" t="str">
        <f t="shared" si="5"/>
        <v/>
      </c>
      <c r="S2870" s="32" t="str">
        <f t="shared" si="6"/>
        <v/>
      </c>
      <c r="T2870" s="37" t="str">
        <f t="shared" si="7"/>
        <v/>
      </c>
      <c r="U2870" s="37" t="str">
        <f t="array" ref="U2870">IF($F2870="","",IFERROR(INDEX(Config!$F:$F,MATCH($F2870,Config!$D:$D,0)),0))</f>
        <v/>
      </c>
    </row>
    <row r="2871" ht="15.0" customHeight="1">
      <c r="A2871" s="34"/>
      <c r="B2871" s="35"/>
      <c r="C2871" s="15"/>
      <c r="D2871" s="15"/>
      <c r="E2871" s="15"/>
      <c r="F2871" s="15"/>
      <c r="G2871" s="36" t="str">
        <f t="array" ref="G2871">IF($F2871="","",IFERROR(INDEX(Config!$E:$E,MATCH($F2871,Config!$D:$D,0)),0))</f>
        <v/>
      </c>
      <c r="H2871" s="16"/>
      <c r="I2871" s="36" t="str">
        <f t="shared" si="1"/>
        <v/>
      </c>
      <c r="J2871" s="16"/>
      <c r="K2871" s="15"/>
      <c r="L2871" s="15"/>
      <c r="M2871" s="36" t="str">
        <f t="array" ref="M2871">IF($A2871="","",IF($L2871="Atendido",IFERROR($I2871*INDEX(Config!$B:$B,MATCH($C2871,Config!$A:$A,0)),0),0))</f>
        <v/>
      </c>
      <c r="N2871" s="36" t="str">
        <f t="shared" si="2"/>
        <v/>
      </c>
      <c r="O2871" s="36" t="str">
        <f t="shared" si="3"/>
        <v/>
      </c>
      <c r="P2871" s="15"/>
      <c r="Q2871" s="37" t="str">
        <f t="shared" si="4"/>
        <v/>
      </c>
      <c r="R2871" s="37" t="str">
        <f t="shared" si="5"/>
        <v/>
      </c>
      <c r="S2871" s="32" t="str">
        <f t="shared" si="6"/>
        <v/>
      </c>
      <c r="T2871" s="37" t="str">
        <f t="shared" si="7"/>
        <v/>
      </c>
      <c r="U2871" s="37" t="str">
        <f t="array" ref="U2871">IF($F2871="","",IFERROR(INDEX(Config!$F:$F,MATCH($F2871,Config!$D:$D,0)),0))</f>
        <v/>
      </c>
    </row>
    <row r="2872" ht="15.0" customHeight="1">
      <c r="A2872" s="34"/>
      <c r="B2872" s="35"/>
      <c r="C2872" s="15"/>
      <c r="D2872" s="15"/>
      <c r="E2872" s="15"/>
      <c r="F2872" s="15"/>
      <c r="G2872" s="36" t="str">
        <f t="array" ref="G2872">IF($F2872="","",IFERROR(INDEX(Config!$E:$E,MATCH($F2872,Config!$D:$D,0)),0))</f>
        <v/>
      </c>
      <c r="H2872" s="16"/>
      <c r="I2872" s="36" t="str">
        <f t="shared" si="1"/>
        <v/>
      </c>
      <c r="J2872" s="16"/>
      <c r="K2872" s="15"/>
      <c r="L2872" s="15"/>
      <c r="M2872" s="36" t="str">
        <f t="array" ref="M2872">IF($A2872="","",IF($L2872="Atendido",IFERROR($I2872*INDEX(Config!$B:$B,MATCH($C2872,Config!$A:$A,0)),0),0))</f>
        <v/>
      </c>
      <c r="N2872" s="36" t="str">
        <f t="shared" si="2"/>
        <v/>
      </c>
      <c r="O2872" s="36" t="str">
        <f t="shared" si="3"/>
        <v/>
      </c>
      <c r="P2872" s="15"/>
      <c r="Q2872" s="37" t="str">
        <f t="shared" si="4"/>
        <v/>
      </c>
      <c r="R2872" s="37" t="str">
        <f t="shared" si="5"/>
        <v/>
      </c>
      <c r="S2872" s="32" t="str">
        <f t="shared" si="6"/>
        <v/>
      </c>
      <c r="T2872" s="37" t="str">
        <f t="shared" si="7"/>
        <v/>
      </c>
      <c r="U2872" s="37" t="str">
        <f t="array" ref="U2872">IF($F2872="","",IFERROR(INDEX(Config!$F:$F,MATCH($F2872,Config!$D:$D,0)),0))</f>
        <v/>
      </c>
    </row>
    <row r="2873" ht="15.0" customHeight="1">
      <c r="A2873" s="34"/>
      <c r="B2873" s="35"/>
      <c r="C2873" s="15"/>
      <c r="D2873" s="15"/>
      <c r="E2873" s="15"/>
      <c r="F2873" s="15"/>
      <c r="G2873" s="36" t="str">
        <f t="array" ref="G2873">IF($F2873="","",IFERROR(INDEX(Config!$E:$E,MATCH($F2873,Config!$D:$D,0)),0))</f>
        <v/>
      </c>
      <c r="H2873" s="16"/>
      <c r="I2873" s="36" t="str">
        <f t="shared" si="1"/>
        <v/>
      </c>
      <c r="J2873" s="16"/>
      <c r="K2873" s="15"/>
      <c r="L2873" s="15"/>
      <c r="M2873" s="36" t="str">
        <f t="array" ref="M2873">IF($A2873="","",IF($L2873="Atendido",IFERROR($I2873*INDEX(Config!$B:$B,MATCH($C2873,Config!$A:$A,0)),0),0))</f>
        <v/>
      </c>
      <c r="N2873" s="36" t="str">
        <f t="shared" si="2"/>
        <v/>
      </c>
      <c r="O2873" s="36" t="str">
        <f t="shared" si="3"/>
        <v/>
      </c>
      <c r="P2873" s="15"/>
      <c r="Q2873" s="37" t="str">
        <f t="shared" si="4"/>
        <v/>
      </c>
      <c r="R2873" s="37" t="str">
        <f t="shared" si="5"/>
        <v/>
      </c>
      <c r="S2873" s="32" t="str">
        <f t="shared" si="6"/>
        <v/>
      </c>
      <c r="T2873" s="37" t="str">
        <f t="shared" si="7"/>
        <v/>
      </c>
      <c r="U2873" s="37" t="str">
        <f t="array" ref="U2873">IF($F2873="","",IFERROR(INDEX(Config!$F:$F,MATCH($F2873,Config!$D:$D,0)),0))</f>
        <v/>
      </c>
    </row>
    <row r="2874" ht="15.0" customHeight="1">
      <c r="A2874" s="34"/>
      <c r="B2874" s="35"/>
      <c r="C2874" s="15"/>
      <c r="D2874" s="15"/>
      <c r="E2874" s="15"/>
      <c r="F2874" s="15"/>
      <c r="G2874" s="36" t="str">
        <f t="array" ref="G2874">IF($F2874="","",IFERROR(INDEX(Config!$E:$E,MATCH($F2874,Config!$D:$D,0)),0))</f>
        <v/>
      </c>
      <c r="H2874" s="16"/>
      <c r="I2874" s="36" t="str">
        <f t="shared" si="1"/>
        <v/>
      </c>
      <c r="J2874" s="16"/>
      <c r="K2874" s="15"/>
      <c r="L2874" s="15"/>
      <c r="M2874" s="36" t="str">
        <f t="array" ref="M2874">IF($A2874="","",IF($L2874="Atendido",IFERROR($I2874*INDEX(Config!$B:$B,MATCH($C2874,Config!$A:$A,0)),0),0))</f>
        <v/>
      </c>
      <c r="N2874" s="36" t="str">
        <f t="shared" si="2"/>
        <v/>
      </c>
      <c r="O2874" s="36" t="str">
        <f t="shared" si="3"/>
        <v/>
      </c>
      <c r="P2874" s="15"/>
      <c r="Q2874" s="37" t="str">
        <f t="shared" si="4"/>
        <v/>
      </c>
      <c r="R2874" s="37" t="str">
        <f t="shared" si="5"/>
        <v/>
      </c>
      <c r="S2874" s="32" t="str">
        <f t="shared" si="6"/>
        <v/>
      </c>
      <c r="T2874" s="37" t="str">
        <f t="shared" si="7"/>
        <v/>
      </c>
      <c r="U2874" s="37" t="str">
        <f t="array" ref="U2874">IF($F2874="","",IFERROR(INDEX(Config!$F:$F,MATCH($F2874,Config!$D:$D,0)),0))</f>
        <v/>
      </c>
    </row>
    <row r="2875" ht="15.0" customHeight="1">
      <c r="A2875" s="34"/>
      <c r="B2875" s="35"/>
      <c r="C2875" s="15"/>
      <c r="D2875" s="15"/>
      <c r="E2875" s="15"/>
      <c r="F2875" s="15"/>
      <c r="G2875" s="36" t="str">
        <f t="array" ref="G2875">IF($F2875="","",IFERROR(INDEX(Config!$E:$E,MATCH($F2875,Config!$D:$D,0)),0))</f>
        <v/>
      </c>
      <c r="H2875" s="16"/>
      <c r="I2875" s="36" t="str">
        <f t="shared" si="1"/>
        <v/>
      </c>
      <c r="J2875" s="16"/>
      <c r="K2875" s="15"/>
      <c r="L2875" s="15"/>
      <c r="M2875" s="36" t="str">
        <f t="array" ref="M2875">IF($A2875="","",IF($L2875="Atendido",IFERROR($I2875*INDEX(Config!$B:$B,MATCH($C2875,Config!$A:$A,0)),0),0))</f>
        <v/>
      </c>
      <c r="N2875" s="36" t="str">
        <f t="shared" si="2"/>
        <v/>
      </c>
      <c r="O2875" s="36" t="str">
        <f t="shared" si="3"/>
        <v/>
      </c>
      <c r="P2875" s="15"/>
      <c r="Q2875" s="37" t="str">
        <f t="shared" si="4"/>
        <v/>
      </c>
      <c r="R2875" s="37" t="str">
        <f t="shared" si="5"/>
        <v/>
      </c>
      <c r="S2875" s="32" t="str">
        <f t="shared" si="6"/>
        <v/>
      </c>
      <c r="T2875" s="37" t="str">
        <f t="shared" si="7"/>
        <v/>
      </c>
      <c r="U2875" s="37" t="str">
        <f t="array" ref="U2875">IF($F2875="","",IFERROR(INDEX(Config!$F:$F,MATCH($F2875,Config!$D:$D,0)),0))</f>
        <v/>
      </c>
    </row>
    <row r="2876" ht="15.0" customHeight="1">
      <c r="A2876" s="34"/>
      <c r="B2876" s="35"/>
      <c r="C2876" s="15"/>
      <c r="D2876" s="15"/>
      <c r="E2876" s="15"/>
      <c r="F2876" s="15"/>
      <c r="G2876" s="36" t="str">
        <f t="array" ref="G2876">IF($F2876="","",IFERROR(INDEX(Config!$E:$E,MATCH($F2876,Config!$D:$D,0)),0))</f>
        <v/>
      </c>
      <c r="H2876" s="16"/>
      <c r="I2876" s="36" t="str">
        <f t="shared" si="1"/>
        <v/>
      </c>
      <c r="J2876" s="16"/>
      <c r="K2876" s="15"/>
      <c r="L2876" s="15"/>
      <c r="M2876" s="36" t="str">
        <f t="array" ref="M2876">IF($A2876="","",IF($L2876="Atendido",IFERROR($I2876*INDEX(Config!$B:$B,MATCH($C2876,Config!$A:$A,0)),0),0))</f>
        <v/>
      </c>
      <c r="N2876" s="36" t="str">
        <f t="shared" si="2"/>
        <v/>
      </c>
      <c r="O2876" s="36" t="str">
        <f t="shared" si="3"/>
        <v/>
      </c>
      <c r="P2876" s="15"/>
      <c r="Q2876" s="37" t="str">
        <f t="shared" si="4"/>
        <v/>
      </c>
      <c r="R2876" s="37" t="str">
        <f t="shared" si="5"/>
        <v/>
      </c>
      <c r="S2876" s="32" t="str">
        <f t="shared" si="6"/>
        <v/>
      </c>
      <c r="T2876" s="37" t="str">
        <f t="shared" si="7"/>
        <v/>
      </c>
      <c r="U2876" s="37" t="str">
        <f t="array" ref="U2876">IF($F2876="","",IFERROR(INDEX(Config!$F:$F,MATCH($F2876,Config!$D:$D,0)),0))</f>
        <v/>
      </c>
    </row>
    <row r="2877" ht="15.0" customHeight="1">
      <c r="A2877" s="34"/>
      <c r="B2877" s="35"/>
      <c r="C2877" s="15"/>
      <c r="D2877" s="15"/>
      <c r="E2877" s="15"/>
      <c r="F2877" s="15"/>
      <c r="G2877" s="36" t="str">
        <f t="array" ref="G2877">IF($F2877="","",IFERROR(INDEX(Config!$E:$E,MATCH($F2877,Config!$D:$D,0)),0))</f>
        <v/>
      </c>
      <c r="H2877" s="16"/>
      <c r="I2877" s="36" t="str">
        <f t="shared" si="1"/>
        <v/>
      </c>
      <c r="J2877" s="16"/>
      <c r="K2877" s="15"/>
      <c r="L2877" s="15"/>
      <c r="M2877" s="36" t="str">
        <f t="array" ref="M2877">IF($A2877="","",IF($L2877="Atendido",IFERROR($I2877*INDEX(Config!$B:$B,MATCH($C2877,Config!$A:$A,0)),0),0))</f>
        <v/>
      </c>
      <c r="N2877" s="36" t="str">
        <f t="shared" si="2"/>
        <v/>
      </c>
      <c r="O2877" s="36" t="str">
        <f t="shared" si="3"/>
        <v/>
      </c>
      <c r="P2877" s="15"/>
      <c r="Q2877" s="37" t="str">
        <f t="shared" si="4"/>
        <v/>
      </c>
      <c r="R2877" s="37" t="str">
        <f t="shared" si="5"/>
        <v/>
      </c>
      <c r="S2877" s="32" t="str">
        <f t="shared" si="6"/>
        <v/>
      </c>
      <c r="T2877" s="37" t="str">
        <f t="shared" si="7"/>
        <v/>
      </c>
      <c r="U2877" s="37" t="str">
        <f t="array" ref="U2877">IF($F2877="","",IFERROR(INDEX(Config!$F:$F,MATCH($F2877,Config!$D:$D,0)),0))</f>
        <v/>
      </c>
    </row>
    <row r="2878" ht="15.0" customHeight="1">
      <c r="A2878" s="34"/>
      <c r="B2878" s="35"/>
      <c r="C2878" s="15"/>
      <c r="D2878" s="15"/>
      <c r="E2878" s="15"/>
      <c r="F2878" s="15"/>
      <c r="G2878" s="36" t="str">
        <f t="array" ref="G2878">IF($F2878="","",IFERROR(INDEX(Config!$E:$E,MATCH($F2878,Config!$D:$D,0)),0))</f>
        <v/>
      </c>
      <c r="H2878" s="16"/>
      <c r="I2878" s="36" t="str">
        <f t="shared" si="1"/>
        <v/>
      </c>
      <c r="J2878" s="16"/>
      <c r="K2878" s="15"/>
      <c r="L2878" s="15"/>
      <c r="M2878" s="36" t="str">
        <f t="array" ref="M2878">IF($A2878="","",IF($L2878="Atendido",IFERROR($I2878*INDEX(Config!$B:$B,MATCH($C2878,Config!$A:$A,0)),0),0))</f>
        <v/>
      </c>
      <c r="N2878" s="36" t="str">
        <f t="shared" si="2"/>
        <v/>
      </c>
      <c r="O2878" s="36" t="str">
        <f t="shared" si="3"/>
        <v/>
      </c>
      <c r="P2878" s="15"/>
      <c r="Q2878" s="37" t="str">
        <f t="shared" si="4"/>
        <v/>
      </c>
      <c r="R2878" s="37" t="str">
        <f t="shared" si="5"/>
        <v/>
      </c>
      <c r="S2878" s="32" t="str">
        <f t="shared" si="6"/>
        <v/>
      </c>
      <c r="T2878" s="37" t="str">
        <f t="shared" si="7"/>
        <v/>
      </c>
      <c r="U2878" s="37" t="str">
        <f t="array" ref="U2878">IF($F2878="","",IFERROR(INDEX(Config!$F:$F,MATCH($F2878,Config!$D:$D,0)),0))</f>
        <v/>
      </c>
    </row>
    <row r="2879" ht="15.0" customHeight="1">
      <c r="A2879" s="34"/>
      <c r="B2879" s="35"/>
      <c r="C2879" s="15"/>
      <c r="D2879" s="15"/>
      <c r="E2879" s="15"/>
      <c r="F2879" s="15"/>
      <c r="G2879" s="36" t="str">
        <f t="array" ref="G2879">IF($F2879="","",IFERROR(INDEX(Config!$E:$E,MATCH($F2879,Config!$D:$D,0)),0))</f>
        <v/>
      </c>
      <c r="H2879" s="16"/>
      <c r="I2879" s="36" t="str">
        <f t="shared" si="1"/>
        <v/>
      </c>
      <c r="J2879" s="16"/>
      <c r="K2879" s="15"/>
      <c r="L2879" s="15"/>
      <c r="M2879" s="36" t="str">
        <f t="array" ref="M2879">IF($A2879="","",IF($L2879="Atendido",IFERROR($I2879*INDEX(Config!$B:$B,MATCH($C2879,Config!$A:$A,0)),0),0))</f>
        <v/>
      </c>
      <c r="N2879" s="36" t="str">
        <f t="shared" si="2"/>
        <v/>
      </c>
      <c r="O2879" s="36" t="str">
        <f t="shared" si="3"/>
        <v/>
      </c>
      <c r="P2879" s="15"/>
      <c r="Q2879" s="37" t="str">
        <f t="shared" si="4"/>
        <v/>
      </c>
      <c r="R2879" s="37" t="str">
        <f t="shared" si="5"/>
        <v/>
      </c>
      <c r="S2879" s="32" t="str">
        <f t="shared" si="6"/>
        <v/>
      </c>
      <c r="T2879" s="37" t="str">
        <f t="shared" si="7"/>
        <v/>
      </c>
      <c r="U2879" s="37" t="str">
        <f t="array" ref="U2879">IF($F2879="","",IFERROR(INDEX(Config!$F:$F,MATCH($F2879,Config!$D:$D,0)),0))</f>
        <v/>
      </c>
    </row>
    <row r="2880" ht="15.0" customHeight="1">
      <c r="A2880" s="34"/>
      <c r="B2880" s="35"/>
      <c r="C2880" s="15"/>
      <c r="D2880" s="15"/>
      <c r="E2880" s="15"/>
      <c r="F2880" s="15"/>
      <c r="G2880" s="36" t="str">
        <f t="array" ref="G2880">IF($F2880="","",IFERROR(INDEX(Config!$E:$E,MATCH($F2880,Config!$D:$D,0)),0))</f>
        <v/>
      </c>
      <c r="H2880" s="16"/>
      <c r="I2880" s="36" t="str">
        <f t="shared" si="1"/>
        <v/>
      </c>
      <c r="J2880" s="16"/>
      <c r="K2880" s="15"/>
      <c r="L2880" s="15"/>
      <c r="M2880" s="36" t="str">
        <f t="array" ref="M2880">IF($A2880="","",IF($L2880="Atendido",IFERROR($I2880*INDEX(Config!$B:$B,MATCH($C2880,Config!$A:$A,0)),0),0))</f>
        <v/>
      </c>
      <c r="N2880" s="36" t="str">
        <f t="shared" si="2"/>
        <v/>
      </c>
      <c r="O2880" s="36" t="str">
        <f t="shared" si="3"/>
        <v/>
      </c>
      <c r="P2880" s="15"/>
      <c r="Q2880" s="37" t="str">
        <f t="shared" si="4"/>
        <v/>
      </c>
      <c r="R2880" s="37" t="str">
        <f t="shared" si="5"/>
        <v/>
      </c>
      <c r="S2880" s="32" t="str">
        <f t="shared" si="6"/>
        <v/>
      </c>
      <c r="T2880" s="37" t="str">
        <f t="shared" si="7"/>
        <v/>
      </c>
      <c r="U2880" s="37" t="str">
        <f t="array" ref="U2880">IF($F2880="","",IFERROR(INDEX(Config!$F:$F,MATCH($F2880,Config!$D:$D,0)),0))</f>
        <v/>
      </c>
    </row>
    <row r="2881" ht="15.0" customHeight="1">
      <c r="A2881" s="34"/>
      <c r="B2881" s="35"/>
      <c r="C2881" s="15"/>
      <c r="D2881" s="15"/>
      <c r="E2881" s="15"/>
      <c r="F2881" s="15"/>
      <c r="G2881" s="36" t="str">
        <f t="array" ref="G2881">IF($F2881="","",IFERROR(INDEX(Config!$E:$E,MATCH($F2881,Config!$D:$D,0)),0))</f>
        <v/>
      </c>
      <c r="H2881" s="16"/>
      <c r="I2881" s="36" t="str">
        <f t="shared" si="1"/>
        <v/>
      </c>
      <c r="J2881" s="16"/>
      <c r="K2881" s="15"/>
      <c r="L2881" s="15"/>
      <c r="M2881" s="36" t="str">
        <f t="array" ref="M2881">IF($A2881="","",IF($L2881="Atendido",IFERROR($I2881*INDEX(Config!$B:$B,MATCH($C2881,Config!$A:$A,0)),0),0))</f>
        <v/>
      </c>
      <c r="N2881" s="36" t="str">
        <f t="shared" si="2"/>
        <v/>
      </c>
      <c r="O2881" s="36" t="str">
        <f t="shared" si="3"/>
        <v/>
      </c>
      <c r="P2881" s="15"/>
      <c r="Q2881" s="37" t="str">
        <f t="shared" si="4"/>
        <v/>
      </c>
      <c r="R2881" s="37" t="str">
        <f t="shared" si="5"/>
        <v/>
      </c>
      <c r="S2881" s="32" t="str">
        <f t="shared" si="6"/>
        <v/>
      </c>
      <c r="T2881" s="37" t="str">
        <f t="shared" si="7"/>
        <v/>
      </c>
      <c r="U2881" s="37" t="str">
        <f t="array" ref="U2881">IF($F2881="","",IFERROR(INDEX(Config!$F:$F,MATCH($F2881,Config!$D:$D,0)),0))</f>
        <v/>
      </c>
    </row>
    <row r="2882" ht="15.0" customHeight="1">
      <c r="A2882" s="34"/>
      <c r="B2882" s="35"/>
      <c r="C2882" s="15"/>
      <c r="D2882" s="15"/>
      <c r="E2882" s="15"/>
      <c r="F2882" s="15"/>
      <c r="G2882" s="36" t="str">
        <f t="array" ref="G2882">IF($F2882="","",IFERROR(INDEX(Config!$E:$E,MATCH($F2882,Config!$D:$D,0)),0))</f>
        <v/>
      </c>
      <c r="H2882" s="16"/>
      <c r="I2882" s="36" t="str">
        <f t="shared" si="1"/>
        <v/>
      </c>
      <c r="J2882" s="16"/>
      <c r="K2882" s="15"/>
      <c r="L2882" s="15"/>
      <c r="M2882" s="36" t="str">
        <f t="array" ref="M2882">IF($A2882="","",IF($L2882="Atendido",IFERROR($I2882*INDEX(Config!$B:$B,MATCH($C2882,Config!$A:$A,0)),0),0))</f>
        <v/>
      </c>
      <c r="N2882" s="36" t="str">
        <f t="shared" si="2"/>
        <v/>
      </c>
      <c r="O2882" s="36" t="str">
        <f t="shared" si="3"/>
        <v/>
      </c>
      <c r="P2882" s="15"/>
      <c r="Q2882" s="37" t="str">
        <f t="shared" si="4"/>
        <v/>
      </c>
      <c r="R2882" s="37" t="str">
        <f t="shared" si="5"/>
        <v/>
      </c>
      <c r="S2882" s="32" t="str">
        <f t="shared" si="6"/>
        <v/>
      </c>
      <c r="T2882" s="37" t="str">
        <f t="shared" si="7"/>
        <v/>
      </c>
      <c r="U2882" s="37" t="str">
        <f t="array" ref="U2882">IF($F2882="","",IFERROR(INDEX(Config!$F:$F,MATCH($F2882,Config!$D:$D,0)),0))</f>
        <v/>
      </c>
    </row>
    <row r="2883" ht="15.0" customHeight="1">
      <c r="A2883" s="34"/>
      <c r="B2883" s="35"/>
      <c r="C2883" s="15"/>
      <c r="D2883" s="15"/>
      <c r="E2883" s="15"/>
      <c r="F2883" s="15"/>
      <c r="G2883" s="36" t="str">
        <f t="array" ref="G2883">IF($F2883="","",IFERROR(INDEX(Config!$E:$E,MATCH($F2883,Config!$D:$D,0)),0))</f>
        <v/>
      </c>
      <c r="H2883" s="16"/>
      <c r="I2883" s="36" t="str">
        <f t="shared" si="1"/>
        <v/>
      </c>
      <c r="J2883" s="16"/>
      <c r="K2883" s="15"/>
      <c r="L2883" s="15"/>
      <c r="M2883" s="36" t="str">
        <f t="array" ref="M2883">IF($A2883="","",IF($L2883="Atendido",IFERROR($I2883*INDEX(Config!$B:$B,MATCH($C2883,Config!$A:$A,0)),0),0))</f>
        <v/>
      </c>
      <c r="N2883" s="36" t="str">
        <f t="shared" si="2"/>
        <v/>
      </c>
      <c r="O2883" s="36" t="str">
        <f t="shared" si="3"/>
        <v/>
      </c>
      <c r="P2883" s="15"/>
      <c r="Q2883" s="37" t="str">
        <f t="shared" si="4"/>
        <v/>
      </c>
      <c r="R2883" s="37" t="str">
        <f t="shared" si="5"/>
        <v/>
      </c>
      <c r="S2883" s="32" t="str">
        <f t="shared" si="6"/>
        <v/>
      </c>
      <c r="T2883" s="37" t="str">
        <f t="shared" si="7"/>
        <v/>
      </c>
      <c r="U2883" s="37" t="str">
        <f t="array" ref="U2883">IF($F2883="","",IFERROR(INDEX(Config!$F:$F,MATCH($F2883,Config!$D:$D,0)),0))</f>
        <v/>
      </c>
    </row>
    <row r="2884" ht="15.0" customHeight="1">
      <c r="A2884" s="34"/>
      <c r="B2884" s="35"/>
      <c r="C2884" s="15"/>
      <c r="D2884" s="15"/>
      <c r="E2884" s="15"/>
      <c r="F2884" s="15"/>
      <c r="G2884" s="36" t="str">
        <f t="array" ref="G2884">IF($F2884="","",IFERROR(INDEX(Config!$E:$E,MATCH($F2884,Config!$D:$D,0)),0))</f>
        <v/>
      </c>
      <c r="H2884" s="16"/>
      <c r="I2884" s="36" t="str">
        <f t="shared" si="1"/>
        <v/>
      </c>
      <c r="J2884" s="16"/>
      <c r="K2884" s="15"/>
      <c r="L2884" s="15"/>
      <c r="M2884" s="36" t="str">
        <f t="array" ref="M2884">IF($A2884="","",IF($L2884="Atendido",IFERROR($I2884*INDEX(Config!$B:$B,MATCH($C2884,Config!$A:$A,0)),0),0))</f>
        <v/>
      </c>
      <c r="N2884" s="36" t="str">
        <f t="shared" si="2"/>
        <v/>
      </c>
      <c r="O2884" s="36" t="str">
        <f t="shared" si="3"/>
        <v/>
      </c>
      <c r="P2884" s="15"/>
      <c r="Q2884" s="37" t="str">
        <f t="shared" si="4"/>
        <v/>
      </c>
      <c r="R2884" s="37" t="str">
        <f t="shared" si="5"/>
        <v/>
      </c>
      <c r="S2884" s="32" t="str">
        <f t="shared" si="6"/>
        <v/>
      </c>
      <c r="T2884" s="37" t="str">
        <f t="shared" si="7"/>
        <v/>
      </c>
      <c r="U2884" s="37" t="str">
        <f t="array" ref="U2884">IF($F2884="","",IFERROR(INDEX(Config!$F:$F,MATCH($F2884,Config!$D:$D,0)),0))</f>
        <v/>
      </c>
    </row>
    <row r="2885" ht="15.0" customHeight="1">
      <c r="A2885" s="34"/>
      <c r="B2885" s="35"/>
      <c r="C2885" s="15"/>
      <c r="D2885" s="15"/>
      <c r="E2885" s="15"/>
      <c r="F2885" s="15"/>
      <c r="G2885" s="36" t="str">
        <f t="array" ref="G2885">IF($F2885="","",IFERROR(INDEX(Config!$E:$E,MATCH($F2885,Config!$D:$D,0)),0))</f>
        <v/>
      </c>
      <c r="H2885" s="16"/>
      <c r="I2885" s="36" t="str">
        <f t="shared" si="1"/>
        <v/>
      </c>
      <c r="J2885" s="16"/>
      <c r="K2885" s="15"/>
      <c r="L2885" s="15"/>
      <c r="M2885" s="36" t="str">
        <f t="array" ref="M2885">IF($A2885="","",IF($L2885="Atendido",IFERROR($I2885*INDEX(Config!$B:$B,MATCH($C2885,Config!$A:$A,0)),0),0))</f>
        <v/>
      </c>
      <c r="N2885" s="36" t="str">
        <f t="shared" si="2"/>
        <v/>
      </c>
      <c r="O2885" s="36" t="str">
        <f t="shared" si="3"/>
        <v/>
      </c>
      <c r="P2885" s="15"/>
      <c r="Q2885" s="37" t="str">
        <f t="shared" si="4"/>
        <v/>
      </c>
      <c r="R2885" s="37" t="str">
        <f t="shared" si="5"/>
        <v/>
      </c>
      <c r="S2885" s="32" t="str">
        <f t="shared" si="6"/>
        <v/>
      </c>
      <c r="T2885" s="37" t="str">
        <f t="shared" si="7"/>
        <v/>
      </c>
      <c r="U2885" s="37" t="str">
        <f t="array" ref="U2885">IF($F2885="","",IFERROR(INDEX(Config!$F:$F,MATCH($F2885,Config!$D:$D,0)),0))</f>
        <v/>
      </c>
    </row>
    <row r="2886" ht="15.0" customHeight="1">
      <c r="A2886" s="34"/>
      <c r="B2886" s="35"/>
      <c r="C2886" s="15"/>
      <c r="D2886" s="15"/>
      <c r="E2886" s="15"/>
      <c r="F2886" s="15"/>
      <c r="G2886" s="36" t="str">
        <f t="array" ref="G2886">IF($F2886="","",IFERROR(INDEX(Config!$E:$E,MATCH($F2886,Config!$D:$D,0)),0))</f>
        <v/>
      </c>
      <c r="H2886" s="16"/>
      <c r="I2886" s="36" t="str">
        <f t="shared" si="1"/>
        <v/>
      </c>
      <c r="J2886" s="16"/>
      <c r="K2886" s="15"/>
      <c r="L2886" s="15"/>
      <c r="M2886" s="36" t="str">
        <f t="array" ref="M2886">IF($A2886="","",IF($L2886="Atendido",IFERROR($I2886*INDEX(Config!$B:$B,MATCH($C2886,Config!$A:$A,0)),0),0))</f>
        <v/>
      </c>
      <c r="N2886" s="36" t="str">
        <f t="shared" si="2"/>
        <v/>
      </c>
      <c r="O2886" s="36" t="str">
        <f t="shared" si="3"/>
        <v/>
      </c>
      <c r="P2886" s="15"/>
      <c r="Q2886" s="37" t="str">
        <f t="shared" si="4"/>
        <v/>
      </c>
      <c r="R2886" s="37" t="str">
        <f t="shared" si="5"/>
        <v/>
      </c>
      <c r="S2886" s="32" t="str">
        <f t="shared" si="6"/>
        <v/>
      </c>
      <c r="T2886" s="37" t="str">
        <f t="shared" si="7"/>
        <v/>
      </c>
      <c r="U2886" s="37" t="str">
        <f t="array" ref="U2886">IF($F2886="","",IFERROR(INDEX(Config!$F:$F,MATCH($F2886,Config!$D:$D,0)),0))</f>
        <v/>
      </c>
    </row>
    <row r="2887" ht="15.0" customHeight="1">
      <c r="A2887" s="34"/>
      <c r="B2887" s="35"/>
      <c r="C2887" s="15"/>
      <c r="D2887" s="15"/>
      <c r="E2887" s="15"/>
      <c r="F2887" s="15"/>
      <c r="G2887" s="36" t="str">
        <f t="array" ref="G2887">IF($F2887="","",IFERROR(INDEX(Config!$E:$E,MATCH($F2887,Config!$D:$D,0)),0))</f>
        <v/>
      </c>
      <c r="H2887" s="16"/>
      <c r="I2887" s="36" t="str">
        <f t="shared" si="1"/>
        <v/>
      </c>
      <c r="J2887" s="16"/>
      <c r="K2887" s="15"/>
      <c r="L2887" s="15"/>
      <c r="M2887" s="36" t="str">
        <f t="array" ref="M2887">IF($A2887="","",IF($L2887="Atendido",IFERROR($I2887*INDEX(Config!$B:$B,MATCH($C2887,Config!$A:$A,0)),0),0))</f>
        <v/>
      </c>
      <c r="N2887" s="36" t="str">
        <f t="shared" si="2"/>
        <v/>
      </c>
      <c r="O2887" s="36" t="str">
        <f t="shared" si="3"/>
        <v/>
      </c>
      <c r="P2887" s="15"/>
      <c r="Q2887" s="37" t="str">
        <f t="shared" si="4"/>
        <v/>
      </c>
      <c r="R2887" s="37" t="str">
        <f t="shared" si="5"/>
        <v/>
      </c>
      <c r="S2887" s="32" t="str">
        <f t="shared" si="6"/>
        <v/>
      </c>
      <c r="T2887" s="37" t="str">
        <f t="shared" si="7"/>
        <v/>
      </c>
      <c r="U2887" s="37" t="str">
        <f t="array" ref="U2887">IF($F2887="","",IFERROR(INDEX(Config!$F:$F,MATCH($F2887,Config!$D:$D,0)),0))</f>
        <v/>
      </c>
    </row>
    <row r="2888" ht="15.0" customHeight="1">
      <c r="A2888" s="34"/>
      <c r="B2888" s="35"/>
      <c r="C2888" s="15"/>
      <c r="D2888" s="15"/>
      <c r="E2888" s="15"/>
      <c r="F2888" s="15"/>
      <c r="G2888" s="36" t="str">
        <f t="array" ref="G2888">IF($F2888="","",IFERROR(INDEX(Config!$E:$E,MATCH($F2888,Config!$D:$D,0)),0))</f>
        <v/>
      </c>
      <c r="H2888" s="16"/>
      <c r="I2888" s="36" t="str">
        <f t="shared" si="1"/>
        <v/>
      </c>
      <c r="J2888" s="16"/>
      <c r="K2888" s="15"/>
      <c r="L2888" s="15"/>
      <c r="M2888" s="36" t="str">
        <f t="array" ref="M2888">IF($A2888="","",IF($L2888="Atendido",IFERROR($I2888*INDEX(Config!$B:$B,MATCH($C2888,Config!$A:$A,0)),0),0))</f>
        <v/>
      </c>
      <c r="N2888" s="36" t="str">
        <f t="shared" si="2"/>
        <v/>
      </c>
      <c r="O2888" s="36" t="str">
        <f t="shared" si="3"/>
        <v/>
      </c>
      <c r="P2888" s="15"/>
      <c r="Q2888" s="37" t="str">
        <f t="shared" si="4"/>
        <v/>
      </c>
      <c r="R2888" s="37" t="str">
        <f t="shared" si="5"/>
        <v/>
      </c>
      <c r="S2888" s="32" t="str">
        <f t="shared" si="6"/>
        <v/>
      </c>
      <c r="T2888" s="37" t="str">
        <f t="shared" si="7"/>
        <v/>
      </c>
      <c r="U2888" s="37" t="str">
        <f t="array" ref="U2888">IF($F2888="","",IFERROR(INDEX(Config!$F:$F,MATCH($F2888,Config!$D:$D,0)),0))</f>
        <v/>
      </c>
    </row>
    <row r="2889" ht="15.0" customHeight="1">
      <c r="A2889" s="34"/>
      <c r="B2889" s="35"/>
      <c r="C2889" s="15"/>
      <c r="D2889" s="15"/>
      <c r="E2889" s="15"/>
      <c r="F2889" s="15"/>
      <c r="G2889" s="36" t="str">
        <f t="array" ref="G2889">IF($F2889="","",IFERROR(INDEX(Config!$E:$E,MATCH($F2889,Config!$D:$D,0)),0))</f>
        <v/>
      </c>
      <c r="H2889" s="16"/>
      <c r="I2889" s="36" t="str">
        <f t="shared" si="1"/>
        <v/>
      </c>
      <c r="J2889" s="16"/>
      <c r="K2889" s="15"/>
      <c r="L2889" s="15"/>
      <c r="M2889" s="36" t="str">
        <f t="array" ref="M2889">IF($A2889="","",IF($L2889="Atendido",IFERROR($I2889*INDEX(Config!$B:$B,MATCH($C2889,Config!$A:$A,0)),0),0))</f>
        <v/>
      </c>
      <c r="N2889" s="36" t="str">
        <f t="shared" si="2"/>
        <v/>
      </c>
      <c r="O2889" s="36" t="str">
        <f t="shared" si="3"/>
        <v/>
      </c>
      <c r="P2889" s="15"/>
      <c r="Q2889" s="37" t="str">
        <f t="shared" si="4"/>
        <v/>
      </c>
      <c r="R2889" s="37" t="str">
        <f t="shared" si="5"/>
        <v/>
      </c>
      <c r="S2889" s="32" t="str">
        <f t="shared" si="6"/>
        <v/>
      </c>
      <c r="T2889" s="37" t="str">
        <f t="shared" si="7"/>
        <v/>
      </c>
      <c r="U2889" s="37" t="str">
        <f t="array" ref="U2889">IF($F2889="","",IFERROR(INDEX(Config!$F:$F,MATCH($F2889,Config!$D:$D,0)),0))</f>
        <v/>
      </c>
    </row>
    <row r="2890" ht="15.0" customHeight="1">
      <c r="A2890" s="34"/>
      <c r="B2890" s="35"/>
      <c r="C2890" s="15"/>
      <c r="D2890" s="15"/>
      <c r="E2890" s="15"/>
      <c r="F2890" s="15"/>
      <c r="G2890" s="36" t="str">
        <f t="array" ref="G2890">IF($F2890="","",IFERROR(INDEX(Config!$E:$E,MATCH($F2890,Config!$D:$D,0)),0))</f>
        <v/>
      </c>
      <c r="H2890" s="16"/>
      <c r="I2890" s="36" t="str">
        <f t="shared" si="1"/>
        <v/>
      </c>
      <c r="J2890" s="16"/>
      <c r="K2890" s="15"/>
      <c r="L2890" s="15"/>
      <c r="M2890" s="36" t="str">
        <f t="array" ref="M2890">IF($A2890="","",IF($L2890="Atendido",IFERROR($I2890*INDEX(Config!$B:$B,MATCH($C2890,Config!$A:$A,0)),0),0))</f>
        <v/>
      </c>
      <c r="N2890" s="36" t="str">
        <f t="shared" si="2"/>
        <v/>
      </c>
      <c r="O2890" s="36" t="str">
        <f t="shared" si="3"/>
        <v/>
      </c>
      <c r="P2890" s="15"/>
      <c r="Q2890" s="37" t="str">
        <f t="shared" si="4"/>
        <v/>
      </c>
      <c r="R2890" s="37" t="str">
        <f t="shared" si="5"/>
        <v/>
      </c>
      <c r="S2890" s="32" t="str">
        <f t="shared" si="6"/>
        <v/>
      </c>
      <c r="T2890" s="37" t="str">
        <f t="shared" si="7"/>
        <v/>
      </c>
      <c r="U2890" s="37" t="str">
        <f t="array" ref="U2890">IF($F2890="","",IFERROR(INDEX(Config!$F:$F,MATCH($F2890,Config!$D:$D,0)),0))</f>
        <v/>
      </c>
    </row>
    <row r="2891" ht="15.0" customHeight="1">
      <c r="A2891" s="34"/>
      <c r="B2891" s="35"/>
      <c r="C2891" s="15"/>
      <c r="D2891" s="15"/>
      <c r="E2891" s="15"/>
      <c r="F2891" s="15"/>
      <c r="G2891" s="36" t="str">
        <f t="array" ref="G2891">IF($F2891="","",IFERROR(INDEX(Config!$E:$E,MATCH($F2891,Config!$D:$D,0)),0))</f>
        <v/>
      </c>
      <c r="H2891" s="16"/>
      <c r="I2891" s="36" t="str">
        <f t="shared" si="1"/>
        <v/>
      </c>
      <c r="J2891" s="16"/>
      <c r="K2891" s="15"/>
      <c r="L2891" s="15"/>
      <c r="M2891" s="36" t="str">
        <f t="array" ref="M2891">IF($A2891="","",IF($L2891="Atendido",IFERROR($I2891*INDEX(Config!$B:$B,MATCH($C2891,Config!$A:$A,0)),0),0))</f>
        <v/>
      </c>
      <c r="N2891" s="36" t="str">
        <f t="shared" si="2"/>
        <v/>
      </c>
      <c r="O2891" s="36" t="str">
        <f t="shared" si="3"/>
        <v/>
      </c>
      <c r="P2891" s="15"/>
      <c r="Q2891" s="37" t="str">
        <f t="shared" si="4"/>
        <v/>
      </c>
      <c r="R2891" s="37" t="str">
        <f t="shared" si="5"/>
        <v/>
      </c>
      <c r="S2891" s="32" t="str">
        <f t="shared" si="6"/>
        <v/>
      </c>
      <c r="T2891" s="37" t="str">
        <f t="shared" si="7"/>
        <v/>
      </c>
      <c r="U2891" s="37" t="str">
        <f t="array" ref="U2891">IF($F2891="","",IFERROR(INDEX(Config!$F:$F,MATCH($F2891,Config!$D:$D,0)),0))</f>
        <v/>
      </c>
    </row>
    <row r="2892" ht="15.0" customHeight="1">
      <c r="A2892" s="34"/>
      <c r="B2892" s="35"/>
      <c r="C2892" s="15"/>
      <c r="D2892" s="15"/>
      <c r="E2892" s="15"/>
      <c r="F2892" s="15"/>
      <c r="G2892" s="36" t="str">
        <f t="array" ref="G2892">IF($F2892="","",IFERROR(INDEX(Config!$E:$E,MATCH($F2892,Config!$D:$D,0)),0))</f>
        <v/>
      </c>
      <c r="H2892" s="16"/>
      <c r="I2892" s="36" t="str">
        <f t="shared" si="1"/>
        <v/>
      </c>
      <c r="J2892" s="16"/>
      <c r="K2892" s="15"/>
      <c r="L2892" s="15"/>
      <c r="M2892" s="36" t="str">
        <f t="array" ref="M2892">IF($A2892="","",IF($L2892="Atendido",IFERROR($I2892*INDEX(Config!$B:$B,MATCH($C2892,Config!$A:$A,0)),0),0))</f>
        <v/>
      </c>
      <c r="N2892" s="36" t="str">
        <f t="shared" si="2"/>
        <v/>
      </c>
      <c r="O2892" s="36" t="str">
        <f t="shared" si="3"/>
        <v/>
      </c>
      <c r="P2892" s="15"/>
      <c r="Q2892" s="37" t="str">
        <f t="shared" si="4"/>
        <v/>
      </c>
      <c r="R2892" s="37" t="str">
        <f t="shared" si="5"/>
        <v/>
      </c>
      <c r="S2892" s="32" t="str">
        <f t="shared" si="6"/>
        <v/>
      </c>
      <c r="T2892" s="37" t="str">
        <f t="shared" si="7"/>
        <v/>
      </c>
      <c r="U2892" s="37" t="str">
        <f t="array" ref="U2892">IF($F2892="","",IFERROR(INDEX(Config!$F:$F,MATCH($F2892,Config!$D:$D,0)),0))</f>
        <v/>
      </c>
    </row>
    <row r="2893" ht="15.0" customHeight="1">
      <c r="A2893" s="34"/>
      <c r="B2893" s="35"/>
      <c r="C2893" s="15"/>
      <c r="D2893" s="15"/>
      <c r="E2893" s="15"/>
      <c r="F2893" s="15"/>
      <c r="G2893" s="36" t="str">
        <f t="array" ref="G2893">IF($F2893="","",IFERROR(INDEX(Config!$E:$E,MATCH($F2893,Config!$D:$D,0)),0))</f>
        <v/>
      </c>
      <c r="H2893" s="16"/>
      <c r="I2893" s="36" t="str">
        <f t="shared" si="1"/>
        <v/>
      </c>
      <c r="J2893" s="16"/>
      <c r="K2893" s="15"/>
      <c r="L2893" s="15"/>
      <c r="M2893" s="36" t="str">
        <f t="array" ref="M2893">IF($A2893="","",IF($L2893="Atendido",IFERROR($I2893*INDEX(Config!$B:$B,MATCH($C2893,Config!$A:$A,0)),0),0))</f>
        <v/>
      </c>
      <c r="N2893" s="36" t="str">
        <f t="shared" si="2"/>
        <v/>
      </c>
      <c r="O2893" s="36" t="str">
        <f t="shared" si="3"/>
        <v/>
      </c>
      <c r="P2893" s="15"/>
      <c r="Q2893" s="37" t="str">
        <f t="shared" si="4"/>
        <v/>
      </c>
      <c r="R2893" s="37" t="str">
        <f t="shared" si="5"/>
        <v/>
      </c>
      <c r="S2893" s="32" t="str">
        <f t="shared" si="6"/>
        <v/>
      </c>
      <c r="T2893" s="37" t="str">
        <f t="shared" si="7"/>
        <v/>
      </c>
      <c r="U2893" s="37" t="str">
        <f t="array" ref="U2893">IF($F2893="","",IFERROR(INDEX(Config!$F:$F,MATCH($F2893,Config!$D:$D,0)),0))</f>
        <v/>
      </c>
    </row>
    <row r="2894" ht="15.0" customHeight="1">
      <c r="A2894" s="34"/>
      <c r="B2894" s="35"/>
      <c r="C2894" s="15"/>
      <c r="D2894" s="15"/>
      <c r="E2894" s="15"/>
      <c r="F2894" s="15"/>
      <c r="G2894" s="36" t="str">
        <f t="array" ref="G2894">IF($F2894="","",IFERROR(INDEX(Config!$E:$E,MATCH($F2894,Config!$D:$D,0)),0))</f>
        <v/>
      </c>
      <c r="H2894" s="16"/>
      <c r="I2894" s="36" t="str">
        <f t="shared" si="1"/>
        <v/>
      </c>
      <c r="J2894" s="16"/>
      <c r="K2894" s="15"/>
      <c r="L2894" s="15"/>
      <c r="M2894" s="36" t="str">
        <f t="array" ref="M2894">IF($A2894="","",IF($L2894="Atendido",IFERROR($I2894*INDEX(Config!$B:$B,MATCH($C2894,Config!$A:$A,0)),0),0))</f>
        <v/>
      </c>
      <c r="N2894" s="36" t="str">
        <f t="shared" si="2"/>
        <v/>
      </c>
      <c r="O2894" s="36" t="str">
        <f t="shared" si="3"/>
        <v/>
      </c>
      <c r="P2894" s="15"/>
      <c r="Q2894" s="37" t="str">
        <f t="shared" si="4"/>
        <v/>
      </c>
      <c r="R2894" s="37" t="str">
        <f t="shared" si="5"/>
        <v/>
      </c>
      <c r="S2894" s="32" t="str">
        <f t="shared" si="6"/>
        <v/>
      </c>
      <c r="T2894" s="37" t="str">
        <f t="shared" si="7"/>
        <v/>
      </c>
      <c r="U2894" s="37" t="str">
        <f t="array" ref="U2894">IF($F2894="","",IFERROR(INDEX(Config!$F:$F,MATCH($F2894,Config!$D:$D,0)),0))</f>
        <v/>
      </c>
    </row>
    <row r="2895" ht="15.0" customHeight="1">
      <c r="A2895" s="34"/>
      <c r="B2895" s="35"/>
      <c r="C2895" s="15"/>
      <c r="D2895" s="15"/>
      <c r="E2895" s="15"/>
      <c r="F2895" s="15"/>
      <c r="G2895" s="36" t="str">
        <f t="array" ref="G2895">IF($F2895="","",IFERROR(INDEX(Config!$E:$E,MATCH($F2895,Config!$D:$D,0)),0))</f>
        <v/>
      </c>
      <c r="H2895" s="16"/>
      <c r="I2895" s="36" t="str">
        <f t="shared" si="1"/>
        <v/>
      </c>
      <c r="J2895" s="16"/>
      <c r="K2895" s="15"/>
      <c r="L2895" s="15"/>
      <c r="M2895" s="36" t="str">
        <f t="array" ref="M2895">IF($A2895="","",IF($L2895="Atendido",IFERROR($I2895*INDEX(Config!$B:$B,MATCH($C2895,Config!$A:$A,0)),0),0))</f>
        <v/>
      </c>
      <c r="N2895" s="36" t="str">
        <f t="shared" si="2"/>
        <v/>
      </c>
      <c r="O2895" s="36" t="str">
        <f t="shared" si="3"/>
        <v/>
      </c>
      <c r="P2895" s="15"/>
      <c r="Q2895" s="37" t="str">
        <f t="shared" si="4"/>
        <v/>
      </c>
      <c r="R2895" s="37" t="str">
        <f t="shared" si="5"/>
        <v/>
      </c>
      <c r="S2895" s="32" t="str">
        <f t="shared" si="6"/>
        <v/>
      </c>
      <c r="T2895" s="37" t="str">
        <f t="shared" si="7"/>
        <v/>
      </c>
      <c r="U2895" s="37" t="str">
        <f t="array" ref="U2895">IF($F2895="","",IFERROR(INDEX(Config!$F:$F,MATCH($F2895,Config!$D:$D,0)),0))</f>
        <v/>
      </c>
    </row>
    <row r="2896" ht="15.0" customHeight="1">
      <c r="A2896" s="34"/>
      <c r="B2896" s="35"/>
      <c r="C2896" s="15"/>
      <c r="D2896" s="15"/>
      <c r="E2896" s="15"/>
      <c r="F2896" s="15"/>
      <c r="G2896" s="36" t="str">
        <f t="array" ref="G2896">IF($F2896="","",IFERROR(INDEX(Config!$E:$E,MATCH($F2896,Config!$D:$D,0)),0))</f>
        <v/>
      </c>
      <c r="H2896" s="16"/>
      <c r="I2896" s="36" t="str">
        <f t="shared" si="1"/>
        <v/>
      </c>
      <c r="J2896" s="16"/>
      <c r="K2896" s="15"/>
      <c r="L2896" s="15"/>
      <c r="M2896" s="36" t="str">
        <f t="array" ref="M2896">IF($A2896="","",IF($L2896="Atendido",IFERROR($I2896*INDEX(Config!$B:$B,MATCH($C2896,Config!$A:$A,0)),0),0))</f>
        <v/>
      </c>
      <c r="N2896" s="36" t="str">
        <f t="shared" si="2"/>
        <v/>
      </c>
      <c r="O2896" s="36" t="str">
        <f t="shared" si="3"/>
        <v/>
      </c>
      <c r="P2896" s="15"/>
      <c r="Q2896" s="37" t="str">
        <f t="shared" si="4"/>
        <v/>
      </c>
      <c r="R2896" s="37" t="str">
        <f t="shared" si="5"/>
        <v/>
      </c>
      <c r="S2896" s="32" t="str">
        <f t="shared" si="6"/>
        <v/>
      </c>
      <c r="T2896" s="37" t="str">
        <f t="shared" si="7"/>
        <v/>
      </c>
      <c r="U2896" s="37" t="str">
        <f t="array" ref="U2896">IF($F2896="","",IFERROR(INDEX(Config!$F:$F,MATCH($F2896,Config!$D:$D,0)),0))</f>
        <v/>
      </c>
    </row>
    <row r="2897" ht="15.0" customHeight="1">
      <c r="A2897" s="34"/>
      <c r="B2897" s="35"/>
      <c r="C2897" s="15"/>
      <c r="D2897" s="15"/>
      <c r="E2897" s="15"/>
      <c r="F2897" s="15"/>
      <c r="G2897" s="36" t="str">
        <f t="array" ref="G2897">IF($F2897="","",IFERROR(INDEX(Config!$E:$E,MATCH($F2897,Config!$D:$D,0)),0))</f>
        <v/>
      </c>
      <c r="H2897" s="16"/>
      <c r="I2897" s="36" t="str">
        <f t="shared" si="1"/>
        <v/>
      </c>
      <c r="J2897" s="16"/>
      <c r="K2897" s="15"/>
      <c r="L2897" s="15"/>
      <c r="M2897" s="36" t="str">
        <f t="array" ref="M2897">IF($A2897="","",IF($L2897="Atendido",IFERROR($I2897*INDEX(Config!$B:$B,MATCH($C2897,Config!$A:$A,0)),0),0))</f>
        <v/>
      </c>
      <c r="N2897" s="36" t="str">
        <f t="shared" si="2"/>
        <v/>
      </c>
      <c r="O2897" s="36" t="str">
        <f t="shared" si="3"/>
        <v/>
      </c>
      <c r="P2897" s="15"/>
      <c r="Q2897" s="37" t="str">
        <f t="shared" si="4"/>
        <v/>
      </c>
      <c r="R2897" s="37" t="str">
        <f t="shared" si="5"/>
        <v/>
      </c>
      <c r="S2897" s="32" t="str">
        <f t="shared" si="6"/>
        <v/>
      </c>
      <c r="T2897" s="37" t="str">
        <f t="shared" si="7"/>
        <v/>
      </c>
      <c r="U2897" s="37" t="str">
        <f t="array" ref="U2897">IF($F2897="","",IFERROR(INDEX(Config!$F:$F,MATCH($F2897,Config!$D:$D,0)),0))</f>
        <v/>
      </c>
    </row>
    <row r="2898" ht="15.0" customHeight="1">
      <c r="A2898" s="34"/>
      <c r="B2898" s="35"/>
      <c r="C2898" s="15"/>
      <c r="D2898" s="15"/>
      <c r="E2898" s="15"/>
      <c r="F2898" s="15"/>
      <c r="G2898" s="36" t="str">
        <f t="array" ref="G2898">IF($F2898="","",IFERROR(INDEX(Config!$E:$E,MATCH($F2898,Config!$D:$D,0)),0))</f>
        <v/>
      </c>
      <c r="H2898" s="16"/>
      <c r="I2898" s="36" t="str">
        <f t="shared" si="1"/>
        <v/>
      </c>
      <c r="J2898" s="16"/>
      <c r="K2898" s="15"/>
      <c r="L2898" s="15"/>
      <c r="M2898" s="36" t="str">
        <f t="array" ref="M2898">IF($A2898="","",IF($L2898="Atendido",IFERROR($I2898*INDEX(Config!$B:$B,MATCH($C2898,Config!$A:$A,0)),0),0))</f>
        <v/>
      </c>
      <c r="N2898" s="36" t="str">
        <f t="shared" si="2"/>
        <v/>
      </c>
      <c r="O2898" s="36" t="str">
        <f t="shared" si="3"/>
        <v/>
      </c>
      <c r="P2898" s="15"/>
      <c r="Q2898" s="37" t="str">
        <f t="shared" si="4"/>
        <v/>
      </c>
      <c r="R2898" s="37" t="str">
        <f t="shared" si="5"/>
        <v/>
      </c>
      <c r="S2898" s="32" t="str">
        <f t="shared" si="6"/>
        <v/>
      </c>
      <c r="T2898" s="37" t="str">
        <f t="shared" si="7"/>
        <v/>
      </c>
      <c r="U2898" s="37" t="str">
        <f t="array" ref="U2898">IF($F2898="","",IFERROR(INDEX(Config!$F:$F,MATCH($F2898,Config!$D:$D,0)),0))</f>
        <v/>
      </c>
    </row>
    <row r="2899" ht="15.0" customHeight="1">
      <c r="A2899" s="34"/>
      <c r="B2899" s="35"/>
      <c r="C2899" s="15"/>
      <c r="D2899" s="15"/>
      <c r="E2899" s="15"/>
      <c r="F2899" s="15"/>
      <c r="G2899" s="36" t="str">
        <f t="array" ref="G2899">IF($F2899="","",IFERROR(INDEX(Config!$E:$E,MATCH($F2899,Config!$D:$D,0)),0))</f>
        <v/>
      </c>
      <c r="H2899" s="16"/>
      <c r="I2899" s="36" t="str">
        <f t="shared" si="1"/>
        <v/>
      </c>
      <c r="J2899" s="16"/>
      <c r="K2899" s="15"/>
      <c r="L2899" s="15"/>
      <c r="M2899" s="36" t="str">
        <f t="array" ref="M2899">IF($A2899="","",IF($L2899="Atendido",IFERROR($I2899*INDEX(Config!$B:$B,MATCH($C2899,Config!$A:$A,0)),0),0))</f>
        <v/>
      </c>
      <c r="N2899" s="36" t="str">
        <f t="shared" si="2"/>
        <v/>
      </c>
      <c r="O2899" s="36" t="str">
        <f t="shared" si="3"/>
        <v/>
      </c>
      <c r="P2899" s="15"/>
      <c r="Q2899" s="37" t="str">
        <f t="shared" si="4"/>
        <v/>
      </c>
      <c r="R2899" s="37" t="str">
        <f t="shared" si="5"/>
        <v/>
      </c>
      <c r="S2899" s="32" t="str">
        <f t="shared" si="6"/>
        <v/>
      </c>
      <c r="T2899" s="37" t="str">
        <f t="shared" si="7"/>
        <v/>
      </c>
      <c r="U2899" s="37" t="str">
        <f t="array" ref="U2899">IF($F2899="","",IFERROR(INDEX(Config!$F:$F,MATCH($F2899,Config!$D:$D,0)),0))</f>
        <v/>
      </c>
    </row>
    <row r="2900" ht="15.0" customHeight="1">
      <c r="A2900" s="34"/>
      <c r="B2900" s="35"/>
      <c r="C2900" s="15"/>
      <c r="D2900" s="15"/>
      <c r="E2900" s="15"/>
      <c r="F2900" s="15"/>
      <c r="G2900" s="36" t="str">
        <f t="array" ref="G2900">IF($F2900="","",IFERROR(INDEX(Config!$E:$E,MATCH($F2900,Config!$D:$D,0)),0))</f>
        <v/>
      </c>
      <c r="H2900" s="16"/>
      <c r="I2900" s="36" t="str">
        <f t="shared" si="1"/>
        <v/>
      </c>
      <c r="J2900" s="16"/>
      <c r="K2900" s="15"/>
      <c r="L2900" s="15"/>
      <c r="M2900" s="36" t="str">
        <f t="array" ref="M2900">IF($A2900="","",IF($L2900="Atendido",IFERROR($I2900*INDEX(Config!$B:$B,MATCH($C2900,Config!$A:$A,0)),0),0))</f>
        <v/>
      </c>
      <c r="N2900" s="36" t="str">
        <f t="shared" si="2"/>
        <v/>
      </c>
      <c r="O2900" s="36" t="str">
        <f t="shared" si="3"/>
        <v/>
      </c>
      <c r="P2900" s="15"/>
      <c r="Q2900" s="37" t="str">
        <f t="shared" si="4"/>
        <v/>
      </c>
      <c r="R2900" s="37" t="str">
        <f t="shared" si="5"/>
        <v/>
      </c>
      <c r="S2900" s="32" t="str">
        <f t="shared" si="6"/>
        <v/>
      </c>
      <c r="T2900" s="37" t="str">
        <f t="shared" si="7"/>
        <v/>
      </c>
      <c r="U2900" s="37" t="str">
        <f t="array" ref="U2900">IF($F2900="","",IFERROR(INDEX(Config!$F:$F,MATCH($F2900,Config!$D:$D,0)),0))</f>
        <v/>
      </c>
    </row>
    <row r="2901" ht="15.0" customHeight="1">
      <c r="A2901" s="34"/>
      <c r="B2901" s="35"/>
      <c r="C2901" s="15"/>
      <c r="D2901" s="15"/>
      <c r="E2901" s="15"/>
      <c r="F2901" s="15"/>
      <c r="G2901" s="36" t="str">
        <f t="array" ref="G2901">IF($F2901="","",IFERROR(INDEX(Config!$E:$E,MATCH($F2901,Config!$D:$D,0)),0))</f>
        <v/>
      </c>
      <c r="H2901" s="16"/>
      <c r="I2901" s="36" t="str">
        <f t="shared" si="1"/>
        <v/>
      </c>
      <c r="J2901" s="16"/>
      <c r="K2901" s="15"/>
      <c r="L2901" s="15"/>
      <c r="M2901" s="36" t="str">
        <f t="array" ref="M2901">IF($A2901="","",IF($L2901="Atendido",IFERROR($I2901*INDEX(Config!$B:$B,MATCH($C2901,Config!$A:$A,0)),0),0))</f>
        <v/>
      </c>
      <c r="N2901" s="36" t="str">
        <f t="shared" si="2"/>
        <v/>
      </c>
      <c r="O2901" s="36" t="str">
        <f t="shared" si="3"/>
        <v/>
      </c>
      <c r="P2901" s="15"/>
      <c r="Q2901" s="37" t="str">
        <f t="shared" si="4"/>
        <v/>
      </c>
      <c r="R2901" s="37" t="str">
        <f t="shared" si="5"/>
        <v/>
      </c>
      <c r="S2901" s="32" t="str">
        <f t="shared" si="6"/>
        <v/>
      </c>
      <c r="T2901" s="37" t="str">
        <f t="shared" si="7"/>
        <v/>
      </c>
      <c r="U2901" s="37" t="str">
        <f t="array" ref="U2901">IF($F2901="","",IFERROR(INDEX(Config!$F:$F,MATCH($F2901,Config!$D:$D,0)),0))</f>
        <v/>
      </c>
    </row>
    <row r="2902" ht="15.0" customHeight="1">
      <c r="A2902" s="34"/>
      <c r="B2902" s="35"/>
      <c r="C2902" s="15"/>
      <c r="D2902" s="15"/>
      <c r="E2902" s="15"/>
      <c r="F2902" s="15"/>
      <c r="G2902" s="36" t="str">
        <f t="array" ref="G2902">IF($F2902="","",IFERROR(INDEX(Config!$E:$E,MATCH($F2902,Config!$D:$D,0)),0))</f>
        <v/>
      </c>
      <c r="H2902" s="16"/>
      <c r="I2902" s="36" t="str">
        <f t="shared" si="1"/>
        <v/>
      </c>
      <c r="J2902" s="16"/>
      <c r="K2902" s="15"/>
      <c r="L2902" s="15"/>
      <c r="M2902" s="36" t="str">
        <f t="array" ref="M2902">IF($A2902="","",IF($L2902="Atendido",IFERROR($I2902*INDEX(Config!$B:$B,MATCH($C2902,Config!$A:$A,0)),0),0))</f>
        <v/>
      </c>
      <c r="N2902" s="36" t="str">
        <f t="shared" si="2"/>
        <v/>
      </c>
      <c r="O2902" s="36" t="str">
        <f t="shared" si="3"/>
        <v/>
      </c>
      <c r="P2902" s="15"/>
      <c r="Q2902" s="37" t="str">
        <f t="shared" si="4"/>
        <v/>
      </c>
      <c r="R2902" s="37" t="str">
        <f t="shared" si="5"/>
        <v/>
      </c>
      <c r="S2902" s="32" t="str">
        <f t="shared" si="6"/>
        <v/>
      </c>
      <c r="T2902" s="37" t="str">
        <f t="shared" si="7"/>
        <v/>
      </c>
      <c r="U2902" s="37" t="str">
        <f t="array" ref="U2902">IF($F2902="","",IFERROR(INDEX(Config!$F:$F,MATCH($F2902,Config!$D:$D,0)),0))</f>
        <v/>
      </c>
    </row>
    <row r="2903" ht="15.0" customHeight="1">
      <c r="A2903" s="34"/>
      <c r="B2903" s="35"/>
      <c r="C2903" s="15"/>
      <c r="D2903" s="15"/>
      <c r="E2903" s="15"/>
      <c r="F2903" s="15"/>
      <c r="G2903" s="36" t="str">
        <f t="array" ref="G2903">IF($F2903="","",IFERROR(INDEX(Config!$E:$E,MATCH($F2903,Config!$D:$D,0)),0))</f>
        <v/>
      </c>
      <c r="H2903" s="16"/>
      <c r="I2903" s="36" t="str">
        <f t="shared" si="1"/>
        <v/>
      </c>
      <c r="J2903" s="16"/>
      <c r="K2903" s="15"/>
      <c r="L2903" s="15"/>
      <c r="M2903" s="36" t="str">
        <f t="array" ref="M2903">IF($A2903="","",IF($L2903="Atendido",IFERROR($I2903*INDEX(Config!$B:$B,MATCH($C2903,Config!$A:$A,0)),0),0))</f>
        <v/>
      </c>
      <c r="N2903" s="36" t="str">
        <f t="shared" si="2"/>
        <v/>
      </c>
      <c r="O2903" s="36" t="str">
        <f t="shared" si="3"/>
        <v/>
      </c>
      <c r="P2903" s="15"/>
      <c r="Q2903" s="37" t="str">
        <f t="shared" si="4"/>
        <v/>
      </c>
      <c r="R2903" s="37" t="str">
        <f t="shared" si="5"/>
        <v/>
      </c>
      <c r="S2903" s="32" t="str">
        <f t="shared" si="6"/>
        <v/>
      </c>
      <c r="T2903" s="37" t="str">
        <f t="shared" si="7"/>
        <v/>
      </c>
      <c r="U2903" s="37" t="str">
        <f t="array" ref="U2903">IF($F2903="","",IFERROR(INDEX(Config!$F:$F,MATCH($F2903,Config!$D:$D,0)),0))</f>
        <v/>
      </c>
    </row>
    <row r="2904" ht="15.0" customHeight="1">
      <c r="A2904" s="34"/>
      <c r="B2904" s="35"/>
      <c r="C2904" s="15"/>
      <c r="D2904" s="15"/>
      <c r="E2904" s="15"/>
      <c r="F2904" s="15"/>
      <c r="G2904" s="36" t="str">
        <f t="array" ref="G2904">IF($F2904="","",IFERROR(INDEX(Config!$E:$E,MATCH($F2904,Config!$D:$D,0)),0))</f>
        <v/>
      </c>
      <c r="H2904" s="16"/>
      <c r="I2904" s="36" t="str">
        <f t="shared" si="1"/>
        <v/>
      </c>
      <c r="J2904" s="16"/>
      <c r="K2904" s="15"/>
      <c r="L2904" s="15"/>
      <c r="M2904" s="36" t="str">
        <f t="array" ref="M2904">IF($A2904="","",IF($L2904="Atendido",IFERROR($I2904*INDEX(Config!$B:$B,MATCH($C2904,Config!$A:$A,0)),0),0))</f>
        <v/>
      </c>
      <c r="N2904" s="36" t="str">
        <f t="shared" si="2"/>
        <v/>
      </c>
      <c r="O2904" s="36" t="str">
        <f t="shared" si="3"/>
        <v/>
      </c>
      <c r="P2904" s="15"/>
      <c r="Q2904" s="37" t="str">
        <f t="shared" si="4"/>
        <v/>
      </c>
      <c r="R2904" s="37" t="str">
        <f t="shared" si="5"/>
        <v/>
      </c>
      <c r="S2904" s="32" t="str">
        <f t="shared" si="6"/>
        <v/>
      </c>
      <c r="T2904" s="37" t="str">
        <f t="shared" si="7"/>
        <v/>
      </c>
      <c r="U2904" s="37" t="str">
        <f t="array" ref="U2904">IF($F2904="","",IFERROR(INDEX(Config!$F:$F,MATCH($F2904,Config!$D:$D,0)),0))</f>
        <v/>
      </c>
    </row>
    <row r="2905" ht="15.0" customHeight="1">
      <c r="A2905" s="34"/>
      <c r="B2905" s="35"/>
      <c r="C2905" s="15"/>
      <c r="D2905" s="15"/>
      <c r="E2905" s="15"/>
      <c r="F2905" s="15"/>
      <c r="G2905" s="36" t="str">
        <f t="array" ref="G2905">IF($F2905="","",IFERROR(INDEX(Config!$E:$E,MATCH($F2905,Config!$D:$D,0)),0))</f>
        <v/>
      </c>
      <c r="H2905" s="16"/>
      <c r="I2905" s="36" t="str">
        <f t="shared" si="1"/>
        <v/>
      </c>
      <c r="J2905" s="16"/>
      <c r="K2905" s="15"/>
      <c r="L2905" s="15"/>
      <c r="M2905" s="36" t="str">
        <f t="array" ref="M2905">IF($A2905="","",IF($L2905="Atendido",IFERROR($I2905*INDEX(Config!$B:$B,MATCH($C2905,Config!$A:$A,0)),0),0))</f>
        <v/>
      </c>
      <c r="N2905" s="36" t="str">
        <f t="shared" si="2"/>
        <v/>
      </c>
      <c r="O2905" s="36" t="str">
        <f t="shared" si="3"/>
        <v/>
      </c>
      <c r="P2905" s="15"/>
      <c r="Q2905" s="37" t="str">
        <f t="shared" si="4"/>
        <v/>
      </c>
      <c r="R2905" s="37" t="str">
        <f t="shared" si="5"/>
        <v/>
      </c>
      <c r="S2905" s="32" t="str">
        <f t="shared" si="6"/>
        <v/>
      </c>
      <c r="T2905" s="37" t="str">
        <f t="shared" si="7"/>
        <v/>
      </c>
      <c r="U2905" s="37" t="str">
        <f t="array" ref="U2905">IF($F2905="","",IFERROR(INDEX(Config!$F:$F,MATCH($F2905,Config!$D:$D,0)),0))</f>
        <v/>
      </c>
    </row>
    <row r="2906" ht="15.0" customHeight="1">
      <c r="A2906" s="34"/>
      <c r="B2906" s="35"/>
      <c r="C2906" s="15"/>
      <c r="D2906" s="15"/>
      <c r="E2906" s="15"/>
      <c r="F2906" s="15"/>
      <c r="G2906" s="36" t="str">
        <f t="array" ref="G2906">IF($F2906="","",IFERROR(INDEX(Config!$E:$E,MATCH($F2906,Config!$D:$D,0)),0))</f>
        <v/>
      </c>
      <c r="H2906" s="16"/>
      <c r="I2906" s="36" t="str">
        <f t="shared" si="1"/>
        <v/>
      </c>
      <c r="J2906" s="16"/>
      <c r="K2906" s="15"/>
      <c r="L2906" s="15"/>
      <c r="M2906" s="36" t="str">
        <f t="array" ref="M2906">IF($A2906="","",IF($L2906="Atendido",IFERROR($I2906*INDEX(Config!$B:$B,MATCH($C2906,Config!$A:$A,0)),0),0))</f>
        <v/>
      </c>
      <c r="N2906" s="36" t="str">
        <f t="shared" si="2"/>
        <v/>
      </c>
      <c r="O2906" s="36" t="str">
        <f t="shared" si="3"/>
        <v/>
      </c>
      <c r="P2906" s="15"/>
      <c r="Q2906" s="37" t="str">
        <f t="shared" si="4"/>
        <v/>
      </c>
      <c r="R2906" s="37" t="str">
        <f t="shared" si="5"/>
        <v/>
      </c>
      <c r="S2906" s="32" t="str">
        <f t="shared" si="6"/>
        <v/>
      </c>
      <c r="T2906" s="37" t="str">
        <f t="shared" si="7"/>
        <v/>
      </c>
      <c r="U2906" s="37" t="str">
        <f t="array" ref="U2906">IF($F2906="","",IFERROR(INDEX(Config!$F:$F,MATCH($F2906,Config!$D:$D,0)),0))</f>
        <v/>
      </c>
    </row>
    <row r="2907" ht="15.0" customHeight="1">
      <c r="A2907" s="34"/>
      <c r="B2907" s="35"/>
      <c r="C2907" s="15"/>
      <c r="D2907" s="15"/>
      <c r="E2907" s="15"/>
      <c r="F2907" s="15"/>
      <c r="G2907" s="36" t="str">
        <f t="array" ref="G2907">IF($F2907="","",IFERROR(INDEX(Config!$E:$E,MATCH($F2907,Config!$D:$D,0)),0))</f>
        <v/>
      </c>
      <c r="H2907" s="16"/>
      <c r="I2907" s="36" t="str">
        <f t="shared" si="1"/>
        <v/>
      </c>
      <c r="J2907" s="16"/>
      <c r="K2907" s="15"/>
      <c r="L2907" s="15"/>
      <c r="M2907" s="36" t="str">
        <f t="array" ref="M2907">IF($A2907="","",IF($L2907="Atendido",IFERROR($I2907*INDEX(Config!$B:$B,MATCH($C2907,Config!$A:$A,0)),0),0))</f>
        <v/>
      </c>
      <c r="N2907" s="36" t="str">
        <f t="shared" si="2"/>
        <v/>
      </c>
      <c r="O2907" s="36" t="str">
        <f t="shared" si="3"/>
        <v/>
      </c>
      <c r="P2907" s="15"/>
      <c r="Q2907" s="37" t="str">
        <f t="shared" si="4"/>
        <v/>
      </c>
      <c r="R2907" s="37" t="str">
        <f t="shared" si="5"/>
        <v/>
      </c>
      <c r="S2907" s="32" t="str">
        <f t="shared" si="6"/>
        <v/>
      </c>
      <c r="T2907" s="37" t="str">
        <f t="shared" si="7"/>
        <v/>
      </c>
      <c r="U2907" s="37" t="str">
        <f t="array" ref="U2907">IF($F2907="","",IFERROR(INDEX(Config!$F:$F,MATCH($F2907,Config!$D:$D,0)),0))</f>
        <v/>
      </c>
    </row>
    <row r="2908" ht="15.0" customHeight="1">
      <c r="A2908" s="34"/>
      <c r="B2908" s="35"/>
      <c r="C2908" s="15"/>
      <c r="D2908" s="15"/>
      <c r="E2908" s="15"/>
      <c r="F2908" s="15"/>
      <c r="G2908" s="36" t="str">
        <f t="array" ref="G2908">IF($F2908="","",IFERROR(INDEX(Config!$E:$E,MATCH($F2908,Config!$D:$D,0)),0))</f>
        <v/>
      </c>
      <c r="H2908" s="16"/>
      <c r="I2908" s="36" t="str">
        <f t="shared" si="1"/>
        <v/>
      </c>
      <c r="J2908" s="16"/>
      <c r="K2908" s="15"/>
      <c r="L2908" s="15"/>
      <c r="M2908" s="36" t="str">
        <f t="array" ref="M2908">IF($A2908="","",IF($L2908="Atendido",IFERROR($I2908*INDEX(Config!$B:$B,MATCH($C2908,Config!$A:$A,0)),0),0))</f>
        <v/>
      </c>
      <c r="N2908" s="36" t="str">
        <f t="shared" si="2"/>
        <v/>
      </c>
      <c r="O2908" s="36" t="str">
        <f t="shared" si="3"/>
        <v/>
      </c>
      <c r="P2908" s="15"/>
      <c r="Q2908" s="37" t="str">
        <f t="shared" si="4"/>
        <v/>
      </c>
      <c r="R2908" s="37" t="str">
        <f t="shared" si="5"/>
        <v/>
      </c>
      <c r="S2908" s="32" t="str">
        <f t="shared" si="6"/>
        <v/>
      </c>
      <c r="T2908" s="37" t="str">
        <f t="shared" si="7"/>
        <v/>
      </c>
      <c r="U2908" s="37" t="str">
        <f t="array" ref="U2908">IF($F2908="","",IFERROR(INDEX(Config!$F:$F,MATCH($F2908,Config!$D:$D,0)),0))</f>
        <v/>
      </c>
    </row>
    <row r="2909" ht="15.0" customHeight="1">
      <c r="A2909" s="34"/>
      <c r="B2909" s="35"/>
      <c r="C2909" s="15"/>
      <c r="D2909" s="15"/>
      <c r="E2909" s="15"/>
      <c r="F2909" s="15"/>
      <c r="G2909" s="36" t="str">
        <f t="array" ref="G2909">IF($F2909="","",IFERROR(INDEX(Config!$E:$E,MATCH($F2909,Config!$D:$D,0)),0))</f>
        <v/>
      </c>
      <c r="H2909" s="16"/>
      <c r="I2909" s="36" t="str">
        <f t="shared" si="1"/>
        <v/>
      </c>
      <c r="J2909" s="16"/>
      <c r="K2909" s="15"/>
      <c r="L2909" s="15"/>
      <c r="M2909" s="36" t="str">
        <f t="array" ref="M2909">IF($A2909="","",IF($L2909="Atendido",IFERROR($I2909*INDEX(Config!$B:$B,MATCH($C2909,Config!$A:$A,0)),0),0))</f>
        <v/>
      </c>
      <c r="N2909" s="36" t="str">
        <f t="shared" si="2"/>
        <v/>
      </c>
      <c r="O2909" s="36" t="str">
        <f t="shared" si="3"/>
        <v/>
      </c>
      <c r="P2909" s="15"/>
      <c r="Q2909" s="37" t="str">
        <f t="shared" si="4"/>
        <v/>
      </c>
      <c r="R2909" s="37" t="str">
        <f t="shared" si="5"/>
        <v/>
      </c>
      <c r="S2909" s="32" t="str">
        <f t="shared" si="6"/>
        <v/>
      </c>
      <c r="T2909" s="37" t="str">
        <f t="shared" si="7"/>
        <v/>
      </c>
      <c r="U2909" s="37" t="str">
        <f t="array" ref="U2909">IF($F2909="","",IFERROR(INDEX(Config!$F:$F,MATCH($F2909,Config!$D:$D,0)),0))</f>
        <v/>
      </c>
    </row>
    <row r="2910" ht="15.0" customHeight="1">
      <c r="A2910" s="34"/>
      <c r="B2910" s="35"/>
      <c r="C2910" s="15"/>
      <c r="D2910" s="15"/>
      <c r="E2910" s="15"/>
      <c r="F2910" s="15"/>
      <c r="G2910" s="36" t="str">
        <f t="array" ref="G2910">IF($F2910="","",IFERROR(INDEX(Config!$E:$E,MATCH($F2910,Config!$D:$D,0)),0))</f>
        <v/>
      </c>
      <c r="H2910" s="16"/>
      <c r="I2910" s="36" t="str">
        <f t="shared" si="1"/>
        <v/>
      </c>
      <c r="J2910" s="16"/>
      <c r="K2910" s="15"/>
      <c r="L2910" s="15"/>
      <c r="M2910" s="36" t="str">
        <f t="array" ref="M2910">IF($A2910="","",IF($L2910="Atendido",IFERROR($I2910*INDEX(Config!$B:$B,MATCH($C2910,Config!$A:$A,0)),0),0))</f>
        <v/>
      </c>
      <c r="N2910" s="36" t="str">
        <f t="shared" si="2"/>
        <v/>
      </c>
      <c r="O2910" s="36" t="str">
        <f t="shared" si="3"/>
        <v/>
      </c>
      <c r="P2910" s="15"/>
      <c r="Q2910" s="37" t="str">
        <f t="shared" si="4"/>
        <v/>
      </c>
      <c r="R2910" s="37" t="str">
        <f t="shared" si="5"/>
        <v/>
      </c>
      <c r="S2910" s="32" t="str">
        <f t="shared" si="6"/>
        <v/>
      </c>
      <c r="T2910" s="37" t="str">
        <f t="shared" si="7"/>
        <v/>
      </c>
      <c r="U2910" s="37" t="str">
        <f t="array" ref="U2910">IF($F2910="","",IFERROR(INDEX(Config!$F:$F,MATCH($F2910,Config!$D:$D,0)),0))</f>
        <v/>
      </c>
    </row>
    <row r="2911" ht="15.0" customHeight="1">
      <c r="A2911" s="34"/>
      <c r="B2911" s="35"/>
      <c r="C2911" s="15"/>
      <c r="D2911" s="15"/>
      <c r="E2911" s="15"/>
      <c r="F2911" s="15"/>
      <c r="G2911" s="36" t="str">
        <f t="array" ref="G2911">IF($F2911="","",IFERROR(INDEX(Config!$E:$E,MATCH($F2911,Config!$D:$D,0)),0))</f>
        <v/>
      </c>
      <c r="H2911" s="16"/>
      <c r="I2911" s="36" t="str">
        <f t="shared" si="1"/>
        <v/>
      </c>
      <c r="J2911" s="16"/>
      <c r="K2911" s="15"/>
      <c r="L2911" s="15"/>
      <c r="M2911" s="36" t="str">
        <f t="array" ref="M2911">IF($A2911="","",IF($L2911="Atendido",IFERROR($I2911*INDEX(Config!$B:$B,MATCH($C2911,Config!$A:$A,0)),0),0))</f>
        <v/>
      </c>
      <c r="N2911" s="36" t="str">
        <f t="shared" si="2"/>
        <v/>
      </c>
      <c r="O2911" s="36" t="str">
        <f t="shared" si="3"/>
        <v/>
      </c>
      <c r="P2911" s="15"/>
      <c r="Q2911" s="37" t="str">
        <f t="shared" si="4"/>
        <v/>
      </c>
      <c r="R2911" s="37" t="str">
        <f t="shared" si="5"/>
        <v/>
      </c>
      <c r="S2911" s="32" t="str">
        <f t="shared" si="6"/>
        <v/>
      </c>
      <c r="T2911" s="37" t="str">
        <f t="shared" si="7"/>
        <v/>
      </c>
      <c r="U2911" s="37" t="str">
        <f t="array" ref="U2911">IF($F2911="","",IFERROR(INDEX(Config!$F:$F,MATCH($F2911,Config!$D:$D,0)),0))</f>
        <v/>
      </c>
    </row>
    <row r="2912" ht="15.0" customHeight="1">
      <c r="A2912" s="34"/>
      <c r="B2912" s="35"/>
      <c r="C2912" s="15"/>
      <c r="D2912" s="15"/>
      <c r="E2912" s="15"/>
      <c r="F2912" s="15"/>
      <c r="G2912" s="36" t="str">
        <f t="array" ref="G2912">IF($F2912="","",IFERROR(INDEX(Config!$E:$E,MATCH($F2912,Config!$D:$D,0)),0))</f>
        <v/>
      </c>
      <c r="H2912" s="16"/>
      <c r="I2912" s="36" t="str">
        <f t="shared" si="1"/>
        <v/>
      </c>
      <c r="J2912" s="16"/>
      <c r="K2912" s="15"/>
      <c r="L2912" s="15"/>
      <c r="M2912" s="36" t="str">
        <f t="array" ref="M2912">IF($A2912="","",IF($L2912="Atendido",IFERROR($I2912*INDEX(Config!$B:$B,MATCH($C2912,Config!$A:$A,0)),0),0))</f>
        <v/>
      </c>
      <c r="N2912" s="36" t="str">
        <f t="shared" si="2"/>
        <v/>
      </c>
      <c r="O2912" s="36" t="str">
        <f t="shared" si="3"/>
        <v/>
      </c>
      <c r="P2912" s="15"/>
      <c r="Q2912" s="37" t="str">
        <f t="shared" si="4"/>
        <v/>
      </c>
      <c r="R2912" s="37" t="str">
        <f t="shared" si="5"/>
        <v/>
      </c>
      <c r="S2912" s="32" t="str">
        <f t="shared" si="6"/>
        <v/>
      </c>
      <c r="T2912" s="37" t="str">
        <f t="shared" si="7"/>
        <v/>
      </c>
      <c r="U2912" s="37" t="str">
        <f t="array" ref="U2912">IF($F2912="","",IFERROR(INDEX(Config!$F:$F,MATCH($F2912,Config!$D:$D,0)),0))</f>
        <v/>
      </c>
    </row>
    <row r="2913" ht="15.0" customHeight="1">
      <c r="A2913" s="34"/>
      <c r="B2913" s="35"/>
      <c r="C2913" s="15"/>
      <c r="D2913" s="15"/>
      <c r="E2913" s="15"/>
      <c r="F2913" s="15"/>
      <c r="G2913" s="36" t="str">
        <f t="array" ref="G2913">IF($F2913="","",IFERROR(INDEX(Config!$E:$E,MATCH($F2913,Config!$D:$D,0)),0))</f>
        <v/>
      </c>
      <c r="H2913" s="16"/>
      <c r="I2913" s="36" t="str">
        <f t="shared" si="1"/>
        <v/>
      </c>
      <c r="J2913" s="16"/>
      <c r="K2913" s="15"/>
      <c r="L2913" s="15"/>
      <c r="M2913" s="36" t="str">
        <f t="array" ref="M2913">IF($A2913="","",IF($L2913="Atendido",IFERROR($I2913*INDEX(Config!$B:$B,MATCH($C2913,Config!$A:$A,0)),0),0))</f>
        <v/>
      </c>
      <c r="N2913" s="36" t="str">
        <f t="shared" si="2"/>
        <v/>
      </c>
      <c r="O2913" s="36" t="str">
        <f t="shared" si="3"/>
        <v/>
      </c>
      <c r="P2913" s="15"/>
      <c r="Q2913" s="37" t="str">
        <f t="shared" si="4"/>
        <v/>
      </c>
      <c r="R2913" s="37" t="str">
        <f t="shared" si="5"/>
        <v/>
      </c>
      <c r="S2913" s="32" t="str">
        <f t="shared" si="6"/>
        <v/>
      </c>
      <c r="T2913" s="37" t="str">
        <f t="shared" si="7"/>
        <v/>
      </c>
      <c r="U2913" s="37" t="str">
        <f t="array" ref="U2913">IF($F2913="","",IFERROR(INDEX(Config!$F:$F,MATCH($F2913,Config!$D:$D,0)),0))</f>
        <v/>
      </c>
    </row>
    <row r="2914" ht="15.0" customHeight="1">
      <c r="A2914" s="34"/>
      <c r="B2914" s="35"/>
      <c r="C2914" s="15"/>
      <c r="D2914" s="15"/>
      <c r="E2914" s="15"/>
      <c r="F2914" s="15"/>
      <c r="G2914" s="36" t="str">
        <f t="array" ref="G2914">IF($F2914="","",IFERROR(INDEX(Config!$E:$E,MATCH($F2914,Config!$D:$D,0)),0))</f>
        <v/>
      </c>
      <c r="H2914" s="16"/>
      <c r="I2914" s="36" t="str">
        <f t="shared" si="1"/>
        <v/>
      </c>
      <c r="J2914" s="16"/>
      <c r="K2914" s="15"/>
      <c r="L2914" s="15"/>
      <c r="M2914" s="36" t="str">
        <f t="array" ref="M2914">IF($A2914="","",IF($L2914="Atendido",IFERROR($I2914*INDEX(Config!$B:$B,MATCH($C2914,Config!$A:$A,0)),0),0))</f>
        <v/>
      </c>
      <c r="N2914" s="36" t="str">
        <f t="shared" si="2"/>
        <v/>
      </c>
      <c r="O2914" s="36" t="str">
        <f t="shared" si="3"/>
        <v/>
      </c>
      <c r="P2914" s="15"/>
      <c r="Q2914" s="37" t="str">
        <f t="shared" si="4"/>
        <v/>
      </c>
      <c r="R2914" s="37" t="str">
        <f t="shared" si="5"/>
        <v/>
      </c>
      <c r="S2914" s="32" t="str">
        <f t="shared" si="6"/>
        <v/>
      </c>
      <c r="T2914" s="37" t="str">
        <f t="shared" si="7"/>
        <v/>
      </c>
      <c r="U2914" s="37" t="str">
        <f t="array" ref="U2914">IF($F2914="","",IFERROR(INDEX(Config!$F:$F,MATCH($F2914,Config!$D:$D,0)),0))</f>
        <v/>
      </c>
    </row>
    <row r="2915" ht="15.0" customHeight="1">
      <c r="A2915" s="34"/>
      <c r="B2915" s="35"/>
      <c r="C2915" s="15"/>
      <c r="D2915" s="15"/>
      <c r="E2915" s="15"/>
      <c r="F2915" s="15"/>
      <c r="G2915" s="36" t="str">
        <f t="array" ref="G2915">IF($F2915="","",IFERROR(INDEX(Config!$E:$E,MATCH($F2915,Config!$D:$D,0)),0))</f>
        <v/>
      </c>
      <c r="H2915" s="16"/>
      <c r="I2915" s="36" t="str">
        <f t="shared" si="1"/>
        <v/>
      </c>
      <c r="J2915" s="16"/>
      <c r="K2915" s="15"/>
      <c r="L2915" s="15"/>
      <c r="M2915" s="36" t="str">
        <f t="array" ref="M2915">IF($A2915="","",IF($L2915="Atendido",IFERROR($I2915*INDEX(Config!$B:$B,MATCH($C2915,Config!$A:$A,0)),0),0))</f>
        <v/>
      </c>
      <c r="N2915" s="36" t="str">
        <f t="shared" si="2"/>
        <v/>
      </c>
      <c r="O2915" s="36" t="str">
        <f t="shared" si="3"/>
        <v/>
      </c>
      <c r="P2915" s="15"/>
      <c r="Q2915" s="37" t="str">
        <f t="shared" si="4"/>
        <v/>
      </c>
      <c r="R2915" s="37" t="str">
        <f t="shared" si="5"/>
        <v/>
      </c>
      <c r="S2915" s="32" t="str">
        <f t="shared" si="6"/>
        <v/>
      </c>
      <c r="T2915" s="37" t="str">
        <f t="shared" si="7"/>
        <v/>
      </c>
      <c r="U2915" s="37" t="str">
        <f t="array" ref="U2915">IF($F2915="","",IFERROR(INDEX(Config!$F:$F,MATCH($F2915,Config!$D:$D,0)),0))</f>
        <v/>
      </c>
    </row>
    <row r="2916" ht="15.0" customHeight="1">
      <c r="A2916" s="34"/>
      <c r="B2916" s="35"/>
      <c r="C2916" s="15"/>
      <c r="D2916" s="15"/>
      <c r="E2916" s="15"/>
      <c r="F2916" s="15"/>
      <c r="G2916" s="36" t="str">
        <f t="array" ref="G2916">IF($F2916="","",IFERROR(INDEX(Config!$E:$E,MATCH($F2916,Config!$D:$D,0)),0))</f>
        <v/>
      </c>
      <c r="H2916" s="16"/>
      <c r="I2916" s="36" t="str">
        <f t="shared" si="1"/>
        <v/>
      </c>
      <c r="J2916" s="16"/>
      <c r="K2916" s="15"/>
      <c r="L2916" s="15"/>
      <c r="M2916" s="36" t="str">
        <f t="array" ref="M2916">IF($A2916="","",IF($L2916="Atendido",IFERROR($I2916*INDEX(Config!$B:$B,MATCH($C2916,Config!$A:$A,0)),0),0))</f>
        <v/>
      </c>
      <c r="N2916" s="36" t="str">
        <f t="shared" si="2"/>
        <v/>
      </c>
      <c r="O2916" s="36" t="str">
        <f t="shared" si="3"/>
        <v/>
      </c>
      <c r="P2916" s="15"/>
      <c r="Q2916" s="37" t="str">
        <f t="shared" si="4"/>
        <v/>
      </c>
      <c r="R2916" s="37" t="str">
        <f t="shared" si="5"/>
        <v/>
      </c>
      <c r="S2916" s="32" t="str">
        <f t="shared" si="6"/>
        <v/>
      </c>
      <c r="T2916" s="37" t="str">
        <f t="shared" si="7"/>
        <v/>
      </c>
      <c r="U2916" s="37" t="str">
        <f t="array" ref="U2916">IF($F2916="","",IFERROR(INDEX(Config!$F:$F,MATCH($F2916,Config!$D:$D,0)),0))</f>
        <v/>
      </c>
    </row>
    <row r="2917" ht="15.0" customHeight="1">
      <c r="A2917" s="34"/>
      <c r="B2917" s="35"/>
      <c r="C2917" s="15"/>
      <c r="D2917" s="15"/>
      <c r="E2917" s="15"/>
      <c r="F2917" s="15"/>
      <c r="G2917" s="36" t="str">
        <f t="array" ref="G2917">IF($F2917="","",IFERROR(INDEX(Config!$E:$E,MATCH($F2917,Config!$D:$D,0)),0))</f>
        <v/>
      </c>
      <c r="H2917" s="16"/>
      <c r="I2917" s="36" t="str">
        <f t="shared" si="1"/>
        <v/>
      </c>
      <c r="J2917" s="16"/>
      <c r="K2917" s="15"/>
      <c r="L2917" s="15"/>
      <c r="M2917" s="36" t="str">
        <f t="array" ref="M2917">IF($A2917="","",IF($L2917="Atendido",IFERROR($I2917*INDEX(Config!$B:$B,MATCH($C2917,Config!$A:$A,0)),0),0))</f>
        <v/>
      </c>
      <c r="N2917" s="36" t="str">
        <f t="shared" si="2"/>
        <v/>
      </c>
      <c r="O2917" s="36" t="str">
        <f t="shared" si="3"/>
        <v/>
      </c>
      <c r="P2917" s="15"/>
      <c r="Q2917" s="37" t="str">
        <f t="shared" si="4"/>
        <v/>
      </c>
      <c r="R2917" s="37" t="str">
        <f t="shared" si="5"/>
        <v/>
      </c>
      <c r="S2917" s="32" t="str">
        <f t="shared" si="6"/>
        <v/>
      </c>
      <c r="T2917" s="37" t="str">
        <f t="shared" si="7"/>
        <v/>
      </c>
      <c r="U2917" s="37" t="str">
        <f t="array" ref="U2917">IF($F2917="","",IFERROR(INDEX(Config!$F:$F,MATCH($F2917,Config!$D:$D,0)),0))</f>
        <v/>
      </c>
    </row>
    <row r="2918" ht="15.0" customHeight="1">
      <c r="A2918" s="34"/>
      <c r="B2918" s="35"/>
      <c r="C2918" s="15"/>
      <c r="D2918" s="15"/>
      <c r="E2918" s="15"/>
      <c r="F2918" s="15"/>
      <c r="G2918" s="36" t="str">
        <f t="array" ref="G2918">IF($F2918="","",IFERROR(INDEX(Config!$E:$E,MATCH($F2918,Config!$D:$D,0)),0))</f>
        <v/>
      </c>
      <c r="H2918" s="16"/>
      <c r="I2918" s="36" t="str">
        <f t="shared" si="1"/>
        <v/>
      </c>
      <c r="J2918" s="16"/>
      <c r="K2918" s="15"/>
      <c r="L2918" s="15"/>
      <c r="M2918" s="36" t="str">
        <f t="array" ref="M2918">IF($A2918="","",IF($L2918="Atendido",IFERROR($I2918*INDEX(Config!$B:$B,MATCH($C2918,Config!$A:$A,0)),0),0))</f>
        <v/>
      </c>
      <c r="N2918" s="36" t="str">
        <f t="shared" si="2"/>
        <v/>
      </c>
      <c r="O2918" s="36" t="str">
        <f t="shared" si="3"/>
        <v/>
      </c>
      <c r="P2918" s="15"/>
      <c r="Q2918" s="37" t="str">
        <f t="shared" si="4"/>
        <v/>
      </c>
      <c r="R2918" s="37" t="str">
        <f t="shared" si="5"/>
        <v/>
      </c>
      <c r="S2918" s="32" t="str">
        <f t="shared" si="6"/>
        <v/>
      </c>
      <c r="T2918" s="37" t="str">
        <f t="shared" si="7"/>
        <v/>
      </c>
      <c r="U2918" s="37" t="str">
        <f t="array" ref="U2918">IF($F2918="","",IFERROR(INDEX(Config!$F:$F,MATCH($F2918,Config!$D:$D,0)),0))</f>
        <v/>
      </c>
    </row>
    <row r="2919" ht="15.0" customHeight="1">
      <c r="A2919" s="34"/>
      <c r="B2919" s="35"/>
      <c r="C2919" s="15"/>
      <c r="D2919" s="15"/>
      <c r="E2919" s="15"/>
      <c r="F2919" s="15"/>
      <c r="G2919" s="36" t="str">
        <f t="array" ref="G2919">IF($F2919="","",IFERROR(INDEX(Config!$E:$E,MATCH($F2919,Config!$D:$D,0)),0))</f>
        <v/>
      </c>
      <c r="H2919" s="16"/>
      <c r="I2919" s="36" t="str">
        <f t="shared" si="1"/>
        <v/>
      </c>
      <c r="J2919" s="16"/>
      <c r="K2919" s="15"/>
      <c r="L2919" s="15"/>
      <c r="M2919" s="36" t="str">
        <f t="array" ref="M2919">IF($A2919="","",IF($L2919="Atendido",IFERROR($I2919*INDEX(Config!$B:$B,MATCH($C2919,Config!$A:$A,0)),0),0))</f>
        <v/>
      </c>
      <c r="N2919" s="36" t="str">
        <f t="shared" si="2"/>
        <v/>
      </c>
      <c r="O2919" s="36" t="str">
        <f t="shared" si="3"/>
        <v/>
      </c>
      <c r="P2919" s="15"/>
      <c r="Q2919" s="37" t="str">
        <f t="shared" si="4"/>
        <v/>
      </c>
      <c r="R2919" s="37" t="str">
        <f t="shared" si="5"/>
        <v/>
      </c>
      <c r="S2919" s="32" t="str">
        <f t="shared" si="6"/>
        <v/>
      </c>
      <c r="T2919" s="37" t="str">
        <f t="shared" si="7"/>
        <v/>
      </c>
      <c r="U2919" s="37" t="str">
        <f t="array" ref="U2919">IF($F2919="","",IFERROR(INDEX(Config!$F:$F,MATCH($F2919,Config!$D:$D,0)),0))</f>
        <v/>
      </c>
    </row>
    <row r="2920" ht="15.0" customHeight="1">
      <c r="A2920" s="34"/>
      <c r="B2920" s="35"/>
      <c r="C2920" s="15"/>
      <c r="D2920" s="15"/>
      <c r="E2920" s="15"/>
      <c r="F2920" s="15"/>
      <c r="G2920" s="36" t="str">
        <f t="array" ref="G2920">IF($F2920="","",IFERROR(INDEX(Config!$E:$E,MATCH($F2920,Config!$D:$D,0)),0))</f>
        <v/>
      </c>
      <c r="H2920" s="16"/>
      <c r="I2920" s="36" t="str">
        <f t="shared" si="1"/>
        <v/>
      </c>
      <c r="J2920" s="16"/>
      <c r="K2920" s="15"/>
      <c r="L2920" s="15"/>
      <c r="M2920" s="36" t="str">
        <f t="array" ref="M2920">IF($A2920="","",IF($L2920="Atendido",IFERROR($I2920*INDEX(Config!$B:$B,MATCH($C2920,Config!$A:$A,0)),0),0))</f>
        <v/>
      </c>
      <c r="N2920" s="36" t="str">
        <f t="shared" si="2"/>
        <v/>
      </c>
      <c r="O2920" s="36" t="str">
        <f t="shared" si="3"/>
        <v/>
      </c>
      <c r="P2920" s="15"/>
      <c r="Q2920" s="37" t="str">
        <f t="shared" si="4"/>
        <v/>
      </c>
      <c r="R2920" s="37" t="str">
        <f t="shared" si="5"/>
        <v/>
      </c>
      <c r="S2920" s="32" t="str">
        <f t="shared" si="6"/>
        <v/>
      </c>
      <c r="T2920" s="37" t="str">
        <f t="shared" si="7"/>
        <v/>
      </c>
      <c r="U2920" s="37" t="str">
        <f t="array" ref="U2920">IF($F2920="","",IFERROR(INDEX(Config!$F:$F,MATCH($F2920,Config!$D:$D,0)),0))</f>
        <v/>
      </c>
    </row>
    <row r="2921" ht="15.0" customHeight="1">
      <c r="A2921" s="34"/>
      <c r="B2921" s="35"/>
      <c r="C2921" s="15"/>
      <c r="D2921" s="15"/>
      <c r="E2921" s="15"/>
      <c r="F2921" s="15"/>
      <c r="G2921" s="36" t="str">
        <f t="array" ref="G2921">IF($F2921="","",IFERROR(INDEX(Config!$E:$E,MATCH($F2921,Config!$D:$D,0)),0))</f>
        <v/>
      </c>
      <c r="H2921" s="16"/>
      <c r="I2921" s="36" t="str">
        <f t="shared" si="1"/>
        <v/>
      </c>
      <c r="J2921" s="16"/>
      <c r="K2921" s="15"/>
      <c r="L2921" s="15"/>
      <c r="M2921" s="36" t="str">
        <f t="array" ref="M2921">IF($A2921="","",IF($L2921="Atendido",IFERROR($I2921*INDEX(Config!$B:$B,MATCH($C2921,Config!$A:$A,0)),0),0))</f>
        <v/>
      </c>
      <c r="N2921" s="36" t="str">
        <f t="shared" si="2"/>
        <v/>
      </c>
      <c r="O2921" s="36" t="str">
        <f t="shared" si="3"/>
        <v/>
      </c>
      <c r="P2921" s="15"/>
      <c r="Q2921" s="37" t="str">
        <f t="shared" si="4"/>
        <v/>
      </c>
      <c r="R2921" s="37" t="str">
        <f t="shared" si="5"/>
        <v/>
      </c>
      <c r="S2921" s="32" t="str">
        <f t="shared" si="6"/>
        <v/>
      </c>
      <c r="T2921" s="37" t="str">
        <f t="shared" si="7"/>
        <v/>
      </c>
      <c r="U2921" s="37" t="str">
        <f t="array" ref="U2921">IF($F2921="","",IFERROR(INDEX(Config!$F:$F,MATCH($F2921,Config!$D:$D,0)),0))</f>
        <v/>
      </c>
    </row>
    <row r="2922" ht="15.0" customHeight="1">
      <c r="A2922" s="34"/>
      <c r="B2922" s="35"/>
      <c r="C2922" s="15"/>
      <c r="D2922" s="15"/>
      <c r="E2922" s="15"/>
      <c r="F2922" s="15"/>
      <c r="G2922" s="36" t="str">
        <f t="array" ref="G2922">IF($F2922="","",IFERROR(INDEX(Config!$E:$E,MATCH($F2922,Config!$D:$D,0)),0))</f>
        <v/>
      </c>
      <c r="H2922" s="16"/>
      <c r="I2922" s="36" t="str">
        <f t="shared" si="1"/>
        <v/>
      </c>
      <c r="J2922" s="16"/>
      <c r="K2922" s="15"/>
      <c r="L2922" s="15"/>
      <c r="M2922" s="36" t="str">
        <f t="array" ref="M2922">IF($A2922="","",IF($L2922="Atendido",IFERROR($I2922*INDEX(Config!$B:$B,MATCH($C2922,Config!$A:$A,0)),0),0))</f>
        <v/>
      </c>
      <c r="N2922" s="36" t="str">
        <f t="shared" si="2"/>
        <v/>
      </c>
      <c r="O2922" s="36" t="str">
        <f t="shared" si="3"/>
        <v/>
      </c>
      <c r="P2922" s="15"/>
      <c r="Q2922" s="37" t="str">
        <f t="shared" si="4"/>
        <v/>
      </c>
      <c r="R2922" s="37" t="str">
        <f t="shared" si="5"/>
        <v/>
      </c>
      <c r="S2922" s="32" t="str">
        <f t="shared" si="6"/>
        <v/>
      </c>
      <c r="T2922" s="37" t="str">
        <f t="shared" si="7"/>
        <v/>
      </c>
      <c r="U2922" s="37" t="str">
        <f t="array" ref="U2922">IF($F2922="","",IFERROR(INDEX(Config!$F:$F,MATCH($F2922,Config!$D:$D,0)),0))</f>
        <v/>
      </c>
    </row>
    <row r="2923" ht="15.0" customHeight="1">
      <c r="A2923" s="34"/>
      <c r="B2923" s="35"/>
      <c r="C2923" s="15"/>
      <c r="D2923" s="15"/>
      <c r="E2923" s="15"/>
      <c r="F2923" s="15"/>
      <c r="G2923" s="36" t="str">
        <f t="array" ref="G2923">IF($F2923="","",IFERROR(INDEX(Config!$E:$E,MATCH($F2923,Config!$D:$D,0)),0))</f>
        <v/>
      </c>
      <c r="H2923" s="16"/>
      <c r="I2923" s="36" t="str">
        <f t="shared" si="1"/>
        <v/>
      </c>
      <c r="J2923" s="16"/>
      <c r="K2923" s="15"/>
      <c r="L2923" s="15"/>
      <c r="M2923" s="36" t="str">
        <f t="array" ref="M2923">IF($A2923="","",IF($L2923="Atendido",IFERROR($I2923*INDEX(Config!$B:$B,MATCH($C2923,Config!$A:$A,0)),0),0))</f>
        <v/>
      </c>
      <c r="N2923" s="36" t="str">
        <f t="shared" si="2"/>
        <v/>
      </c>
      <c r="O2923" s="36" t="str">
        <f t="shared" si="3"/>
        <v/>
      </c>
      <c r="P2923" s="15"/>
      <c r="Q2923" s="37" t="str">
        <f t="shared" si="4"/>
        <v/>
      </c>
      <c r="R2923" s="37" t="str">
        <f t="shared" si="5"/>
        <v/>
      </c>
      <c r="S2923" s="32" t="str">
        <f t="shared" si="6"/>
        <v/>
      </c>
      <c r="T2923" s="37" t="str">
        <f t="shared" si="7"/>
        <v/>
      </c>
      <c r="U2923" s="37" t="str">
        <f t="array" ref="U2923">IF($F2923="","",IFERROR(INDEX(Config!$F:$F,MATCH($F2923,Config!$D:$D,0)),0))</f>
        <v/>
      </c>
    </row>
    <row r="2924" ht="15.0" customHeight="1">
      <c r="A2924" s="34"/>
      <c r="B2924" s="35"/>
      <c r="C2924" s="15"/>
      <c r="D2924" s="15"/>
      <c r="E2924" s="15"/>
      <c r="F2924" s="15"/>
      <c r="G2924" s="36" t="str">
        <f t="array" ref="G2924">IF($F2924="","",IFERROR(INDEX(Config!$E:$E,MATCH($F2924,Config!$D:$D,0)),0))</f>
        <v/>
      </c>
      <c r="H2924" s="16"/>
      <c r="I2924" s="36" t="str">
        <f t="shared" si="1"/>
        <v/>
      </c>
      <c r="J2924" s="16"/>
      <c r="K2924" s="15"/>
      <c r="L2924" s="15"/>
      <c r="M2924" s="36" t="str">
        <f t="array" ref="M2924">IF($A2924="","",IF($L2924="Atendido",IFERROR($I2924*INDEX(Config!$B:$B,MATCH($C2924,Config!$A:$A,0)),0),0))</f>
        <v/>
      </c>
      <c r="N2924" s="36" t="str">
        <f t="shared" si="2"/>
        <v/>
      </c>
      <c r="O2924" s="36" t="str">
        <f t="shared" si="3"/>
        <v/>
      </c>
      <c r="P2924" s="15"/>
      <c r="Q2924" s="37" t="str">
        <f t="shared" si="4"/>
        <v/>
      </c>
      <c r="R2924" s="37" t="str">
        <f t="shared" si="5"/>
        <v/>
      </c>
      <c r="S2924" s="32" t="str">
        <f t="shared" si="6"/>
        <v/>
      </c>
      <c r="T2924" s="37" t="str">
        <f t="shared" si="7"/>
        <v/>
      </c>
      <c r="U2924" s="37" t="str">
        <f t="array" ref="U2924">IF($F2924="","",IFERROR(INDEX(Config!$F:$F,MATCH($F2924,Config!$D:$D,0)),0))</f>
        <v/>
      </c>
    </row>
    <row r="2925" ht="15.0" customHeight="1">
      <c r="A2925" s="34"/>
      <c r="B2925" s="35"/>
      <c r="C2925" s="15"/>
      <c r="D2925" s="15"/>
      <c r="E2925" s="15"/>
      <c r="F2925" s="15"/>
      <c r="G2925" s="36" t="str">
        <f t="array" ref="G2925">IF($F2925="","",IFERROR(INDEX(Config!$E:$E,MATCH($F2925,Config!$D:$D,0)),0))</f>
        <v/>
      </c>
      <c r="H2925" s="16"/>
      <c r="I2925" s="36" t="str">
        <f t="shared" si="1"/>
        <v/>
      </c>
      <c r="J2925" s="16"/>
      <c r="K2925" s="15"/>
      <c r="L2925" s="15"/>
      <c r="M2925" s="36" t="str">
        <f t="array" ref="M2925">IF($A2925="","",IF($L2925="Atendido",IFERROR($I2925*INDEX(Config!$B:$B,MATCH($C2925,Config!$A:$A,0)),0),0))</f>
        <v/>
      </c>
      <c r="N2925" s="36" t="str">
        <f t="shared" si="2"/>
        <v/>
      </c>
      <c r="O2925" s="36" t="str">
        <f t="shared" si="3"/>
        <v/>
      </c>
      <c r="P2925" s="15"/>
      <c r="Q2925" s="37" t="str">
        <f t="shared" si="4"/>
        <v/>
      </c>
      <c r="R2925" s="37" t="str">
        <f t="shared" si="5"/>
        <v/>
      </c>
      <c r="S2925" s="32" t="str">
        <f t="shared" si="6"/>
        <v/>
      </c>
      <c r="T2925" s="37" t="str">
        <f t="shared" si="7"/>
        <v/>
      </c>
      <c r="U2925" s="37" t="str">
        <f t="array" ref="U2925">IF($F2925="","",IFERROR(INDEX(Config!$F:$F,MATCH($F2925,Config!$D:$D,0)),0))</f>
        <v/>
      </c>
    </row>
    <row r="2926" ht="15.0" customHeight="1">
      <c r="A2926" s="34"/>
      <c r="B2926" s="35"/>
      <c r="C2926" s="15"/>
      <c r="D2926" s="15"/>
      <c r="E2926" s="15"/>
      <c r="F2926" s="15"/>
      <c r="G2926" s="36" t="str">
        <f t="array" ref="G2926">IF($F2926="","",IFERROR(INDEX(Config!$E:$E,MATCH($F2926,Config!$D:$D,0)),0))</f>
        <v/>
      </c>
      <c r="H2926" s="16"/>
      <c r="I2926" s="36" t="str">
        <f t="shared" si="1"/>
        <v/>
      </c>
      <c r="J2926" s="16"/>
      <c r="K2926" s="15"/>
      <c r="L2926" s="15"/>
      <c r="M2926" s="36" t="str">
        <f t="array" ref="M2926">IF($A2926="","",IF($L2926="Atendido",IFERROR($I2926*INDEX(Config!$B:$B,MATCH($C2926,Config!$A:$A,0)),0),0))</f>
        <v/>
      </c>
      <c r="N2926" s="36" t="str">
        <f t="shared" si="2"/>
        <v/>
      </c>
      <c r="O2926" s="36" t="str">
        <f t="shared" si="3"/>
        <v/>
      </c>
      <c r="P2926" s="15"/>
      <c r="Q2926" s="37" t="str">
        <f t="shared" si="4"/>
        <v/>
      </c>
      <c r="R2926" s="37" t="str">
        <f t="shared" si="5"/>
        <v/>
      </c>
      <c r="S2926" s="32" t="str">
        <f t="shared" si="6"/>
        <v/>
      </c>
      <c r="T2926" s="37" t="str">
        <f t="shared" si="7"/>
        <v/>
      </c>
      <c r="U2926" s="37" t="str">
        <f t="array" ref="U2926">IF($F2926="","",IFERROR(INDEX(Config!$F:$F,MATCH($F2926,Config!$D:$D,0)),0))</f>
        <v/>
      </c>
    </row>
    <row r="2927" ht="15.0" customHeight="1">
      <c r="A2927" s="34"/>
      <c r="B2927" s="35"/>
      <c r="C2927" s="15"/>
      <c r="D2927" s="15"/>
      <c r="E2927" s="15"/>
      <c r="F2927" s="15"/>
      <c r="G2927" s="36" t="str">
        <f t="array" ref="G2927">IF($F2927="","",IFERROR(INDEX(Config!$E:$E,MATCH($F2927,Config!$D:$D,0)),0))</f>
        <v/>
      </c>
      <c r="H2927" s="16"/>
      <c r="I2927" s="36" t="str">
        <f t="shared" si="1"/>
        <v/>
      </c>
      <c r="J2927" s="16"/>
      <c r="K2927" s="15"/>
      <c r="L2927" s="15"/>
      <c r="M2927" s="36" t="str">
        <f t="array" ref="M2927">IF($A2927="","",IF($L2927="Atendido",IFERROR($I2927*INDEX(Config!$B:$B,MATCH($C2927,Config!$A:$A,0)),0),0))</f>
        <v/>
      </c>
      <c r="N2927" s="36" t="str">
        <f t="shared" si="2"/>
        <v/>
      </c>
      <c r="O2927" s="36" t="str">
        <f t="shared" si="3"/>
        <v/>
      </c>
      <c r="P2927" s="15"/>
      <c r="Q2927" s="37" t="str">
        <f t="shared" si="4"/>
        <v/>
      </c>
      <c r="R2927" s="37" t="str">
        <f t="shared" si="5"/>
        <v/>
      </c>
      <c r="S2927" s="32" t="str">
        <f t="shared" si="6"/>
        <v/>
      </c>
      <c r="T2927" s="37" t="str">
        <f t="shared" si="7"/>
        <v/>
      </c>
      <c r="U2927" s="37" t="str">
        <f t="array" ref="U2927">IF($F2927="","",IFERROR(INDEX(Config!$F:$F,MATCH($F2927,Config!$D:$D,0)),0))</f>
        <v/>
      </c>
    </row>
    <row r="2928" ht="15.0" customHeight="1">
      <c r="A2928" s="34"/>
      <c r="B2928" s="35"/>
      <c r="C2928" s="15"/>
      <c r="D2928" s="15"/>
      <c r="E2928" s="15"/>
      <c r="F2928" s="15"/>
      <c r="G2928" s="36" t="str">
        <f t="array" ref="G2928">IF($F2928="","",IFERROR(INDEX(Config!$E:$E,MATCH($F2928,Config!$D:$D,0)),0))</f>
        <v/>
      </c>
      <c r="H2928" s="16"/>
      <c r="I2928" s="36" t="str">
        <f t="shared" si="1"/>
        <v/>
      </c>
      <c r="J2928" s="16"/>
      <c r="K2928" s="15"/>
      <c r="L2928" s="15"/>
      <c r="M2928" s="36" t="str">
        <f t="array" ref="M2928">IF($A2928="","",IF($L2928="Atendido",IFERROR($I2928*INDEX(Config!$B:$B,MATCH($C2928,Config!$A:$A,0)),0),0))</f>
        <v/>
      </c>
      <c r="N2928" s="36" t="str">
        <f t="shared" si="2"/>
        <v/>
      </c>
      <c r="O2928" s="36" t="str">
        <f t="shared" si="3"/>
        <v/>
      </c>
      <c r="P2928" s="15"/>
      <c r="Q2928" s="37" t="str">
        <f t="shared" si="4"/>
        <v/>
      </c>
      <c r="R2928" s="37" t="str">
        <f t="shared" si="5"/>
        <v/>
      </c>
      <c r="S2928" s="32" t="str">
        <f t="shared" si="6"/>
        <v/>
      </c>
      <c r="T2928" s="37" t="str">
        <f t="shared" si="7"/>
        <v/>
      </c>
      <c r="U2928" s="37" t="str">
        <f t="array" ref="U2928">IF($F2928="","",IFERROR(INDEX(Config!$F:$F,MATCH($F2928,Config!$D:$D,0)),0))</f>
        <v/>
      </c>
    </row>
    <row r="2929" ht="15.0" customHeight="1">
      <c r="A2929" s="34"/>
      <c r="B2929" s="35"/>
      <c r="C2929" s="15"/>
      <c r="D2929" s="15"/>
      <c r="E2929" s="15"/>
      <c r="F2929" s="15"/>
      <c r="G2929" s="36" t="str">
        <f t="array" ref="G2929">IF($F2929="","",IFERROR(INDEX(Config!$E:$E,MATCH($F2929,Config!$D:$D,0)),0))</f>
        <v/>
      </c>
      <c r="H2929" s="16"/>
      <c r="I2929" s="36" t="str">
        <f t="shared" si="1"/>
        <v/>
      </c>
      <c r="J2929" s="16"/>
      <c r="K2929" s="15"/>
      <c r="L2929" s="15"/>
      <c r="M2929" s="36" t="str">
        <f t="array" ref="M2929">IF($A2929="","",IF($L2929="Atendido",IFERROR($I2929*INDEX(Config!$B:$B,MATCH($C2929,Config!$A:$A,0)),0),0))</f>
        <v/>
      </c>
      <c r="N2929" s="36" t="str">
        <f t="shared" si="2"/>
        <v/>
      </c>
      <c r="O2929" s="36" t="str">
        <f t="shared" si="3"/>
        <v/>
      </c>
      <c r="P2929" s="15"/>
      <c r="Q2929" s="37" t="str">
        <f t="shared" si="4"/>
        <v/>
      </c>
      <c r="R2929" s="37" t="str">
        <f t="shared" si="5"/>
        <v/>
      </c>
      <c r="S2929" s="32" t="str">
        <f t="shared" si="6"/>
        <v/>
      </c>
      <c r="T2929" s="37" t="str">
        <f t="shared" si="7"/>
        <v/>
      </c>
      <c r="U2929" s="37" t="str">
        <f t="array" ref="U2929">IF($F2929="","",IFERROR(INDEX(Config!$F:$F,MATCH($F2929,Config!$D:$D,0)),0))</f>
        <v/>
      </c>
    </row>
    <row r="2930" ht="15.0" customHeight="1">
      <c r="A2930" s="34"/>
      <c r="B2930" s="35"/>
      <c r="C2930" s="15"/>
      <c r="D2930" s="15"/>
      <c r="E2930" s="15"/>
      <c r="F2930" s="15"/>
      <c r="G2930" s="36" t="str">
        <f t="array" ref="G2930">IF($F2930="","",IFERROR(INDEX(Config!$E:$E,MATCH($F2930,Config!$D:$D,0)),0))</f>
        <v/>
      </c>
      <c r="H2930" s="16"/>
      <c r="I2930" s="36" t="str">
        <f t="shared" si="1"/>
        <v/>
      </c>
      <c r="J2930" s="16"/>
      <c r="K2930" s="15"/>
      <c r="L2930" s="15"/>
      <c r="M2930" s="36" t="str">
        <f t="array" ref="M2930">IF($A2930="","",IF($L2930="Atendido",IFERROR($I2930*INDEX(Config!$B:$B,MATCH($C2930,Config!$A:$A,0)),0),0))</f>
        <v/>
      </c>
      <c r="N2930" s="36" t="str">
        <f t="shared" si="2"/>
        <v/>
      </c>
      <c r="O2930" s="36" t="str">
        <f t="shared" si="3"/>
        <v/>
      </c>
      <c r="P2930" s="15"/>
      <c r="Q2930" s="37" t="str">
        <f t="shared" si="4"/>
        <v/>
      </c>
      <c r="R2930" s="37" t="str">
        <f t="shared" si="5"/>
        <v/>
      </c>
      <c r="S2930" s="32" t="str">
        <f t="shared" si="6"/>
        <v/>
      </c>
      <c r="T2930" s="37" t="str">
        <f t="shared" si="7"/>
        <v/>
      </c>
      <c r="U2930" s="37" t="str">
        <f t="array" ref="U2930">IF($F2930="","",IFERROR(INDEX(Config!$F:$F,MATCH($F2930,Config!$D:$D,0)),0))</f>
        <v/>
      </c>
    </row>
    <row r="2931" ht="15.0" customHeight="1">
      <c r="A2931" s="34"/>
      <c r="B2931" s="35"/>
      <c r="C2931" s="15"/>
      <c r="D2931" s="15"/>
      <c r="E2931" s="15"/>
      <c r="F2931" s="15"/>
      <c r="G2931" s="36" t="str">
        <f t="array" ref="G2931">IF($F2931="","",IFERROR(INDEX(Config!$E:$E,MATCH($F2931,Config!$D:$D,0)),0))</f>
        <v/>
      </c>
      <c r="H2931" s="16"/>
      <c r="I2931" s="36" t="str">
        <f t="shared" si="1"/>
        <v/>
      </c>
      <c r="J2931" s="16"/>
      <c r="K2931" s="15"/>
      <c r="L2931" s="15"/>
      <c r="M2931" s="36" t="str">
        <f t="array" ref="M2931">IF($A2931="","",IF($L2931="Atendido",IFERROR($I2931*INDEX(Config!$B:$B,MATCH($C2931,Config!$A:$A,0)),0),0))</f>
        <v/>
      </c>
      <c r="N2931" s="36" t="str">
        <f t="shared" si="2"/>
        <v/>
      </c>
      <c r="O2931" s="36" t="str">
        <f t="shared" si="3"/>
        <v/>
      </c>
      <c r="P2931" s="15"/>
      <c r="Q2931" s="37" t="str">
        <f t="shared" si="4"/>
        <v/>
      </c>
      <c r="R2931" s="37" t="str">
        <f t="shared" si="5"/>
        <v/>
      </c>
      <c r="S2931" s="32" t="str">
        <f t="shared" si="6"/>
        <v/>
      </c>
      <c r="T2931" s="37" t="str">
        <f t="shared" si="7"/>
        <v/>
      </c>
      <c r="U2931" s="37" t="str">
        <f t="array" ref="U2931">IF($F2931="","",IFERROR(INDEX(Config!$F:$F,MATCH($F2931,Config!$D:$D,0)),0))</f>
        <v/>
      </c>
    </row>
    <row r="2932" ht="15.0" customHeight="1">
      <c r="A2932" s="34"/>
      <c r="B2932" s="35"/>
      <c r="C2932" s="15"/>
      <c r="D2932" s="15"/>
      <c r="E2932" s="15"/>
      <c r="F2932" s="15"/>
      <c r="G2932" s="36" t="str">
        <f t="array" ref="G2932">IF($F2932="","",IFERROR(INDEX(Config!$E:$E,MATCH($F2932,Config!$D:$D,0)),0))</f>
        <v/>
      </c>
      <c r="H2932" s="16"/>
      <c r="I2932" s="36" t="str">
        <f t="shared" si="1"/>
        <v/>
      </c>
      <c r="J2932" s="16"/>
      <c r="K2932" s="15"/>
      <c r="L2932" s="15"/>
      <c r="M2932" s="36" t="str">
        <f t="array" ref="M2932">IF($A2932="","",IF($L2932="Atendido",IFERROR($I2932*INDEX(Config!$B:$B,MATCH($C2932,Config!$A:$A,0)),0),0))</f>
        <v/>
      </c>
      <c r="N2932" s="36" t="str">
        <f t="shared" si="2"/>
        <v/>
      </c>
      <c r="O2932" s="36" t="str">
        <f t="shared" si="3"/>
        <v/>
      </c>
      <c r="P2932" s="15"/>
      <c r="Q2932" s="37" t="str">
        <f t="shared" si="4"/>
        <v/>
      </c>
      <c r="R2932" s="37" t="str">
        <f t="shared" si="5"/>
        <v/>
      </c>
      <c r="S2932" s="32" t="str">
        <f t="shared" si="6"/>
        <v/>
      </c>
      <c r="T2932" s="37" t="str">
        <f t="shared" si="7"/>
        <v/>
      </c>
      <c r="U2932" s="37" t="str">
        <f t="array" ref="U2932">IF($F2932="","",IFERROR(INDEX(Config!$F:$F,MATCH($F2932,Config!$D:$D,0)),0))</f>
        <v/>
      </c>
    </row>
    <row r="2933" ht="15.0" customHeight="1">
      <c r="A2933" s="34"/>
      <c r="B2933" s="35"/>
      <c r="C2933" s="15"/>
      <c r="D2933" s="15"/>
      <c r="E2933" s="15"/>
      <c r="F2933" s="15"/>
      <c r="G2933" s="36" t="str">
        <f t="array" ref="G2933">IF($F2933="","",IFERROR(INDEX(Config!$E:$E,MATCH($F2933,Config!$D:$D,0)),0))</f>
        <v/>
      </c>
      <c r="H2933" s="16"/>
      <c r="I2933" s="36" t="str">
        <f t="shared" si="1"/>
        <v/>
      </c>
      <c r="J2933" s="16"/>
      <c r="K2933" s="15"/>
      <c r="L2933" s="15"/>
      <c r="M2933" s="36" t="str">
        <f t="array" ref="M2933">IF($A2933="","",IF($L2933="Atendido",IFERROR($I2933*INDEX(Config!$B:$B,MATCH($C2933,Config!$A:$A,0)),0),0))</f>
        <v/>
      </c>
      <c r="N2933" s="36" t="str">
        <f t="shared" si="2"/>
        <v/>
      </c>
      <c r="O2933" s="36" t="str">
        <f t="shared" si="3"/>
        <v/>
      </c>
      <c r="P2933" s="15"/>
      <c r="Q2933" s="37" t="str">
        <f t="shared" si="4"/>
        <v/>
      </c>
      <c r="R2933" s="37" t="str">
        <f t="shared" si="5"/>
        <v/>
      </c>
      <c r="S2933" s="32" t="str">
        <f t="shared" si="6"/>
        <v/>
      </c>
      <c r="T2933" s="37" t="str">
        <f t="shared" si="7"/>
        <v/>
      </c>
      <c r="U2933" s="37" t="str">
        <f t="array" ref="U2933">IF($F2933="","",IFERROR(INDEX(Config!$F:$F,MATCH($F2933,Config!$D:$D,0)),0))</f>
        <v/>
      </c>
    </row>
    <row r="2934" ht="15.0" customHeight="1">
      <c r="A2934" s="34"/>
      <c r="B2934" s="35"/>
      <c r="C2934" s="15"/>
      <c r="D2934" s="15"/>
      <c r="E2934" s="15"/>
      <c r="F2934" s="15"/>
      <c r="G2934" s="36" t="str">
        <f t="array" ref="G2934">IF($F2934="","",IFERROR(INDEX(Config!$E:$E,MATCH($F2934,Config!$D:$D,0)),0))</f>
        <v/>
      </c>
      <c r="H2934" s="16"/>
      <c r="I2934" s="36" t="str">
        <f t="shared" si="1"/>
        <v/>
      </c>
      <c r="J2934" s="16"/>
      <c r="K2934" s="15"/>
      <c r="L2934" s="15"/>
      <c r="M2934" s="36" t="str">
        <f t="array" ref="M2934">IF($A2934="","",IF($L2934="Atendido",IFERROR($I2934*INDEX(Config!$B:$B,MATCH($C2934,Config!$A:$A,0)),0),0))</f>
        <v/>
      </c>
      <c r="N2934" s="36" t="str">
        <f t="shared" si="2"/>
        <v/>
      </c>
      <c r="O2934" s="36" t="str">
        <f t="shared" si="3"/>
        <v/>
      </c>
      <c r="P2934" s="15"/>
      <c r="Q2934" s="37" t="str">
        <f t="shared" si="4"/>
        <v/>
      </c>
      <c r="R2934" s="37" t="str">
        <f t="shared" si="5"/>
        <v/>
      </c>
      <c r="S2934" s="32" t="str">
        <f t="shared" si="6"/>
        <v/>
      </c>
      <c r="T2934" s="37" t="str">
        <f t="shared" si="7"/>
        <v/>
      </c>
      <c r="U2934" s="37" t="str">
        <f t="array" ref="U2934">IF($F2934="","",IFERROR(INDEX(Config!$F:$F,MATCH($F2934,Config!$D:$D,0)),0))</f>
        <v/>
      </c>
    </row>
    <row r="2935" ht="15.0" customHeight="1">
      <c r="A2935" s="34"/>
      <c r="B2935" s="35"/>
      <c r="C2935" s="15"/>
      <c r="D2935" s="15"/>
      <c r="E2935" s="15"/>
      <c r="F2935" s="15"/>
      <c r="G2935" s="36" t="str">
        <f t="array" ref="G2935">IF($F2935="","",IFERROR(INDEX(Config!$E:$E,MATCH($F2935,Config!$D:$D,0)),0))</f>
        <v/>
      </c>
      <c r="H2935" s="16"/>
      <c r="I2935" s="36" t="str">
        <f t="shared" si="1"/>
        <v/>
      </c>
      <c r="J2935" s="16"/>
      <c r="K2935" s="15"/>
      <c r="L2935" s="15"/>
      <c r="M2935" s="36" t="str">
        <f t="array" ref="M2935">IF($A2935="","",IF($L2935="Atendido",IFERROR($I2935*INDEX(Config!$B:$B,MATCH($C2935,Config!$A:$A,0)),0),0))</f>
        <v/>
      </c>
      <c r="N2935" s="36" t="str">
        <f t="shared" si="2"/>
        <v/>
      </c>
      <c r="O2935" s="36" t="str">
        <f t="shared" si="3"/>
        <v/>
      </c>
      <c r="P2935" s="15"/>
      <c r="Q2935" s="37" t="str">
        <f t="shared" si="4"/>
        <v/>
      </c>
      <c r="R2935" s="37" t="str">
        <f t="shared" si="5"/>
        <v/>
      </c>
      <c r="S2935" s="32" t="str">
        <f t="shared" si="6"/>
        <v/>
      </c>
      <c r="T2935" s="37" t="str">
        <f t="shared" si="7"/>
        <v/>
      </c>
      <c r="U2935" s="37" t="str">
        <f t="array" ref="U2935">IF($F2935="","",IFERROR(INDEX(Config!$F:$F,MATCH($F2935,Config!$D:$D,0)),0))</f>
        <v/>
      </c>
    </row>
    <row r="2936" ht="15.0" customHeight="1">
      <c r="A2936" s="34"/>
      <c r="B2936" s="35"/>
      <c r="C2936" s="15"/>
      <c r="D2936" s="15"/>
      <c r="E2936" s="15"/>
      <c r="F2936" s="15"/>
      <c r="G2936" s="36" t="str">
        <f t="array" ref="G2936">IF($F2936="","",IFERROR(INDEX(Config!$E:$E,MATCH($F2936,Config!$D:$D,0)),0))</f>
        <v/>
      </c>
      <c r="H2936" s="16"/>
      <c r="I2936" s="36" t="str">
        <f t="shared" si="1"/>
        <v/>
      </c>
      <c r="J2936" s="16"/>
      <c r="K2936" s="15"/>
      <c r="L2936" s="15"/>
      <c r="M2936" s="36" t="str">
        <f t="array" ref="M2936">IF($A2936="","",IF($L2936="Atendido",IFERROR($I2936*INDEX(Config!$B:$B,MATCH($C2936,Config!$A:$A,0)),0),0))</f>
        <v/>
      </c>
      <c r="N2936" s="36" t="str">
        <f t="shared" si="2"/>
        <v/>
      </c>
      <c r="O2936" s="36" t="str">
        <f t="shared" si="3"/>
        <v/>
      </c>
      <c r="P2936" s="15"/>
      <c r="Q2936" s="37" t="str">
        <f t="shared" si="4"/>
        <v/>
      </c>
      <c r="R2936" s="37" t="str">
        <f t="shared" si="5"/>
        <v/>
      </c>
      <c r="S2936" s="32" t="str">
        <f t="shared" si="6"/>
        <v/>
      </c>
      <c r="T2936" s="37" t="str">
        <f t="shared" si="7"/>
        <v/>
      </c>
      <c r="U2936" s="37" t="str">
        <f t="array" ref="U2936">IF($F2936="","",IFERROR(INDEX(Config!$F:$F,MATCH($F2936,Config!$D:$D,0)),0))</f>
        <v/>
      </c>
    </row>
    <row r="2937" ht="15.0" customHeight="1">
      <c r="A2937" s="34"/>
      <c r="B2937" s="35"/>
      <c r="C2937" s="15"/>
      <c r="D2937" s="15"/>
      <c r="E2937" s="15"/>
      <c r="F2937" s="15"/>
      <c r="G2937" s="36" t="str">
        <f t="array" ref="G2937">IF($F2937="","",IFERROR(INDEX(Config!$E:$E,MATCH($F2937,Config!$D:$D,0)),0))</f>
        <v/>
      </c>
      <c r="H2937" s="16"/>
      <c r="I2937" s="36" t="str">
        <f t="shared" si="1"/>
        <v/>
      </c>
      <c r="J2937" s="16"/>
      <c r="K2937" s="15"/>
      <c r="L2937" s="15"/>
      <c r="M2937" s="36" t="str">
        <f t="array" ref="M2937">IF($A2937="","",IF($L2937="Atendido",IFERROR($I2937*INDEX(Config!$B:$B,MATCH($C2937,Config!$A:$A,0)),0),0))</f>
        <v/>
      </c>
      <c r="N2937" s="36" t="str">
        <f t="shared" si="2"/>
        <v/>
      </c>
      <c r="O2937" s="36" t="str">
        <f t="shared" si="3"/>
        <v/>
      </c>
      <c r="P2937" s="15"/>
      <c r="Q2937" s="37" t="str">
        <f t="shared" si="4"/>
        <v/>
      </c>
      <c r="R2937" s="37" t="str">
        <f t="shared" si="5"/>
        <v/>
      </c>
      <c r="S2937" s="32" t="str">
        <f t="shared" si="6"/>
        <v/>
      </c>
      <c r="T2937" s="37" t="str">
        <f t="shared" si="7"/>
        <v/>
      </c>
      <c r="U2937" s="37" t="str">
        <f t="array" ref="U2937">IF($F2937="","",IFERROR(INDEX(Config!$F:$F,MATCH($F2937,Config!$D:$D,0)),0))</f>
        <v/>
      </c>
    </row>
    <row r="2938" ht="15.0" customHeight="1">
      <c r="A2938" s="34"/>
      <c r="B2938" s="35"/>
      <c r="C2938" s="15"/>
      <c r="D2938" s="15"/>
      <c r="E2938" s="15"/>
      <c r="F2938" s="15"/>
      <c r="G2938" s="36" t="str">
        <f t="array" ref="G2938">IF($F2938="","",IFERROR(INDEX(Config!$E:$E,MATCH($F2938,Config!$D:$D,0)),0))</f>
        <v/>
      </c>
      <c r="H2938" s="16"/>
      <c r="I2938" s="36" t="str">
        <f t="shared" si="1"/>
        <v/>
      </c>
      <c r="J2938" s="16"/>
      <c r="K2938" s="15"/>
      <c r="L2938" s="15"/>
      <c r="M2938" s="36" t="str">
        <f t="array" ref="M2938">IF($A2938="","",IF($L2938="Atendido",IFERROR($I2938*INDEX(Config!$B:$B,MATCH($C2938,Config!$A:$A,0)),0),0))</f>
        <v/>
      </c>
      <c r="N2938" s="36" t="str">
        <f t="shared" si="2"/>
        <v/>
      </c>
      <c r="O2938" s="36" t="str">
        <f t="shared" si="3"/>
        <v/>
      </c>
      <c r="P2938" s="15"/>
      <c r="Q2938" s="37" t="str">
        <f t="shared" si="4"/>
        <v/>
      </c>
      <c r="R2938" s="37" t="str">
        <f t="shared" si="5"/>
        <v/>
      </c>
      <c r="S2938" s="32" t="str">
        <f t="shared" si="6"/>
        <v/>
      </c>
      <c r="T2938" s="37" t="str">
        <f t="shared" si="7"/>
        <v/>
      </c>
      <c r="U2938" s="37" t="str">
        <f t="array" ref="U2938">IF($F2938="","",IFERROR(INDEX(Config!$F:$F,MATCH($F2938,Config!$D:$D,0)),0))</f>
        <v/>
      </c>
    </row>
    <row r="2939" ht="15.0" customHeight="1">
      <c r="A2939" s="34"/>
      <c r="B2939" s="35"/>
      <c r="C2939" s="15"/>
      <c r="D2939" s="15"/>
      <c r="E2939" s="15"/>
      <c r="F2939" s="15"/>
      <c r="G2939" s="36" t="str">
        <f t="array" ref="G2939">IF($F2939="","",IFERROR(INDEX(Config!$E:$E,MATCH($F2939,Config!$D:$D,0)),0))</f>
        <v/>
      </c>
      <c r="H2939" s="16"/>
      <c r="I2939" s="36" t="str">
        <f t="shared" si="1"/>
        <v/>
      </c>
      <c r="J2939" s="16"/>
      <c r="K2939" s="15"/>
      <c r="L2939" s="15"/>
      <c r="M2939" s="36" t="str">
        <f t="array" ref="M2939">IF($A2939="","",IF($L2939="Atendido",IFERROR($I2939*INDEX(Config!$B:$B,MATCH($C2939,Config!$A:$A,0)),0),0))</f>
        <v/>
      </c>
      <c r="N2939" s="36" t="str">
        <f t="shared" si="2"/>
        <v/>
      </c>
      <c r="O2939" s="36" t="str">
        <f t="shared" si="3"/>
        <v/>
      </c>
      <c r="P2939" s="15"/>
      <c r="Q2939" s="37" t="str">
        <f t="shared" si="4"/>
        <v/>
      </c>
      <c r="R2939" s="37" t="str">
        <f t="shared" si="5"/>
        <v/>
      </c>
      <c r="S2939" s="32" t="str">
        <f t="shared" si="6"/>
        <v/>
      </c>
      <c r="T2939" s="37" t="str">
        <f t="shared" si="7"/>
        <v/>
      </c>
      <c r="U2939" s="37" t="str">
        <f t="array" ref="U2939">IF($F2939="","",IFERROR(INDEX(Config!$F:$F,MATCH($F2939,Config!$D:$D,0)),0))</f>
        <v/>
      </c>
    </row>
    <row r="2940" ht="15.0" customHeight="1">
      <c r="A2940" s="34"/>
      <c r="B2940" s="35"/>
      <c r="C2940" s="15"/>
      <c r="D2940" s="15"/>
      <c r="E2940" s="15"/>
      <c r="F2940" s="15"/>
      <c r="G2940" s="36" t="str">
        <f t="array" ref="G2940">IF($F2940="","",IFERROR(INDEX(Config!$E:$E,MATCH($F2940,Config!$D:$D,0)),0))</f>
        <v/>
      </c>
      <c r="H2940" s="16"/>
      <c r="I2940" s="36" t="str">
        <f t="shared" si="1"/>
        <v/>
      </c>
      <c r="J2940" s="16"/>
      <c r="K2940" s="15"/>
      <c r="L2940" s="15"/>
      <c r="M2940" s="36" t="str">
        <f t="array" ref="M2940">IF($A2940="","",IF($L2940="Atendido",IFERROR($I2940*INDEX(Config!$B:$B,MATCH($C2940,Config!$A:$A,0)),0),0))</f>
        <v/>
      </c>
      <c r="N2940" s="36" t="str">
        <f t="shared" si="2"/>
        <v/>
      </c>
      <c r="O2940" s="36" t="str">
        <f t="shared" si="3"/>
        <v/>
      </c>
      <c r="P2940" s="15"/>
      <c r="Q2940" s="37" t="str">
        <f t="shared" si="4"/>
        <v/>
      </c>
      <c r="R2940" s="37" t="str">
        <f t="shared" si="5"/>
        <v/>
      </c>
      <c r="S2940" s="32" t="str">
        <f t="shared" si="6"/>
        <v/>
      </c>
      <c r="T2940" s="37" t="str">
        <f t="shared" si="7"/>
        <v/>
      </c>
      <c r="U2940" s="37" t="str">
        <f t="array" ref="U2940">IF($F2940="","",IFERROR(INDEX(Config!$F:$F,MATCH($F2940,Config!$D:$D,0)),0))</f>
        <v/>
      </c>
    </row>
    <row r="2941" ht="15.0" customHeight="1">
      <c r="A2941" s="34"/>
      <c r="B2941" s="35"/>
      <c r="C2941" s="15"/>
      <c r="D2941" s="15"/>
      <c r="E2941" s="15"/>
      <c r="F2941" s="15"/>
      <c r="G2941" s="36" t="str">
        <f t="array" ref="G2941">IF($F2941="","",IFERROR(INDEX(Config!$E:$E,MATCH($F2941,Config!$D:$D,0)),0))</f>
        <v/>
      </c>
      <c r="H2941" s="16"/>
      <c r="I2941" s="36" t="str">
        <f t="shared" si="1"/>
        <v/>
      </c>
      <c r="J2941" s="16"/>
      <c r="K2941" s="15"/>
      <c r="L2941" s="15"/>
      <c r="M2941" s="36" t="str">
        <f t="array" ref="M2941">IF($A2941="","",IF($L2941="Atendido",IFERROR($I2941*INDEX(Config!$B:$B,MATCH($C2941,Config!$A:$A,0)),0),0))</f>
        <v/>
      </c>
      <c r="N2941" s="36" t="str">
        <f t="shared" si="2"/>
        <v/>
      </c>
      <c r="O2941" s="36" t="str">
        <f t="shared" si="3"/>
        <v/>
      </c>
      <c r="P2941" s="15"/>
      <c r="Q2941" s="37" t="str">
        <f t="shared" si="4"/>
        <v/>
      </c>
      <c r="R2941" s="37" t="str">
        <f t="shared" si="5"/>
        <v/>
      </c>
      <c r="S2941" s="32" t="str">
        <f t="shared" si="6"/>
        <v/>
      </c>
      <c r="T2941" s="37" t="str">
        <f t="shared" si="7"/>
        <v/>
      </c>
      <c r="U2941" s="37" t="str">
        <f t="array" ref="U2941">IF($F2941="","",IFERROR(INDEX(Config!$F:$F,MATCH($F2941,Config!$D:$D,0)),0))</f>
        <v/>
      </c>
    </row>
    <row r="2942" ht="15.0" customHeight="1">
      <c r="A2942" s="34"/>
      <c r="B2942" s="35"/>
      <c r="C2942" s="15"/>
      <c r="D2942" s="15"/>
      <c r="E2942" s="15"/>
      <c r="F2942" s="15"/>
      <c r="G2942" s="36" t="str">
        <f t="array" ref="G2942">IF($F2942="","",IFERROR(INDEX(Config!$E:$E,MATCH($F2942,Config!$D:$D,0)),0))</f>
        <v/>
      </c>
      <c r="H2942" s="16"/>
      <c r="I2942" s="36" t="str">
        <f t="shared" si="1"/>
        <v/>
      </c>
      <c r="J2942" s="16"/>
      <c r="K2942" s="15"/>
      <c r="L2942" s="15"/>
      <c r="M2942" s="36" t="str">
        <f t="array" ref="M2942">IF($A2942="","",IF($L2942="Atendido",IFERROR($I2942*INDEX(Config!$B:$B,MATCH($C2942,Config!$A:$A,0)),0),0))</f>
        <v/>
      </c>
      <c r="N2942" s="36" t="str">
        <f t="shared" si="2"/>
        <v/>
      </c>
      <c r="O2942" s="36" t="str">
        <f t="shared" si="3"/>
        <v/>
      </c>
      <c r="P2942" s="15"/>
      <c r="Q2942" s="37" t="str">
        <f t="shared" si="4"/>
        <v/>
      </c>
      <c r="R2942" s="37" t="str">
        <f t="shared" si="5"/>
        <v/>
      </c>
      <c r="S2942" s="32" t="str">
        <f t="shared" si="6"/>
        <v/>
      </c>
      <c r="T2942" s="37" t="str">
        <f t="shared" si="7"/>
        <v/>
      </c>
      <c r="U2942" s="37" t="str">
        <f t="array" ref="U2942">IF($F2942="","",IFERROR(INDEX(Config!$F:$F,MATCH($F2942,Config!$D:$D,0)),0))</f>
        <v/>
      </c>
    </row>
    <row r="2943" ht="15.0" customHeight="1">
      <c r="A2943" s="34"/>
      <c r="B2943" s="35"/>
      <c r="C2943" s="15"/>
      <c r="D2943" s="15"/>
      <c r="E2943" s="15"/>
      <c r="F2943" s="15"/>
      <c r="G2943" s="36" t="str">
        <f t="array" ref="G2943">IF($F2943="","",IFERROR(INDEX(Config!$E:$E,MATCH($F2943,Config!$D:$D,0)),0))</f>
        <v/>
      </c>
      <c r="H2943" s="16"/>
      <c r="I2943" s="36" t="str">
        <f t="shared" si="1"/>
        <v/>
      </c>
      <c r="J2943" s="16"/>
      <c r="K2943" s="15"/>
      <c r="L2943" s="15"/>
      <c r="M2943" s="36" t="str">
        <f t="array" ref="M2943">IF($A2943="","",IF($L2943="Atendido",IFERROR($I2943*INDEX(Config!$B:$B,MATCH($C2943,Config!$A:$A,0)),0),0))</f>
        <v/>
      </c>
      <c r="N2943" s="36" t="str">
        <f t="shared" si="2"/>
        <v/>
      </c>
      <c r="O2943" s="36" t="str">
        <f t="shared" si="3"/>
        <v/>
      </c>
      <c r="P2943" s="15"/>
      <c r="Q2943" s="37" t="str">
        <f t="shared" si="4"/>
        <v/>
      </c>
      <c r="R2943" s="37" t="str">
        <f t="shared" si="5"/>
        <v/>
      </c>
      <c r="S2943" s="32" t="str">
        <f t="shared" si="6"/>
        <v/>
      </c>
      <c r="T2943" s="37" t="str">
        <f t="shared" si="7"/>
        <v/>
      </c>
      <c r="U2943" s="37" t="str">
        <f t="array" ref="U2943">IF($F2943="","",IFERROR(INDEX(Config!$F:$F,MATCH($F2943,Config!$D:$D,0)),0))</f>
        <v/>
      </c>
    </row>
    <row r="2944" ht="15.0" customHeight="1">
      <c r="A2944" s="34"/>
      <c r="B2944" s="35"/>
      <c r="C2944" s="15"/>
      <c r="D2944" s="15"/>
      <c r="E2944" s="15"/>
      <c r="F2944" s="15"/>
      <c r="G2944" s="36" t="str">
        <f t="array" ref="G2944">IF($F2944="","",IFERROR(INDEX(Config!$E:$E,MATCH($F2944,Config!$D:$D,0)),0))</f>
        <v/>
      </c>
      <c r="H2944" s="16"/>
      <c r="I2944" s="36" t="str">
        <f t="shared" si="1"/>
        <v/>
      </c>
      <c r="J2944" s="16"/>
      <c r="K2944" s="15"/>
      <c r="L2944" s="15"/>
      <c r="M2944" s="36" t="str">
        <f t="array" ref="M2944">IF($A2944="","",IF($L2944="Atendido",IFERROR($I2944*INDEX(Config!$B:$B,MATCH($C2944,Config!$A:$A,0)),0),0))</f>
        <v/>
      </c>
      <c r="N2944" s="36" t="str">
        <f t="shared" si="2"/>
        <v/>
      </c>
      <c r="O2944" s="36" t="str">
        <f t="shared" si="3"/>
        <v/>
      </c>
      <c r="P2944" s="15"/>
      <c r="Q2944" s="37" t="str">
        <f t="shared" si="4"/>
        <v/>
      </c>
      <c r="R2944" s="37" t="str">
        <f t="shared" si="5"/>
        <v/>
      </c>
      <c r="S2944" s="32" t="str">
        <f t="shared" si="6"/>
        <v/>
      </c>
      <c r="T2944" s="37" t="str">
        <f t="shared" si="7"/>
        <v/>
      </c>
      <c r="U2944" s="37" t="str">
        <f t="array" ref="U2944">IF($F2944="","",IFERROR(INDEX(Config!$F:$F,MATCH($F2944,Config!$D:$D,0)),0))</f>
        <v/>
      </c>
    </row>
    <row r="2945" ht="15.0" customHeight="1">
      <c r="A2945" s="34"/>
      <c r="B2945" s="35"/>
      <c r="C2945" s="15"/>
      <c r="D2945" s="15"/>
      <c r="E2945" s="15"/>
      <c r="F2945" s="15"/>
      <c r="G2945" s="36" t="str">
        <f t="array" ref="G2945">IF($F2945="","",IFERROR(INDEX(Config!$E:$E,MATCH($F2945,Config!$D:$D,0)),0))</f>
        <v/>
      </c>
      <c r="H2945" s="16"/>
      <c r="I2945" s="36" t="str">
        <f t="shared" si="1"/>
        <v/>
      </c>
      <c r="J2945" s="16"/>
      <c r="K2945" s="15"/>
      <c r="L2945" s="15"/>
      <c r="M2945" s="36" t="str">
        <f t="array" ref="M2945">IF($A2945="","",IF($L2945="Atendido",IFERROR($I2945*INDEX(Config!$B:$B,MATCH($C2945,Config!$A:$A,0)),0),0))</f>
        <v/>
      </c>
      <c r="N2945" s="36" t="str">
        <f t="shared" si="2"/>
        <v/>
      </c>
      <c r="O2945" s="36" t="str">
        <f t="shared" si="3"/>
        <v/>
      </c>
      <c r="P2945" s="15"/>
      <c r="Q2945" s="37" t="str">
        <f t="shared" si="4"/>
        <v/>
      </c>
      <c r="R2945" s="37" t="str">
        <f t="shared" si="5"/>
        <v/>
      </c>
      <c r="S2945" s="32" t="str">
        <f t="shared" si="6"/>
        <v/>
      </c>
      <c r="T2945" s="37" t="str">
        <f t="shared" si="7"/>
        <v/>
      </c>
      <c r="U2945" s="37" t="str">
        <f t="array" ref="U2945">IF($F2945="","",IFERROR(INDEX(Config!$F:$F,MATCH($F2945,Config!$D:$D,0)),0))</f>
        <v/>
      </c>
    </row>
    <row r="2946" ht="15.0" customHeight="1">
      <c r="A2946" s="34"/>
      <c r="B2946" s="35"/>
      <c r="C2946" s="15"/>
      <c r="D2946" s="15"/>
      <c r="E2946" s="15"/>
      <c r="F2946" s="15"/>
      <c r="G2946" s="36" t="str">
        <f t="array" ref="G2946">IF($F2946="","",IFERROR(INDEX(Config!$E:$E,MATCH($F2946,Config!$D:$D,0)),0))</f>
        <v/>
      </c>
      <c r="H2946" s="16"/>
      <c r="I2946" s="36" t="str">
        <f t="shared" si="1"/>
        <v/>
      </c>
      <c r="J2946" s="16"/>
      <c r="K2946" s="15"/>
      <c r="L2946" s="15"/>
      <c r="M2946" s="36" t="str">
        <f t="array" ref="M2946">IF($A2946="","",IF($L2946="Atendido",IFERROR($I2946*INDEX(Config!$B:$B,MATCH($C2946,Config!$A:$A,0)),0),0))</f>
        <v/>
      </c>
      <c r="N2946" s="36" t="str">
        <f t="shared" si="2"/>
        <v/>
      </c>
      <c r="O2946" s="36" t="str">
        <f t="shared" si="3"/>
        <v/>
      </c>
      <c r="P2946" s="15"/>
      <c r="Q2946" s="37" t="str">
        <f t="shared" si="4"/>
        <v/>
      </c>
      <c r="R2946" s="37" t="str">
        <f t="shared" si="5"/>
        <v/>
      </c>
      <c r="S2946" s="32" t="str">
        <f t="shared" si="6"/>
        <v/>
      </c>
      <c r="T2946" s="37" t="str">
        <f t="shared" si="7"/>
        <v/>
      </c>
      <c r="U2946" s="37" t="str">
        <f t="array" ref="U2946">IF($F2946="","",IFERROR(INDEX(Config!$F:$F,MATCH($F2946,Config!$D:$D,0)),0))</f>
        <v/>
      </c>
    </row>
    <row r="2947" ht="15.0" customHeight="1">
      <c r="A2947" s="34"/>
      <c r="B2947" s="35"/>
      <c r="C2947" s="15"/>
      <c r="D2947" s="15"/>
      <c r="E2947" s="15"/>
      <c r="F2947" s="15"/>
      <c r="G2947" s="36" t="str">
        <f t="array" ref="G2947">IF($F2947="","",IFERROR(INDEX(Config!$E:$E,MATCH($F2947,Config!$D:$D,0)),0))</f>
        <v/>
      </c>
      <c r="H2947" s="16"/>
      <c r="I2947" s="36" t="str">
        <f t="shared" si="1"/>
        <v/>
      </c>
      <c r="J2947" s="16"/>
      <c r="K2947" s="15"/>
      <c r="L2947" s="15"/>
      <c r="M2947" s="36" t="str">
        <f t="array" ref="M2947">IF($A2947="","",IF($L2947="Atendido",IFERROR($I2947*INDEX(Config!$B:$B,MATCH($C2947,Config!$A:$A,0)),0),0))</f>
        <v/>
      </c>
      <c r="N2947" s="36" t="str">
        <f t="shared" si="2"/>
        <v/>
      </c>
      <c r="O2947" s="36" t="str">
        <f t="shared" si="3"/>
        <v/>
      </c>
      <c r="P2947" s="15"/>
      <c r="Q2947" s="37" t="str">
        <f t="shared" si="4"/>
        <v/>
      </c>
      <c r="R2947" s="37" t="str">
        <f t="shared" si="5"/>
        <v/>
      </c>
      <c r="S2947" s="32" t="str">
        <f t="shared" si="6"/>
        <v/>
      </c>
      <c r="T2947" s="37" t="str">
        <f t="shared" si="7"/>
        <v/>
      </c>
      <c r="U2947" s="37" t="str">
        <f t="array" ref="U2947">IF($F2947="","",IFERROR(INDEX(Config!$F:$F,MATCH($F2947,Config!$D:$D,0)),0))</f>
        <v/>
      </c>
    </row>
    <row r="2948" ht="15.0" customHeight="1">
      <c r="A2948" s="34"/>
      <c r="B2948" s="35"/>
      <c r="C2948" s="15"/>
      <c r="D2948" s="15"/>
      <c r="E2948" s="15"/>
      <c r="F2948" s="15"/>
      <c r="G2948" s="36" t="str">
        <f t="array" ref="G2948">IF($F2948="","",IFERROR(INDEX(Config!$E:$E,MATCH($F2948,Config!$D:$D,0)),0))</f>
        <v/>
      </c>
      <c r="H2948" s="16"/>
      <c r="I2948" s="36" t="str">
        <f t="shared" si="1"/>
        <v/>
      </c>
      <c r="J2948" s="16"/>
      <c r="K2948" s="15"/>
      <c r="L2948" s="15"/>
      <c r="M2948" s="36" t="str">
        <f t="array" ref="M2948">IF($A2948="","",IF($L2948="Atendido",IFERROR($I2948*INDEX(Config!$B:$B,MATCH($C2948,Config!$A:$A,0)),0),0))</f>
        <v/>
      </c>
      <c r="N2948" s="36" t="str">
        <f t="shared" si="2"/>
        <v/>
      </c>
      <c r="O2948" s="36" t="str">
        <f t="shared" si="3"/>
        <v/>
      </c>
      <c r="P2948" s="15"/>
      <c r="Q2948" s="37" t="str">
        <f t="shared" si="4"/>
        <v/>
      </c>
      <c r="R2948" s="37" t="str">
        <f t="shared" si="5"/>
        <v/>
      </c>
      <c r="S2948" s="32" t="str">
        <f t="shared" si="6"/>
        <v/>
      </c>
      <c r="T2948" s="37" t="str">
        <f t="shared" si="7"/>
        <v/>
      </c>
      <c r="U2948" s="37" t="str">
        <f t="array" ref="U2948">IF($F2948="","",IFERROR(INDEX(Config!$F:$F,MATCH($F2948,Config!$D:$D,0)),0))</f>
        <v/>
      </c>
    </row>
    <row r="2949" ht="15.0" customHeight="1">
      <c r="A2949" s="34"/>
      <c r="B2949" s="35"/>
      <c r="C2949" s="15"/>
      <c r="D2949" s="15"/>
      <c r="E2949" s="15"/>
      <c r="F2949" s="15"/>
      <c r="G2949" s="36" t="str">
        <f t="array" ref="G2949">IF($F2949="","",IFERROR(INDEX(Config!$E:$E,MATCH($F2949,Config!$D:$D,0)),0))</f>
        <v/>
      </c>
      <c r="H2949" s="16"/>
      <c r="I2949" s="36" t="str">
        <f t="shared" si="1"/>
        <v/>
      </c>
      <c r="J2949" s="16"/>
      <c r="K2949" s="15"/>
      <c r="L2949" s="15"/>
      <c r="M2949" s="36" t="str">
        <f t="array" ref="M2949">IF($A2949="","",IF($L2949="Atendido",IFERROR($I2949*INDEX(Config!$B:$B,MATCH($C2949,Config!$A:$A,0)),0),0))</f>
        <v/>
      </c>
      <c r="N2949" s="36" t="str">
        <f t="shared" si="2"/>
        <v/>
      </c>
      <c r="O2949" s="36" t="str">
        <f t="shared" si="3"/>
        <v/>
      </c>
      <c r="P2949" s="15"/>
      <c r="Q2949" s="37" t="str">
        <f t="shared" si="4"/>
        <v/>
      </c>
      <c r="R2949" s="37" t="str">
        <f t="shared" si="5"/>
        <v/>
      </c>
      <c r="S2949" s="32" t="str">
        <f t="shared" si="6"/>
        <v/>
      </c>
      <c r="T2949" s="37" t="str">
        <f t="shared" si="7"/>
        <v/>
      </c>
      <c r="U2949" s="37" t="str">
        <f t="array" ref="U2949">IF($F2949="","",IFERROR(INDEX(Config!$F:$F,MATCH($F2949,Config!$D:$D,0)),0))</f>
        <v/>
      </c>
    </row>
    <row r="2950" ht="15.0" customHeight="1">
      <c r="A2950" s="34"/>
      <c r="B2950" s="35"/>
      <c r="C2950" s="15"/>
      <c r="D2950" s="15"/>
      <c r="E2950" s="15"/>
      <c r="F2950" s="15"/>
      <c r="G2950" s="36" t="str">
        <f t="array" ref="G2950">IF($F2950="","",IFERROR(INDEX(Config!$E:$E,MATCH($F2950,Config!$D:$D,0)),0))</f>
        <v/>
      </c>
      <c r="H2950" s="16"/>
      <c r="I2950" s="36" t="str">
        <f t="shared" si="1"/>
        <v/>
      </c>
      <c r="J2950" s="16"/>
      <c r="K2950" s="15"/>
      <c r="L2950" s="15"/>
      <c r="M2950" s="36" t="str">
        <f t="array" ref="M2950">IF($A2950="","",IF($L2950="Atendido",IFERROR($I2950*INDEX(Config!$B:$B,MATCH($C2950,Config!$A:$A,0)),0),0))</f>
        <v/>
      </c>
      <c r="N2950" s="36" t="str">
        <f t="shared" si="2"/>
        <v/>
      </c>
      <c r="O2950" s="36" t="str">
        <f t="shared" si="3"/>
        <v/>
      </c>
      <c r="P2950" s="15"/>
      <c r="Q2950" s="37" t="str">
        <f t="shared" si="4"/>
        <v/>
      </c>
      <c r="R2950" s="37" t="str">
        <f t="shared" si="5"/>
        <v/>
      </c>
      <c r="S2950" s="32" t="str">
        <f t="shared" si="6"/>
        <v/>
      </c>
      <c r="T2950" s="37" t="str">
        <f t="shared" si="7"/>
        <v/>
      </c>
      <c r="U2950" s="37" t="str">
        <f t="array" ref="U2950">IF($F2950="","",IFERROR(INDEX(Config!$F:$F,MATCH($F2950,Config!$D:$D,0)),0))</f>
        <v/>
      </c>
    </row>
    <row r="2951" ht="15.0" customHeight="1">
      <c r="A2951" s="34"/>
      <c r="B2951" s="35"/>
      <c r="C2951" s="15"/>
      <c r="D2951" s="15"/>
      <c r="E2951" s="15"/>
      <c r="F2951" s="15"/>
      <c r="G2951" s="36" t="str">
        <f t="array" ref="G2951">IF($F2951="","",IFERROR(INDEX(Config!$E:$E,MATCH($F2951,Config!$D:$D,0)),0))</f>
        <v/>
      </c>
      <c r="H2951" s="16"/>
      <c r="I2951" s="36" t="str">
        <f t="shared" si="1"/>
        <v/>
      </c>
      <c r="J2951" s="16"/>
      <c r="K2951" s="15"/>
      <c r="L2951" s="15"/>
      <c r="M2951" s="36" t="str">
        <f t="array" ref="M2951">IF($A2951="","",IF($L2951="Atendido",IFERROR($I2951*INDEX(Config!$B:$B,MATCH($C2951,Config!$A:$A,0)),0),0))</f>
        <v/>
      </c>
      <c r="N2951" s="36" t="str">
        <f t="shared" si="2"/>
        <v/>
      </c>
      <c r="O2951" s="36" t="str">
        <f t="shared" si="3"/>
        <v/>
      </c>
      <c r="P2951" s="15"/>
      <c r="Q2951" s="37" t="str">
        <f t="shared" si="4"/>
        <v/>
      </c>
      <c r="R2951" s="37" t="str">
        <f t="shared" si="5"/>
        <v/>
      </c>
      <c r="S2951" s="32" t="str">
        <f t="shared" si="6"/>
        <v/>
      </c>
      <c r="T2951" s="37" t="str">
        <f t="shared" si="7"/>
        <v/>
      </c>
      <c r="U2951" s="37" t="str">
        <f t="array" ref="U2951">IF($F2951="","",IFERROR(INDEX(Config!$F:$F,MATCH($F2951,Config!$D:$D,0)),0))</f>
        <v/>
      </c>
    </row>
    <row r="2952" ht="15.0" customHeight="1">
      <c r="A2952" s="34"/>
      <c r="B2952" s="35"/>
      <c r="C2952" s="15"/>
      <c r="D2952" s="15"/>
      <c r="E2952" s="15"/>
      <c r="F2952" s="15"/>
      <c r="G2952" s="36" t="str">
        <f t="array" ref="G2952">IF($F2952="","",IFERROR(INDEX(Config!$E:$E,MATCH($F2952,Config!$D:$D,0)),0))</f>
        <v/>
      </c>
      <c r="H2952" s="16"/>
      <c r="I2952" s="36" t="str">
        <f t="shared" si="1"/>
        <v/>
      </c>
      <c r="J2952" s="16"/>
      <c r="K2952" s="15"/>
      <c r="L2952" s="15"/>
      <c r="M2952" s="36" t="str">
        <f t="array" ref="M2952">IF($A2952="","",IF($L2952="Atendido",IFERROR($I2952*INDEX(Config!$B:$B,MATCH($C2952,Config!$A:$A,0)),0),0))</f>
        <v/>
      </c>
      <c r="N2952" s="36" t="str">
        <f t="shared" si="2"/>
        <v/>
      </c>
      <c r="O2952" s="36" t="str">
        <f t="shared" si="3"/>
        <v/>
      </c>
      <c r="P2952" s="15"/>
      <c r="Q2952" s="37" t="str">
        <f t="shared" si="4"/>
        <v/>
      </c>
      <c r="R2952" s="37" t="str">
        <f t="shared" si="5"/>
        <v/>
      </c>
      <c r="S2952" s="32" t="str">
        <f t="shared" si="6"/>
        <v/>
      </c>
      <c r="T2952" s="37" t="str">
        <f t="shared" si="7"/>
        <v/>
      </c>
      <c r="U2952" s="37" t="str">
        <f t="array" ref="U2952">IF($F2952="","",IFERROR(INDEX(Config!$F:$F,MATCH($F2952,Config!$D:$D,0)),0))</f>
        <v/>
      </c>
    </row>
    <row r="2953" ht="15.0" customHeight="1">
      <c r="A2953" s="34"/>
      <c r="B2953" s="35"/>
      <c r="C2953" s="15"/>
      <c r="D2953" s="15"/>
      <c r="E2953" s="15"/>
      <c r="F2953" s="15"/>
      <c r="G2953" s="36" t="str">
        <f t="array" ref="G2953">IF($F2953="","",IFERROR(INDEX(Config!$E:$E,MATCH($F2953,Config!$D:$D,0)),0))</f>
        <v/>
      </c>
      <c r="H2953" s="16"/>
      <c r="I2953" s="36" t="str">
        <f t="shared" si="1"/>
        <v/>
      </c>
      <c r="J2953" s="16"/>
      <c r="K2953" s="15"/>
      <c r="L2953" s="15"/>
      <c r="M2953" s="36" t="str">
        <f t="array" ref="M2953">IF($A2953="","",IF($L2953="Atendido",IFERROR($I2953*INDEX(Config!$B:$B,MATCH($C2953,Config!$A:$A,0)),0),0))</f>
        <v/>
      </c>
      <c r="N2953" s="36" t="str">
        <f t="shared" si="2"/>
        <v/>
      </c>
      <c r="O2953" s="36" t="str">
        <f t="shared" si="3"/>
        <v/>
      </c>
      <c r="P2953" s="15"/>
      <c r="Q2953" s="37" t="str">
        <f t="shared" si="4"/>
        <v/>
      </c>
      <c r="R2953" s="37" t="str">
        <f t="shared" si="5"/>
        <v/>
      </c>
      <c r="S2953" s="32" t="str">
        <f t="shared" si="6"/>
        <v/>
      </c>
      <c r="T2953" s="37" t="str">
        <f t="shared" si="7"/>
        <v/>
      </c>
      <c r="U2953" s="37" t="str">
        <f t="array" ref="U2953">IF($F2953="","",IFERROR(INDEX(Config!$F:$F,MATCH($F2953,Config!$D:$D,0)),0))</f>
        <v/>
      </c>
    </row>
    <row r="2954" ht="15.0" customHeight="1">
      <c r="A2954" s="34"/>
      <c r="B2954" s="35"/>
      <c r="C2954" s="15"/>
      <c r="D2954" s="15"/>
      <c r="E2954" s="15"/>
      <c r="F2954" s="15"/>
      <c r="G2954" s="36" t="str">
        <f t="array" ref="G2954">IF($F2954="","",IFERROR(INDEX(Config!$E:$E,MATCH($F2954,Config!$D:$D,0)),0))</f>
        <v/>
      </c>
      <c r="H2954" s="16"/>
      <c r="I2954" s="36" t="str">
        <f t="shared" si="1"/>
        <v/>
      </c>
      <c r="J2954" s="16"/>
      <c r="K2954" s="15"/>
      <c r="L2954" s="15"/>
      <c r="M2954" s="36" t="str">
        <f t="array" ref="M2954">IF($A2954="","",IF($L2954="Atendido",IFERROR($I2954*INDEX(Config!$B:$B,MATCH($C2954,Config!$A:$A,0)),0),0))</f>
        <v/>
      </c>
      <c r="N2954" s="36" t="str">
        <f t="shared" si="2"/>
        <v/>
      </c>
      <c r="O2954" s="36" t="str">
        <f t="shared" si="3"/>
        <v/>
      </c>
      <c r="P2954" s="15"/>
      <c r="Q2954" s="37" t="str">
        <f t="shared" si="4"/>
        <v/>
      </c>
      <c r="R2954" s="37" t="str">
        <f t="shared" si="5"/>
        <v/>
      </c>
      <c r="S2954" s="32" t="str">
        <f t="shared" si="6"/>
        <v/>
      </c>
      <c r="T2954" s="37" t="str">
        <f t="shared" si="7"/>
        <v/>
      </c>
      <c r="U2954" s="37" t="str">
        <f t="array" ref="U2954">IF($F2954="","",IFERROR(INDEX(Config!$F:$F,MATCH($F2954,Config!$D:$D,0)),0))</f>
        <v/>
      </c>
    </row>
    <row r="2955" ht="15.0" customHeight="1">
      <c r="A2955" s="34"/>
      <c r="B2955" s="35"/>
      <c r="C2955" s="15"/>
      <c r="D2955" s="15"/>
      <c r="E2955" s="15"/>
      <c r="F2955" s="15"/>
      <c r="G2955" s="36" t="str">
        <f t="array" ref="G2955">IF($F2955="","",IFERROR(INDEX(Config!$E:$E,MATCH($F2955,Config!$D:$D,0)),0))</f>
        <v/>
      </c>
      <c r="H2955" s="16"/>
      <c r="I2955" s="36" t="str">
        <f t="shared" si="1"/>
        <v/>
      </c>
      <c r="J2955" s="16"/>
      <c r="K2955" s="15"/>
      <c r="L2955" s="15"/>
      <c r="M2955" s="36" t="str">
        <f t="array" ref="M2955">IF($A2955="","",IF($L2955="Atendido",IFERROR($I2955*INDEX(Config!$B:$B,MATCH($C2955,Config!$A:$A,0)),0),0))</f>
        <v/>
      </c>
      <c r="N2955" s="36" t="str">
        <f t="shared" si="2"/>
        <v/>
      </c>
      <c r="O2955" s="36" t="str">
        <f t="shared" si="3"/>
        <v/>
      </c>
      <c r="P2955" s="15"/>
      <c r="Q2955" s="37" t="str">
        <f t="shared" si="4"/>
        <v/>
      </c>
      <c r="R2955" s="37" t="str">
        <f t="shared" si="5"/>
        <v/>
      </c>
      <c r="S2955" s="32" t="str">
        <f t="shared" si="6"/>
        <v/>
      </c>
      <c r="T2955" s="37" t="str">
        <f t="shared" si="7"/>
        <v/>
      </c>
      <c r="U2955" s="37" t="str">
        <f t="array" ref="U2955">IF($F2955="","",IFERROR(INDEX(Config!$F:$F,MATCH($F2955,Config!$D:$D,0)),0))</f>
        <v/>
      </c>
    </row>
    <row r="2956" ht="15.0" customHeight="1">
      <c r="A2956" s="34"/>
      <c r="B2956" s="35"/>
      <c r="C2956" s="15"/>
      <c r="D2956" s="15"/>
      <c r="E2956" s="15"/>
      <c r="F2956" s="15"/>
      <c r="G2956" s="36" t="str">
        <f t="array" ref="G2956">IF($F2956="","",IFERROR(INDEX(Config!$E:$E,MATCH($F2956,Config!$D:$D,0)),0))</f>
        <v/>
      </c>
      <c r="H2956" s="16"/>
      <c r="I2956" s="36" t="str">
        <f t="shared" si="1"/>
        <v/>
      </c>
      <c r="J2956" s="16"/>
      <c r="K2956" s="15"/>
      <c r="L2956" s="15"/>
      <c r="M2956" s="36" t="str">
        <f t="array" ref="M2956">IF($A2956="","",IF($L2956="Atendido",IFERROR($I2956*INDEX(Config!$B:$B,MATCH($C2956,Config!$A:$A,0)),0),0))</f>
        <v/>
      </c>
      <c r="N2956" s="36" t="str">
        <f t="shared" si="2"/>
        <v/>
      </c>
      <c r="O2956" s="36" t="str">
        <f t="shared" si="3"/>
        <v/>
      </c>
      <c r="P2956" s="15"/>
      <c r="Q2956" s="37" t="str">
        <f t="shared" si="4"/>
        <v/>
      </c>
      <c r="R2956" s="37" t="str">
        <f t="shared" si="5"/>
        <v/>
      </c>
      <c r="S2956" s="32" t="str">
        <f t="shared" si="6"/>
        <v/>
      </c>
      <c r="T2956" s="37" t="str">
        <f t="shared" si="7"/>
        <v/>
      </c>
      <c r="U2956" s="37" t="str">
        <f t="array" ref="U2956">IF($F2956="","",IFERROR(INDEX(Config!$F:$F,MATCH($F2956,Config!$D:$D,0)),0))</f>
        <v/>
      </c>
    </row>
    <row r="2957" ht="15.0" customHeight="1">
      <c r="A2957" s="34"/>
      <c r="B2957" s="35"/>
      <c r="C2957" s="15"/>
      <c r="D2957" s="15"/>
      <c r="E2957" s="15"/>
      <c r="F2957" s="15"/>
      <c r="G2957" s="36" t="str">
        <f t="array" ref="G2957">IF($F2957="","",IFERROR(INDEX(Config!$E:$E,MATCH($F2957,Config!$D:$D,0)),0))</f>
        <v/>
      </c>
      <c r="H2957" s="16"/>
      <c r="I2957" s="36" t="str">
        <f t="shared" si="1"/>
        <v/>
      </c>
      <c r="J2957" s="16"/>
      <c r="K2957" s="15"/>
      <c r="L2957" s="15"/>
      <c r="M2957" s="36" t="str">
        <f t="array" ref="M2957">IF($A2957="","",IF($L2957="Atendido",IFERROR($I2957*INDEX(Config!$B:$B,MATCH($C2957,Config!$A:$A,0)),0),0))</f>
        <v/>
      </c>
      <c r="N2957" s="36" t="str">
        <f t="shared" si="2"/>
        <v/>
      </c>
      <c r="O2957" s="36" t="str">
        <f t="shared" si="3"/>
        <v/>
      </c>
      <c r="P2957" s="15"/>
      <c r="Q2957" s="37" t="str">
        <f t="shared" si="4"/>
        <v/>
      </c>
      <c r="R2957" s="37" t="str">
        <f t="shared" si="5"/>
        <v/>
      </c>
      <c r="S2957" s="32" t="str">
        <f t="shared" si="6"/>
        <v/>
      </c>
      <c r="T2957" s="37" t="str">
        <f t="shared" si="7"/>
        <v/>
      </c>
      <c r="U2957" s="37" t="str">
        <f t="array" ref="U2957">IF($F2957="","",IFERROR(INDEX(Config!$F:$F,MATCH($F2957,Config!$D:$D,0)),0))</f>
        <v/>
      </c>
    </row>
    <row r="2958" ht="15.0" customHeight="1">
      <c r="A2958" s="34"/>
      <c r="B2958" s="35"/>
      <c r="C2958" s="15"/>
      <c r="D2958" s="15"/>
      <c r="E2958" s="15"/>
      <c r="F2958" s="15"/>
      <c r="G2958" s="36" t="str">
        <f t="array" ref="G2958">IF($F2958="","",IFERROR(INDEX(Config!$E:$E,MATCH($F2958,Config!$D:$D,0)),0))</f>
        <v/>
      </c>
      <c r="H2958" s="16"/>
      <c r="I2958" s="36" t="str">
        <f t="shared" si="1"/>
        <v/>
      </c>
      <c r="J2958" s="16"/>
      <c r="K2958" s="15"/>
      <c r="L2958" s="15"/>
      <c r="M2958" s="36" t="str">
        <f t="array" ref="M2958">IF($A2958="","",IF($L2958="Atendido",IFERROR($I2958*INDEX(Config!$B:$B,MATCH($C2958,Config!$A:$A,0)),0),0))</f>
        <v/>
      </c>
      <c r="N2958" s="36" t="str">
        <f t="shared" si="2"/>
        <v/>
      </c>
      <c r="O2958" s="36" t="str">
        <f t="shared" si="3"/>
        <v/>
      </c>
      <c r="P2958" s="15"/>
      <c r="Q2958" s="37" t="str">
        <f t="shared" si="4"/>
        <v/>
      </c>
      <c r="R2958" s="37" t="str">
        <f t="shared" si="5"/>
        <v/>
      </c>
      <c r="S2958" s="32" t="str">
        <f t="shared" si="6"/>
        <v/>
      </c>
      <c r="T2958" s="37" t="str">
        <f t="shared" si="7"/>
        <v/>
      </c>
      <c r="U2958" s="37" t="str">
        <f t="array" ref="U2958">IF($F2958="","",IFERROR(INDEX(Config!$F:$F,MATCH($F2958,Config!$D:$D,0)),0))</f>
        <v/>
      </c>
    </row>
    <row r="2959" ht="15.0" customHeight="1">
      <c r="A2959" s="34"/>
      <c r="B2959" s="35"/>
      <c r="C2959" s="15"/>
      <c r="D2959" s="15"/>
      <c r="E2959" s="15"/>
      <c r="F2959" s="15"/>
      <c r="G2959" s="36" t="str">
        <f t="array" ref="G2959">IF($F2959="","",IFERROR(INDEX(Config!$E:$E,MATCH($F2959,Config!$D:$D,0)),0))</f>
        <v/>
      </c>
      <c r="H2959" s="16"/>
      <c r="I2959" s="36" t="str">
        <f t="shared" si="1"/>
        <v/>
      </c>
      <c r="J2959" s="16"/>
      <c r="K2959" s="15"/>
      <c r="L2959" s="15"/>
      <c r="M2959" s="36" t="str">
        <f t="array" ref="M2959">IF($A2959="","",IF($L2959="Atendido",IFERROR($I2959*INDEX(Config!$B:$B,MATCH($C2959,Config!$A:$A,0)),0),0))</f>
        <v/>
      </c>
      <c r="N2959" s="36" t="str">
        <f t="shared" si="2"/>
        <v/>
      </c>
      <c r="O2959" s="36" t="str">
        <f t="shared" si="3"/>
        <v/>
      </c>
      <c r="P2959" s="15"/>
      <c r="Q2959" s="37" t="str">
        <f t="shared" si="4"/>
        <v/>
      </c>
      <c r="R2959" s="37" t="str">
        <f t="shared" si="5"/>
        <v/>
      </c>
      <c r="S2959" s="32" t="str">
        <f t="shared" si="6"/>
        <v/>
      </c>
      <c r="T2959" s="37" t="str">
        <f t="shared" si="7"/>
        <v/>
      </c>
      <c r="U2959" s="37" t="str">
        <f t="array" ref="U2959">IF($F2959="","",IFERROR(INDEX(Config!$F:$F,MATCH($F2959,Config!$D:$D,0)),0))</f>
        <v/>
      </c>
    </row>
    <row r="2960" ht="15.0" customHeight="1">
      <c r="A2960" s="34"/>
      <c r="B2960" s="35"/>
      <c r="C2960" s="15"/>
      <c r="D2960" s="15"/>
      <c r="E2960" s="15"/>
      <c r="F2960" s="15"/>
      <c r="G2960" s="36" t="str">
        <f t="array" ref="G2960">IF($F2960="","",IFERROR(INDEX(Config!$E:$E,MATCH($F2960,Config!$D:$D,0)),0))</f>
        <v/>
      </c>
      <c r="H2960" s="16"/>
      <c r="I2960" s="36" t="str">
        <f t="shared" si="1"/>
        <v/>
      </c>
      <c r="J2960" s="16"/>
      <c r="K2960" s="15"/>
      <c r="L2960" s="15"/>
      <c r="M2960" s="36" t="str">
        <f t="array" ref="M2960">IF($A2960="","",IF($L2960="Atendido",IFERROR($I2960*INDEX(Config!$B:$B,MATCH($C2960,Config!$A:$A,0)),0),0))</f>
        <v/>
      </c>
      <c r="N2960" s="36" t="str">
        <f t="shared" si="2"/>
        <v/>
      </c>
      <c r="O2960" s="36" t="str">
        <f t="shared" si="3"/>
        <v/>
      </c>
      <c r="P2960" s="15"/>
      <c r="Q2960" s="37" t="str">
        <f t="shared" si="4"/>
        <v/>
      </c>
      <c r="R2960" s="37" t="str">
        <f t="shared" si="5"/>
        <v/>
      </c>
      <c r="S2960" s="32" t="str">
        <f t="shared" si="6"/>
        <v/>
      </c>
      <c r="T2960" s="37" t="str">
        <f t="shared" si="7"/>
        <v/>
      </c>
      <c r="U2960" s="37" t="str">
        <f t="array" ref="U2960">IF($F2960="","",IFERROR(INDEX(Config!$F:$F,MATCH($F2960,Config!$D:$D,0)),0))</f>
        <v/>
      </c>
    </row>
    <row r="2961" ht="15.0" customHeight="1">
      <c r="A2961" s="34"/>
      <c r="B2961" s="35"/>
      <c r="C2961" s="15"/>
      <c r="D2961" s="15"/>
      <c r="E2961" s="15"/>
      <c r="F2961" s="15"/>
      <c r="G2961" s="36" t="str">
        <f t="array" ref="G2961">IF($F2961="","",IFERROR(INDEX(Config!$E:$E,MATCH($F2961,Config!$D:$D,0)),0))</f>
        <v/>
      </c>
      <c r="H2961" s="16"/>
      <c r="I2961" s="36" t="str">
        <f t="shared" si="1"/>
        <v/>
      </c>
      <c r="J2961" s="16"/>
      <c r="K2961" s="15"/>
      <c r="L2961" s="15"/>
      <c r="M2961" s="36" t="str">
        <f t="array" ref="M2961">IF($A2961="","",IF($L2961="Atendido",IFERROR($I2961*INDEX(Config!$B:$B,MATCH($C2961,Config!$A:$A,0)),0),0))</f>
        <v/>
      </c>
      <c r="N2961" s="36" t="str">
        <f t="shared" si="2"/>
        <v/>
      </c>
      <c r="O2961" s="36" t="str">
        <f t="shared" si="3"/>
        <v/>
      </c>
      <c r="P2961" s="15"/>
      <c r="Q2961" s="37" t="str">
        <f t="shared" si="4"/>
        <v/>
      </c>
      <c r="R2961" s="37" t="str">
        <f t="shared" si="5"/>
        <v/>
      </c>
      <c r="S2961" s="32" t="str">
        <f t="shared" si="6"/>
        <v/>
      </c>
      <c r="T2961" s="37" t="str">
        <f t="shared" si="7"/>
        <v/>
      </c>
      <c r="U2961" s="37" t="str">
        <f t="array" ref="U2961">IF($F2961="","",IFERROR(INDEX(Config!$F:$F,MATCH($F2961,Config!$D:$D,0)),0))</f>
        <v/>
      </c>
    </row>
    <row r="2962" ht="15.0" customHeight="1">
      <c r="A2962" s="34"/>
      <c r="B2962" s="35"/>
      <c r="C2962" s="15"/>
      <c r="D2962" s="15"/>
      <c r="E2962" s="15"/>
      <c r="F2962" s="15"/>
      <c r="G2962" s="36" t="str">
        <f t="array" ref="G2962">IF($F2962="","",IFERROR(INDEX(Config!$E:$E,MATCH($F2962,Config!$D:$D,0)),0))</f>
        <v/>
      </c>
      <c r="H2962" s="16"/>
      <c r="I2962" s="36" t="str">
        <f t="shared" si="1"/>
        <v/>
      </c>
      <c r="J2962" s="16"/>
      <c r="K2962" s="15"/>
      <c r="L2962" s="15"/>
      <c r="M2962" s="36" t="str">
        <f t="array" ref="M2962">IF($A2962="","",IF($L2962="Atendido",IFERROR($I2962*INDEX(Config!$B:$B,MATCH($C2962,Config!$A:$A,0)),0),0))</f>
        <v/>
      </c>
      <c r="N2962" s="36" t="str">
        <f t="shared" si="2"/>
        <v/>
      </c>
      <c r="O2962" s="36" t="str">
        <f t="shared" si="3"/>
        <v/>
      </c>
      <c r="P2962" s="15"/>
      <c r="Q2962" s="37" t="str">
        <f t="shared" si="4"/>
        <v/>
      </c>
      <c r="R2962" s="37" t="str">
        <f t="shared" si="5"/>
        <v/>
      </c>
      <c r="S2962" s="32" t="str">
        <f t="shared" si="6"/>
        <v/>
      </c>
      <c r="T2962" s="37" t="str">
        <f t="shared" si="7"/>
        <v/>
      </c>
      <c r="U2962" s="37" t="str">
        <f t="array" ref="U2962">IF($F2962="","",IFERROR(INDEX(Config!$F:$F,MATCH($F2962,Config!$D:$D,0)),0))</f>
        <v/>
      </c>
    </row>
    <row r="2963" ht="15.0" customHeight="1">
      <c r="A2963" s="34"/>
      <c r="B2963" s="35"/>
      <c r="C2963" s="15"/>
      <c r="D2963" s="15"/>
      <c r="E2963" s="15"/>
      <c r="F2963" s="15"/>
      <c r="G2963" s="36" t="str">
        <f t="array" ref="G2963">IF($F2963="","",IFERROR(INDEX(Config!$E:$E,MATCH($F2963,Config!$D:$D,0)),0))</f>
        <v/>
      </c>
      <c r="H2963" s="16"/>
      <c r="I2963" s="36" t="str">
        <f t="shared" si="1"/>
        <v/>
      </c>
      <c r="J2963" s="16"/>
      <c r="K2963" s="15"/>
      <c r="L2963" s="15"/>
      <c r="M2963" s="36" t="str">
        <f t="array" ref="M2963">IF($A2963="","",IF($L2963="Atendido",IFERROR($I2963*INDEX(Config!$B:$B,MATCH($C2963,Config!$A:$A,0)),0),0))</f>
        <v/>
      </c>
      <c r="N2963" s="36" t="str">
        <f t="shared" si="2"/>
        <v/>
      </c>
      <c r="O2963" s="36" t="str">
        <f t="shared" si="3"/>
        <v/>
      </c>
      <c r="P2963" s="15"/>
      <c r="Q2963" s="37" t="str">
        <f t="shared" si="4"/>
        <v/>
      </c>
      <c r="R2963" s="37" t="str">
        <f t="shared" si="5"/>
        <v/>
      </c>
      <c r="S2963" s="32" t="str">
        <f t="shared" si="6"/>
        <v/>
      </c>
      <c r="T2963" s="37" t="str">
        <f t="shared" si="7"/>
        <v/>
      </c>
      <c r="U2963" s="37" t="str">
        <f t="array" ref="U2963">IF($F2963="","",IFERROR(INDEX(Config!$F:$F,MATCH($F2963,Config!$D:$D,0)),0))</f>
        <v/>
      </c>
    </row>
    <row r="2964" ht="15.0" customHeight="1">
      <c r="A2964" s="34"/>
      <c r="B2964" s="35"/>
      <c r="C2964" s="15"/>
      <c r="D2964" s="15"/>
      <c r="E2964" s="15"/>
      <c r="F2964" s="15"/>
      <c r="G2964" s="36" t="str">
        <f t="array" ref="G2964">IF($F2964="","",IFERROR(INDEX(Config!$E:$E,MATCH($F2964,Config!$D:$D,0)),0))</f>
        <v/>
      </c>
      <c r="H2964" s="16"/>
      <c r="I2964" s="36" t="str">
        <f t="shared" si="1"/>
        <v/>
      </c>
      <c r="J2964" s="16"/>
      <c r="K2964" s="15"/>
      <c r="L2964" s="15"/>
      <c r="M2964" s="36" t="str">
        <f t="array" ref="M2964">IF($A2964="","",IF($L2964="Atendido",IFERROR($I2964*INDEX(Config!$B:$B,MATCH($C2964,Config!$A:$A,0)),0),0))</f>
        <v/>
      </c>
      <c r="N2964" s="36" t="str">
        <f t="shared" si="2"/>
        <v/>
      </c>
      <c r="O2964" s="36" t="str">
        <f t="shared" si="3"/>
        <v/>
      </c>
      <c r="P2964" s="15"/>
      <c r="Q2964" s="37" t="str">
        <f t="shared" si="4"/>
        <v/>
      </c>
      <c r="R2964" s="37" t="str">
        <f t="shared" si="5"/>
        <v/>
      </c>
      <c r="S2964" s="32" t="str">
        <f t="shared" si="6"/>
        <v/>
      </c>
      <c r="T2964" s="37" t="str">
        <f t="shared" si="7"/>
        <v/>
      </c>
      <c r="U2964" s="37" t="str">
        <f t="array" ref="U2964">IF($F2964="","",IFERROR(INDEX(Config!$F:$F,MATCH($F2964,Config!$D:$D,0)),0))</f>
        <v/>
      </c>
    </row>
    <row r="2965" ht="15.0" customHeight="1">
      <c r="A2965" s="34"/>
      <c r="B2965" s="35"/>
      <c r="C2965" s="15"/>
      <c r="D2965" s="15"/>
      <c r="E2965" s="15"/>
      <c r="F2965" s="15"/>
      <c r="G2965" s="36" t="str">
        <f t="array" ref="G2965">IF($F2965="","",IFERROR(INDEX(Config!$E:$E,MATCH($F2965,Config!$D:$D,0)),0))</f>
        <v/>
      </c>
      <c r="H2965" s="16"/>
      <c r="I2965" s="36" t="str">
        <f t="shared" si="1"/>
        <v/>
      </c>
      <c r="J2965" s="16"/>
      <c r="K2965" s="15"/>
      <c r="L2965" s="15"/>
      <c r="M2965" s="36" t="str">
        <f t="array" ref="M2965">IF($A2965="","",IF($L2965="Atendido",IFERROR($I2965*INDEX(Config!$B:$B,MATCH($C2965,Config!$A:$A,0)),0),0))</f>
        <v/>
      </c>
      <c r="N2965" s="36" t="str">
        <f t="shared" si="2"/>
        <v/>
      </c>
      <c r="O2965" s="36" t="str">
        <f t="shared" si="3"/>
        <v/>
      </c>
      <c r="P2965" s="15"/>
      <c r="Q2965" s="37" t="str">
        <f t="shared" si="4"/>
        <v/>
      </c>
      <c r="R2965" s="37" t="str">
        <f t="shared" si="5"/>
        <v/>
      </c>
      <c r="S2965" s="32" t="str">
        <f t="shared" si="6"/>
        <v/>
      </c>
      <c r="T2965" s="37" t="str">
        <f t="shared" si="7"/>
        <v/>
      </c>
      <c r="U2965" s="37" t="str">
        <f t="array" ref="U2965">IF($F2965="","",IFERROR(INDEX(Config!$F:$F,MATCH($F2965,Config!$D:$D,0)),0))</f>
        <v/>
      </c>
    </row>
    <row r="2966" ht="15.0" customHeight="1">
      <c r="A2966" s="34"/>
      <c r="B2966" s="35"/>
      <c r="C2966" s="15"/>
      <c r="D2966" s="15"/>
      <c r="E2966" s="15"/>
      <c r="F2966" s="15"/>
      <c r="G2966" s="36" t="str">
        <f t="array" ref="G2966">IF($F2966="","",IFERROR(INDEX(Config!$E:$E,MATCH($F2966,Config!$D:$D,0)),0))</f>
        <v/>
      </c>
      <c r="H2966" s="16"/>
      <c r="I2966" s="36" t="str">
        <f t="shared" si="1"/>
        <v/>
      </c>
      <c r="J2966" s="16"/>
      <c r="K2966" s="15"/>
      <c r="L2966" s="15"/>
      <c r="M2966" s="36" t="str">
        <f t="array" ref="M2966">IF($A2966="","",IF($L2966="Atendido",IFERROR($I2966*INDEX(Config!$B:$B,MATCH($C2966,Config!$A:$A,0)),0),0))</f>
        <v/>
      </c>
      <c r="N2966" s="36" t="str">
        <f t="shared" si="2"/>
        <v/>
      </c>
      <c r="O2966" s="36" t="str">
        <f t="shared" si="3"/>
        <v/>
      </c>
      <c r="P2966" s="15"/>
      <c r="Q2966" s="37" t="str">
        <f t="shared" si="4"/>
        <v/>
      </c>
      <c r="R2966" s="37" t="str">
        <f t="shared" si="5"/>
        <v/>
      </c>
      <c r="S2966" s="32" t="str">
        <f t="shared" si="6"/>
        <v/>
      </c>
      <c r="T2966" s="37" t="str">
        <f t="shared" si="7"/>
        <v/>
      </c>
      <c r="U2966" s="37" t="str">
        <f t="array" ref="U2966">IF($F2966="","",IFERROR(INDEX(Config!$F:$F,MATCH($F2966,Config!$D:$D,0)),0))</f>
        <v/>
      </c>
    </row>
    <row r="2967" ht="15.0" customHeight="1">
      <c r="A2967" s="34"/>
      <c r="B2967" s="35"/>
      <c r="C2967" s="15"/>
      <c r="D2967" s="15"/>
      <c r="E2967" s="15"/>
      <c r="F2967" s="15"/>
      <c r="G2967" s="36" t="str">
        <f t="array" ref="G2967">IF($F2967="","",IFERROR(INDEX(Config!$E:$E,MATCH($F2967,Config!$D:$D,0)),0))</f>
        <v/>
      </c>
      <c r="H2967" s="16"/>
      <c r="I2967" s="36" t="str">
        <f t="shared" si="1"/>
        <v/>
      </c>
      <c r="J2967" s="16"/>
      <c r="K2967" s="15"/>
      <c r="L2967" s="15"/>
      <c r="M2967" s="36" t="str">
        <f t="array" ref="M2967">IF($A2967="","",IF($L2967="Atendido",IFERROR($I2967*INDEX(Config!$B:$B,MATCH($C2967,Config!$A:$A,0)),0),0))</f>
        <v/>
      </c>
      <c r="N2967" s="36" t="str">
        <f t="shared" si="2"/>
        <v/>
      </c>
      <c r="O2967" s="36" t="str">
        <f t="shared" si="3"/>
        <v/>
      </c>
      <c r="P2967" s="15"/>
      <c r="Q2967" s="37" t="str">
        <f t="shared" si="4"/>
        <v/>
      </c>
      <c r="R2967" s="37" t="str">
        <f t="shared" si="5"/>
        <v/>
      </c>
      <c r="S2967" s="32" t="str">
        <f t="shared" si="6"/>
        <v/>
      </c>
      <c r="T2967" s="37" t="str">
        <f t="shared" si="7"/>
        <v/>
      </c>
      <c r="U2967" s="37" t="str">
        <f t="array" ref="U2967">IF($F2967="","",IFERROR(INDEX(Config!$F:$F,MATCH($F2967,Config!$D:$D,0)),0))</f>
        <v/>
      </c>
    </row>
    <row r="2968" ht="15.0" customHeight="1">
      <c r="A2968" s="34"/>
      <c r="B2968" s="35"/>
      <c r="C2968" s="15"/>
      <c r="D2968" s="15"/>
      <c r="E2968" s="15"/>
      <c r="F2968" s="15"/>
      <c r="G2968" s="36" t="str">
        <f t="array" ref="G2968">IF($F2968="","",IFERROR(INDEX(Config!$E:$E,MATCH($F2968,Config!$D:$D,0)),0))</f>
        <v/>
      </c>
      <c r="H2968" s="16"/>
      <c r="I2968" s="36" t="str">
        <f t="shared" si="1"/>
        <v/>
      </c>
      <c r="J2968" s="16"/>
      <c r="K2968" s="15"/>
      <c r="L2968" s="15"/>
      <c r="M2968" s="36" t="str">
        <f t="array" ref="M2968">IF($A2968="","",IF($L2968="Atendido",IFERROR($I2968*INDEX(Config!$B:$B,MATCH($C2968,Config!$A:$A,0)),0),0))</f>
        <v/>
      </c>
      <c r="N2968" s="36" t="str">
        <f t="shared" si="2"/>
        <v/>
      </c>
      <c r="O2968" s="36" t="str">
        <f t="shared" si="3"/>
        <v/>
      </c>
      <c r="P2968" s="15"/>
      <c r="Q2968" s="37" t="str">
        <f t="shared" si="4"/>
        <v/>
      </c>
      <c r="R2968" s="37" t="str">
        <f t="shared" si="5"/>
        <v/>
      </c>
      <c r="S2968" s="32" t="str">
        <f t="shared" si="6"/>
        <v/>
      </c>
      <c r="T2968" s="37" t="str">
        <f t="shared" si="7"/>
        <v/>
      </c>
      <c r="U2968" s="37" t="str">
        <f t="array" ref="U2968">IF($F2968="","",IFERROR(INDEX(Config!$F:$F,MATCH($F2968,Config!$D:$D,0)),0))</f>
        <v/>
      </c>
    </row>
    <row r="2969" ht="15.0" customHeight="1">
      <c r="A2969" s="34"/>
      <c r="B2969" s="35"/>
      <c r="C2969" s="15"/>
      <c r="D2969" s="15"/>
      <c r="E2969" s="15"/>
      <c r="F2969" s="15"/>
      <c r="G2969" s="36" t="str">
        <f t="array" ref="G2969">IF($F2969="","",IFERROR(INDEX(Config!$E:$E,MATCH($F2969,Config!$D:$D,0)),0))</f>
        <v/>
      </c>
      <c r="H2969" s="16"/>
      <c r="I2969" s="36" t="str">
        <f t="shared" si="1"/>
        <v/>
      </c>
      <c r="J2969" s="16"/>
      <c r="K2969" s="15"/>
      <c r="L2969" s="15"/>
      <c r="M2969" s="36" t="str">
        <f t="array" ref="M2969">IF($A2969="","",IF($L2969="Atendido",IFERROR($I2969*INDEX(Config!$B:$B,MATCH($C2969,Config!$A:$A,0)),0),0))</f>
        <v/>
      </c>
      <c r="N2969" s="36" t="str">
        <f t="shared" si="2"/>
        <v/>
      </c>
      <c r="O2969" s="36" t="str">
        <f t="shared" si="3"/>
        <v/>
      </c>
      <c r="P2969" s="15"/>
      <c r="Q2969" s="37" t="str">
        <f t="shared" si="4"/>
        <v/>
      </c>
      <c r="R2969" s="37" t="str">
        <f t="shared" si="5"/>
        <v/>
      </c>
      <c r="S2969" s="32" t="str">
        <f t="shared" si="6"/>
        <v/>
      </c>
      <c r="T2969" s="37" t="str">
        <f t="shared" si="7"/>
        <v/>
      </c>
      <c r="U2969" s="37" t="str">
        <f t="array" ref="U2969">IF($F2969="","",IFERROR(INDEX(Config!$F:$F,MATCH($F2969,Config!$D:$D,0)),0))</f>
        <v/>
      </c>
    </row>
    <row r="2970" ht="15.0" customHeight="1">
      <c r="A2970" s="34"/>
      <c r="B2970" s="35"/>
      <c r="C2970" s="15"/>
      <c r="D2970" s="15"/>
      <c r="E2970" s="15"/>
      <c r="F2970" s="15"/>
      <c r="G2970" s="36" t="str">
        <f t="array" ref="G2970">IF($F2970="","",IFERROR(INDEX(Config!$E:$E,MATCH($F2970,Config!$D:$D,0)),0))</f>
        <v/>
      </c>
      <c r="H2970" s="16"/>
      <c r="I2970" s="36" t="str">
        <f t="shared" si="1"/>
        <v/>
      </c>
      <c r="J2970" s="16"/>
      <c r="K2970" s="15"/>
      <c r="L2970" s="15"/>
      <c r="M2970" s="36" t="str">
        <f t="array" ref="M2970">IF($A2970="","",IF($L2970="Atendido",IFERROR($I2970*INDEX(Config!$B:$B,MATCH($C2970,Config!$A:$A,0)),0),0))</f>
        <v/>
      </c>
      <c r="N2970" s="36" t="str">
        <f t="shared" si="2"/>
        <v/>
      </c>
      <c r="O2970" s="36" t="str">
        <f t="shared" si="3"/>
        <v/>
      </c>
      <c r="P2970" s="15"/>
      <c r="Q2970" s="37" t="str">
        <f t="shared" si="4"/>
        <v/>
      </c>
      <c r="R2970" s="37" t="str">
        <f t="shared" si="5"/>
        <v/>
      </c>
      <c r="S2970" s="32" t="str">
        <f t="shared" si="6"/>
        <v/>
      </c>
      <c r="T2970" s="37" t="str">
        <f t="shared" si="7"/>
        <v/>
      </c>
      <c r="U2970" s="37" t="str">
        <f t="array" ref="U2970">IF($F2970="","",IFERROR(INDEX(Config!$F:$F,MATCH($F2970,Config!$D:$D,0)),0))</f>
        <v/>
      </c>
    </row>
    <row r="2971" ht="15.0" customHeight="1">
      <c r="A2971" s="34"/>
      <c r="B2971" s="35"/>
      <c r="C2971" s="15"/>
      <c r="D2971" s="15"/>
      <c r="E2971" s="15"/>
      <c r="F2971" s="15"/>
      <c r="G2971" s="36" t="str">
        <f t="array" ref="G2971">IF($F2971="","",IFERROR(INDEX(Config!$E:$E,MATCH($F2971,Config!$D:$D,0)),0))</f>
        <v/>
      </c>
      <c r="H2971" s="16"/>
      <c r="I2971" s="36" t="str">
        <f t="shared" si="1"/>
        <v/>
      </c>
      <c r="J2971" s="16"/>
      <c r="K2971" s="15"/>
      <c r="L2971" s="15"/>
      <c r="M2971" s="36" t="str">
        <f t="array" ref="M2971">IF($A2971="","",IF($L2971="Atendido",IFERROR($I2971*INDEX(Config!$B:$B,MATCH($C2971,Config!$A:$A,0)),0),0))</f>
        <v/>
      </c>
      <c r="N2971" s="36" t="str">
        <f t="shared" si="2"/>
        <v/>
      </c>
      <c r="O2971" s="36" t="str">
        <f t="shared" si="3"/>
        <v/>
      </c>
      <c r="P2971" s="15"/>
      <c r="Q2971" s="37" t="str">
        <f t="shared" si="4"/>
        <v/>
      </c>
      <c r="R2971" s="37" t="str">
        <f t="shared" si="5"/>
        <v/>
      </c>
      <c r="S2971" s="32" t="str">
        <f t="shared" si="6"/>
        <v/>
      </c>
      <c r="T2971" s="37" t="str">
        <f t="shared" si="7"/>
        <v/>
      </c>
      <c r="U2971" s="37" t="str">
        <f t="array" ref="U2971">IF($F2971="","",IFERROR(INDEX(Config!$F:$F,MATCH($F2971,Config!$D:$D,0)),0))</f>
        <v/>
      </c>
    </row>
    <row r="2972" ht="15.0" customHeight="1">
      <c r="A2972" s="34"/>
      <c r="B2972" s="35"/>
      <c r="C2972" s="15"/>
      <c r="D2972" s="15"/>
      <c r="E2972" s="15"/>
      <c r="F2972" s="15"/>
      <c r="G2972" s="36" t="str">
        <f t="array" ref="G2972">IF($F2972="","",IFERROR(INDEX(Config!$E:$E,MATCH($F2972,Config!$D:$D,0)),0))</f>
        <v/>
      </c>
      <c r="H2972" s="16"/>
      <c r="I2972" s="36" t="str">
        <f t="shared" si="1"/>
        <v/>
      </c>
      <c r="J2972" s="16"/>
      <c r="K2972" s="15"/>
      <c r="L2972" s="15"/>
      <c r="M2972" s="36" t="str">
        <f t="array" ref="M2972">IF($A2972="","",IF($L2972="Atendido",IFERROR($I2972*INDEX(Config!$B:$B,MATCH($C2972,Config!$A:$A,0)),0),0))</f>
        <v/>
      </c>
      <c r="N2972" s="36" t="str">
        <f t="shared" si="2"/>
        <v/>
      </c>
      <c r="O2972" s="36" t="str">
        <f t="shared" si="3"/>
        <v/>
      </c>
      <c r="P2972" s="15"/>
      <c r="Q2972" s="37" t="str">
        <f t="shared" si="4"/>
        <v/>
      </c>
      <c r="R2972" s="37" t="str">
        <f t="shared" si="5"/>
        <v/>
      </c>
      <c r="S2972" s="32" t="str">
        <f t="shared" si="6"/>
        <v/>
      </c>
      <c r="T2972" s="37" t="str">
        <f t="shared" si="7"/>
        <v/>
      </c>
      <c r="U2972" s="37" t="str">
        <f t="array" ref="U2972">IF($F2972="","",IFERROR(INDEX(Config!$F:$F,MATCH($F2972,Config!$D:$D,0)),0))</f>
        <v/>
      </c>
    </row>
    <row r="2973" ht="15.0" customHeight="1">
      <c r="A2973" s="34"/>
      <c r="B2973" s="35"/>
      <c r="C2973" s="15"/>
      <c r="D2973" s="15"/>
      <c r="E2973" s="15"/>
      <c r="F2973" s="15"/>
      <c r="G2973" s="36" t="str">
        <f t="array" ref="G2973">IF($F2973="","",IFERROR(INDEX(Config!$E:$E,MATCH($F2973,Config!$D:$D,0)),0))</f>
        <v/>
      </c>
      <c r="H2973" s="16"/>
      <c r="I2973" s="36" t="str">
        <f t="shared" si="1"/>
        <v/>
      </c>
      <c r="J2973" s="16"/>
      <c r="K2973" s="15"/>
      <c r="L2973" s="15"/>
      <c r="M2973" s="36" t="str">
        <f t="array" ref="M2973">IF($A2973="","",IF($L2973="Atendido",IFERROR($I2973*INDEX(Config!$B:$B,MATCH($C2973,Config!$A:$A,0)),0),0))</f>
        <v/>
      </c>
      <c r="N2973" s="36" t="str">
        <f t="shared" si="2"/>
        <v/>
      </c>
      <c r="O2973" s="36" t="str">
        <f t="shared" si="3"/>
        <v/>
      </c>
      <c r="P2973" s="15"/>
      <c r="Q2973" s="37" t="str">
        <f t="shared" si="4"/>
        <v/>
      </c>
      <c r="R2973" s="37" t="str">
        <f t="shared" si="5"/>
        <v/>
      </c>
      <c r="S2973" s="32" t="str">
        <f t="shared" si="6"/>
        <v/>
      </c>
      <c r="T2973" s="37" t="str">
        <f t="shared" si="7"/>
        <v/>
      </c>
      <c r="U2973" s="37" t="str">
        <f t="array" ref="U2973">IF($F2973="","",IFERROR(INDEX(Config!$F:$F,MATCH($F2973,Config!$D:$D,0)),0))</f>
        <v/>
      </c>
    </row>
    <row r="2974" ht="15.0" customHeight="1">
      <c r="A2974" s="34"/>
      <c r="B2974" s="35"/>
      <c r="C2974" s="15"/>
      <c r="D2974" s="15"/>
      <c r="E2974" s="15"/>
      <c r="F2974" s="15"/>
      <c r="G2974" s="36" t="str">
        <f t="array" ref="G2974">IF($F2974="","",IFERROR(INDEX(Config!$E:$E,MATCH($F2974,Config!$D:$D,0)),0))</f>
        <v/>
      </c>
      <c r="H2974" s="16"/>
      <c r="I2974" s="36" t="str">
        <f t="shared" si="1"/>
        <v/>
      </c>
      <c r="J2974" s="16"/>
      <c r="K2974" s="15"/>
      <c r="L2974" s="15"/>
      <c r="M2974" s="36" t="str">
        <f t="array" ref="M2974">IF($A2974="","",IF($L2974="Atendido",IFERROR($I2974*INDEX(Config!$B:$B,MATCH($C2974,Config!$A:$A,0)),0),0))</f>
        <v/>
      </c>
      <c r="N2974" s="36" t="str">
        <f t="shared" si="2"/>
        <v/>
      </c>
      <c r="O2974" s="36" t="str">
        <f t="shared" si="3"/>
        <v/>
      </c>
      <c r="P2974" s="15"/>
      <c r="Q2974" s="37" t="str">
        <f t="shared" si="4"/>
        <v/>
      </c>
      <c r="R2974" s="37" t="str">
        <f t="shared" si="5"/>
        <v/>
      </c>
      <c r="S2974" s="32" t="str">
        <f t="shared" si="6"/>
        <v/>
      </c>
      <c r="T2974" s="37" t="str">
        <f t="shared" si="7"/>
        <v/>
      </c>
      <c r="U2974" s="37" t="str">
        <f t="array" ref="U2974">IF($F2974="","",IFERROR(INDEX(Config!$F:$F,MATCH($F2974,Config!$D:$D,0)),0))</f>
        <v/>
      </c>
    </row>
    <row r="2975" ht="15.0" customHeight="1">
      <c r="A2975" s="34"/>
      <c r="B2975" s="35"/>
      <c r="C2975" s="15"/>
      <c r="D2975" s="15"/>
      <c r="E2975" s="15"/>
      <c r="F2975" s="15"/>
      <c r="G2975" s="36" t="str">
        <f t="array" ref="G2975">IF($F2975="","",IFERROR(INDEX(Config!$E:$E,MATCH($F2975,Config!$D:$D,0)),0))</f>
        <v/>
      </c>
      <c r="H2975" s="16"/>
      <c r="I2975" s="36" t="str">
        <f t="shared" si="1"/>
        <v/>
      </c>
      <c r="J2975" s="16"/>
      <c r="K2975" s="15"/>
      <c r="L2975" s="15"/>
      <c r="M2975" s="36" t="str">
        <f t="array" ref="M2975">IF($A2975="","",IF($L2975="Atendido",IFERROR($I2975*INDEX(Config!$B:$B,MATCH($C2975,Config!$A:$A,0)),0),0))</f>
        <v/>
      </c>
      <c r="N2975" s="36" t="str">
        <f t="shared" si="2"/>
        <v/>
      </c>
      <c r="O2975" s="36" t="str">
        <f t="shared" si="3"/>
        <v/>
      </c>
      <c r="P2975" s="15"/>
      <c r="Q2975" s="37" t="str">
        <f t="shared" si="4"/>
        <v/>
      </c>
      <c r="R2975" s="37" t="str">
        <f t="shared" si="5"/>
        <v/>
      </c>
      <c r="S2975" s="32" t="str">
        <f t="shared" si="6"/>
        <v/>
      </c>
      <c r="T2975" s="37" t="str">
        <f t="shared" si="7"/>
        <v/>
      </c>
      <c r="U2975" s="37" t="str">
        <f t="array" ref="U2975">IF($F2975="","",IFERROR(INDEX(Config!$F:$F,MATCH($F2975,Config!$D:$D,0)),0))</f>
        <v/>
      </c>
    </row>
    <row r="2976" ht="15.0" customHeight="1">
      <c r="A2976" s="34"/>
      <c r="B2976" s="35"/>
      <c r="C2976" s="15"/>
      <c r="D2976" s="15"/>
      <c r="E2976" s="15"/>
      <c r="F2976" s="15"/>
      <c r="G2976" s="36" t="str">
        <f t="array" ref="G2976">IF($F2976="","",IFERROR(INDEX(Config!$E:$E,MATCH($F2976,Config!$D:$D,0)),0))</f>
        <v/>
      </c>
      <c r="H2976" s="16"/>
      <c r="I2976" s="36" t="str">
        <f t="shared" si="1"/>
        <v/>
      </c>
      <c r="J2976" s="16"/>
      <c r="K2976" s="15"/>
      <c r="L2976" s="15"/>
      <c r="M2976" s="36" t="str">
        <f t="array" ref="M2976">IF($A2976="","",IF($L2976="Atendido",IFERROR($I2976*INDEX(Config!$B:$B,MATCH($C2976,Config!$A:$A,0)),0),0))</f>
        <v/>
      </c>
      <c r="N2976" s="36" t="str">
        <f t="shared" si="2"/>
        <v/>
      </c>
      <c r="O2976" s="36" t="str">
        <f t="shared" si="3"/>
        <v/>
      </c>
      <c r="P2976" s="15"/>
      <c r="Q2976" s="37" t="str">
        <f t="shared" si="4"/>
        <v/>
      </c>
      <c r="R2976" s="37" t="str">
        <f t="shared" si="5"/>
        <v/>
      </c>
      <c r="S2976" s="32" t="str">
        <f t="shared" si="6"/>
        <v/>
      </c>
      <c r="T2976" s="37" t="str">
        <f t="shared" si="7"/>
        <v/>
      </c>
      <c r="U2976" s="37" t="str">
        <f t="array" ref="U2976">IF($F2976="","",IFERROR(INDEX(Config!$F:$F,MATCH($F2976,Config!$D:$D,0)),0))</f>
        <v/>
      </c>
    </row>
    <row r="2977" ht="15.0" customHeight="1">
      <c r="A2977" s="34"/>
      <c r="B2977" s="35"/>
      <c r="C2977" s="15"/>
      <c r="D2977" s="15"/>
      <c r="E2977" s="15"/>
      <c r="F2977" s="15"/>
      <c r="G2977" s="36" t="str">
        <f t="array" ref="G2977">IF($F2977="","",IFERROR(INDEX(Config!$E:$E,MATCH($F2977,Config!$D:$D,0)),0))</f>
        <v/>
      </c>
      <c r="H2977" s="16"/>
      <c r="I2977" s="36" t="str">
        <f t="shared" si="1"/>
        <v/>
      </c>
      <c r="J2977" s="16"/>
      <c r="K2977" s="15"/>
      <c r="L2977" s="15"/>
      <c r="M2977" s="36" t="str">
        <f t="array" ref="M2977">IF($A2977="","",IF($L2977="Atendido",IFERROR($I2977*INDEX(Config!$B:$B,MATCH($C2977,Config!$A:$A,0)),0),0))</f>
        <v/>
      </c>
      <c r="N2977" s="36" t="str">
        <f t="shared" si="2"/>
        <v/>
      </c>
      <c r="O2977" s="36" t="str">
        <f t="shared" si="3"/>
        <v/>
      </c>
      <c r="P2977" s="15"/>
      <c r="Q2977" s="37" t="str">
        <f t="shared" si="4"/>
        <v/>
      </c>
      <c r="R2977" s="37" t="str">
        <f t="shared" si="5"/>
        <v/>
      </c>
      <c r="S2977" s="32" t="str">
        <f t="shared" si="6"/>
        <v/>
      </c>
      <c r="T2977" s="37" t="str">
        <f t="shared" si="7"/>
        <v/>
      </c>
      <c r="U2977" s="37" t="str">
        <f t="array" ref="U2977">IF($F2977="","",IFERROR(INDEX(Config!$F:$F,MATCH($F2977,Config!$D:$D,0)),0))</f>
        <v/>
      </c>
    </row>
    <row r="2978" ht="15.0" customHeight="1">
      <c r="A2978" s="34"/>
      <c r="B2978" s="35"/>
      <c r="C2978" s="15"/>
      <c r="D2978" s="15"/>
      <c r="E2978" s="15"/>
      <c r="F2978" s="15"/>
      <c r="G2978" s="36" t="str">
        <f t="array" ref="G2978">IF($F2978="","",IFERROR(INDEX(Config!$E:$E,MATCH($F2978,Config!$D:$D,0)),0))</f>
        <v/>
      </c>
      <c r="H2978" s="16"/>
      <c r="I2978" s="36" t="str">
        <f t="shared" si="1"/>
        <v/>
      </c>
      <c r="J2978" s="16"/>
      <c r="K2978" s="15"/>
      <c r="L2978" s="15"/>
      <c r="M2978" s="36" t="str">
        <f t="array" ref="M2978">IF($A2978="","",IF($L2978="Atendido",IFERROR($I2978*INDEX(Config!$B:$B,MATCH($C2978,Config!$A:$A,0)),0),0))</f>
        <v/>
      </c>
      <c r="N2978" s="36" t="str">
        <f t="shared" si="2"/>
        <v/>
      </c>
      <c r="O2978" s="36" t="str">
        <f t="shared" si="3"/>
        <v/>
      </c>
      <c r="P2978" s="15"/>
      <c r="Q2978" s="37" t="str">
        <f t="shared" si="4"/>
        <v/>
      </c>
      <c r="R2978" s="37" t="str">
        <f t="shared" si="5"/>
        <v/>
      </c>
      <c r="S2978" s="32" t="str">
        <f t="shared" si="6"/>
        <v/>
      </c>
      <c r="T2978" s="37" t="str">
        <f t="shared" si="7"/>
        <v/>
      </c>
      <c r="U2978" s="37" t="str">
        <f t="array" ref="U2978">IF($F2978="","",IFERROR(INDEX(Config!$F:$F,MATCH($F2978,Config!$D:$D,0)),0))</f>
        <v/>
      </c>
    </row>
    <row r="2979" ht="15.0" customHeight="1">
      <c r="A2979" s="34"/>
      <c r="B2979" s="35"/>
      <c r="C2979" s="15"/>
      <c r="D2979" s="15"/>
      <c r="E2979" s="15"/>
      <c r="F2979" s="15"/>
      <c r="G2979" s="36" t="str">
        <f t="array" ref="G2979">IF($F2979="","",IFERROR(INDEX(Config!$E:$E,MATCH($F2979,Config!$D:$D,0)),0))</f>
        <v/>
      </c>
      <c r="H2979" s="16"/>
      <c r="I2979" s="36" t="str">
        <f t="shared" si="1"/>
        <v/>
      </c>
      <c r="J2979" s="16"/>
      <c r="K2979" s="15"/>
      <c r="L2979" s="15"/>
      <c r="M2979" s="36" t="str">
        <f t="array" ref="M2979">IF($A2979="","",IF($L2979="Atendido",IFERROR($I2979*INDEX(Config!$B:$B,MATCH($C2979,Config!$A:$A,0)),0),0))</f>
        <v/>
      </c>
      <c r="N2979" s="36" t="str">
        <f t="shared" si="2"/>
        <v/>
      </c>
      <c r="O2979" s="36" t="str">
        <f t="shared" si="3"/>
        <v/>
      </c>
      <c r="P2979" s="15"/>
      <c r="Q2979" s="37" t="str">
        <f t="shared" si="4"/>
        <v/>
      </c>
      <c r="R2979" s="37" t="str">
        <f t="shared" si="5"/>
        <v/>
      </c>
      <c r="S2979" s="32" t="str">
        <f t="shared" si="6"/>
        <v/>
      </c>
      <c r="T2979" s="37" t="str">
        <f t="shared" si="7"/>
        <v/>
      </c>
      <c r="U2979" s="37" t="str">
        <f t="array" ref="U2979">IF($F2979="","",IFERROR(INDEX(Config!$F:$F,MATCH($F2979,Config!$D:$D,0)),0))</f>
        <v/>
      </c>
    </row>
    <row r="2980" ht="15.0" customHeight="1">
      <c r="A2980" s="34"/>
      <c r="B2980" s="35"/>
      <c r="C2980" s="15"/>
      <c r="D2980" s="15"/>
      <c r="E2980" s="15"/>
      <c r="F2980" s="15"/>
      <c r="G2980" s="36" t="str">
        <f t="array" ref="G2980">IF($F2980="","",IFERROR(INDEX(Config!$E:$E,MATCH($F2980,Config!$D:$D,0)),0))</f>
        <v/>
      </c>
      <c r="H2980" s="16"/>
      <c r="I2980" s="36" t="str">
        <f t="shared" si="1"/>
        <v/>
      </c>
      <c r="J2980" s="16"/>
      <c r="K2980" s="15"/>
      <c r="L2980" s="15"/>
      <c r="M2980" s="36" t="str">
        <f t="array" ref="M2980">IF($A2980="","",IF($L2980="Atendido",IFERROR($I2980*INDEX(Config!$B:$B,MATCH($C2980,Config!$A:$A,0)),0),0))</f>
        <v/>
      </c>
      <c r="N2980" s="36" t="str">
        <f t="shared" si="2"/>
        <v/>
      </c>
      <c r="O2980" s="36" t="str">
        <f t="shared" si="3"/>
        <v/>
      </c>
      <c r="P2980" s="15"/>
      <c r="Q2980" s="37" t="str">
        <f t="shared" si="4"/>
        <v/>
      </c>
      <c r="R2980" s="37" t="str">
        <f t="shared" si="5"/>
        <v/>
      </c>
      <c r="S2980" s="32" t="str">
        <f t="shared" si="6"/>
        <v/>
      </c>
      <c r="T2980" s="37" t="str">
        <f t="shared" si="7"/>
        <v/>
      </c>
      <c r="U2980" s="37" t="str">
        <f t="array" ref="U2980">IF($F2980="","",IFERROR(INDEX(Config!$F:$F,MATCH($F2980,Config!$D:$D,0)),0))</f>
        <v/>
      </c>
    </row>
    <row r="2981" ht="15.0" customHeight="1">
      <c r="A2981" s="34"/>
      <c r="B2981" s="35"/>
      <c r="C2981" s="15"/>
      <c r="D2981" s="15"/>
      <c r="E2981" s="15"/>
      <c r="F2981" s="15"/>
      <c r="G2981" s="36" t="str">
        <f t="array" ref="G2981">IF($F2981="","",IFERROR(INDEX(Config!$E:$E,MATCH($F2981,Config!$D:$D,0)),0))</f>
        <v/>
      </c>
      <c r="H2981" s="16"/>
      <c r="I2981" s="36" t="str">
        <f t="shared" si="1"/>
        <v/>
      </c>
      <c r="J2981" s="16"/>
      <c r="K2981" s="15"/>
      <c r="L2981" s="15"/>
      <c r="M2981" s="36" t="str">
        <f t="array" ref="M2981">IF($A2981="","",IF($L2981="Atendido",IFERROR($I2981*INDEX(Config!$B:$B,MATCH($C2981,Config!$A:$A,0)),0),0))</f>
        <v/>
      </c>
      <c r="N2981" s="36" t="str">
        <f t="shared" si="2"/>
        <v/>
      </c>
      <c r="O2981" s="36" t="str">
        <f t="shared" si="3"/>
        <v/>
      </c>
      <c r="P2981" s="15"/>
      <c r="Q2981" s="37" t="str">
        <f t="shared" si="4"/>
        <v/>
      </c>
      <c r="R2981" s="37" t="str">
        <f t="shared" si="5"/>
        <v/>
      </c>
      <c r="S2981" s="32" t="str">
        <f t="shared" si="6"/>
        <v/>
      </c>
      <c r="T2981" s="37" t="str">
        <f t="shared" si="7"/>
        <v/>
      </c>
      <c r="U2981" s="37" t="str">
        <f t="array" ref="U2981">IF($F2981="","",IFERROR(INDEX(Config!$F:$F,MATCH($F2981,Config!$D:$D,0)),0))</f>
        <v/>
      </c>
    </row>
    <row r="2982" ht="15.0" customHeight="1">
      <c r="A2982" s="34"/>
      <c r="B2982" s="35"/>
      <c r="C2982" s="15"/>
      <c r="D2982" s="15"/>
      <c r="E2982" s="15"/>
      <c r="F2982" s="15"/>
      <c r="G2982" s="36" t="str">
        <f t="array" ref="G2982">IF($F2982="","",IFERROR(INDEX(Config!$E:$E,MATCH($F2982,Config!$D:$D,0)),0))</f>
        <v/>
      </c>
      <c r="H2982" s="16"/>
      <c r="I2982" s="36" t="str">
        <f t="shared" si="1"/>
        <v/>
      </c>
      <c r="J2982" s="16"/>
      <c r="K2982" s="15"/>
      <c r="L2982" s="15"/>
      <c r="M2982" s="36" t="str">
        <f t="array" ref="M2982">IF($A2982="","",IF($L2982="Atendido",IFERROR($I2982*INDEX(Config!$B:$B,MATCH($C2982,Config!$A:$A,0)),0),0))</f>
        <v/>
      </c>
      <c r="N2982" s="36" t="str">
        <f t="shared" si="2"/>
        <v/>
      </c>
      <c r="O2982" s="36" t="str">
        <f t="shared" si="3"/>
        <v/>
      </c>
      <c r="P2982" s="15"/>
      <c r="Q2982" s="37" t="str">
        <f t="shared" si="4"/>
        <v/>
      </c>
      <c r="R2982" s="37" t="str">
        <f t="shared" si="5"/>
        <v/>
      </c>
      <c r="S2982" s="32" t="str">
        <f t="shared" si="6"/>
        <v/>
      </c>
      <c r="T2982" s="37" t="str">
        <f t="shared" si="7"/>
        <v/>
      </c>
      <c r="U2982" s="37" t="str">
        <f t="array" ref="U2982">IF($F2982="","",IFERROR(INDEX(Config!$F:$F,MATCH($F2982,Config!$D:$D,0)),0))</f>
        <v/>
      </c>
    </row>
    <row r="2983" ht="15.0" customHeight="1">
      <c r="A2983" s="34"/>
      <c r="B2983" s="35"/>
      <c r="C2983" s="15"/>
      <c r="D2983" s="15"/>
      <c r="E2983" s="15"/>
      <c r="F2983" s="15"/>
      <c r="G2983" s="36" t="str">
        <f t="array" ref="G2983">IF($F2983="","",IFERROR(INDEX(Config!$E:$E,MATCH($F2983,Config!$D:$D,0)),0))</f>
        <v/>
      </c>
      <c r="H2983" s="16"/>
      <c r="I2983" s="36" t="str">
        <f t="shared" si="1"/>
        <v/>
      </c>
      <c r="J2983" s="16"/>
      <c r="K2983" s="15"/>
      <c r="L2983" s="15"/>
      <c r="M2983" s="36" t="str">
        <f t="array" ref="M2983">IF($A2983="","",IF($L2983="Atendido",IFERROR($I2983*INDEX(Config!$B:$B,MATCH($C2983,Config!$A:$A,0)),0),0))</f>
        <v/>
      </c>
      <c r="N2983" s="36" t="str">
        <f t="shared" si="2"/>
        <v/>
      </c>
      <c r="O2983" s="36" t="str">
        <f t="shared" si="3"/>
        <v/>
      </c>
      <c r="P2983" s="15"/>
      <c r="Q2983" s="37" t="str">
        <f t="shared" si="4"/>
        <v/>
      </c>
      <c r="R2983" s="37" t="str">
        <f t="shared" si="5"/>
        <v/>
      </c>
      <c r="S2983" s="32" t="str">
        <f t="shared" si="6"/>
        <v/>
      </c>
      <c r="T2983" s="37" t="str">
        <f t="shared" si="7"/>
        <v/>
      </c>
      <c r="U2983" s="37" t="str">
        <f t="array" ref="U2983">IF($F2983="","",IFERROR(INDEX(Config!$F:$F,MATCH($F2983,Config!$D:$D,0)),0))</f>
        <v/>
      </c>
    </row>
    <row r="2984" ht="15.0" customHeight="1">
      <c r="A2984" s="34"/>
      <c r="B2984" s="35"/>
      <c r="C2984" s="15"/>
      <c r="D2984" s="15"/>
      <c r="E2984" s="15"/>
      <c r="F2984" s="15"/>
      <c r="G2984" s="36" t="str">
        <f t="array" ref="G2984">IF($F2984="","",IFERROR(INDEX(Config!$E:$E,MATCH($F2984,Config!$D:$D,0)),0))</f>
        <v/>
      </c>
      <c r="H2984" s="16"/>
      <c r="I2984" s="36" t="str">
        <f t="shared" si="1"/>
        <v/>
      </c>
      <c r="J2984" s="16"/>
      <c r="K2984" s="15"/>
      <c r="L2984" s="15"/>
      <c r="M2984" s="36" t="str">
        <f t="array" ref="M2984">IF($A2984="","",IF($L2984="Atendido",IFERROR($I2984*INDEX(Config!$B:$B,MATCH($C2984,Config!$A:$A,0)),0),0))</f>
        <v/>
      </c>
      <c r="N2984" s="36" t="str">
        <f t="shared" si="2"/>
        <v/>
      </c>
      <c r="O2984" s="36" t="str">
        <f t="shared" si="3"/>
        <v/>
      </c>
      <c r="P2984" s="15"/>
      <c r="Q2984" s="37" t="str">
        <f t="shared" si="4"/>
        <v/>
      </c>
      <c r="R2984" s="37" t="str">
        <f t="shared" si="5"/>
        <v/>
      </c>
      <c r="S2984" s="32" t="str">
        <f t="shared" si="6"/>
        <v/>
      </c>
      <c r="T2984" s="37" t="str">
        <f t="shared" si="7"/>
        <v/>
      </c>
      <c r="U2984" s="37" t="str">
        <f t="array" ref="U2984">IF($F2984="","",IFERROR(INDEX(Config!$F:$F,MATCH($F2984,Config!$D:$D,0)),0))</f>
        <v/>
      </c>
    </row>
    <row r="2985" ht="15.0" customHeight="1">
      <c r="A2985" s="34"/>
      <c r="B2985" s="35"/>
      <c r="C2985" s="15"/>
      <c r="D2985" s="15"/>
      <c r="E2985" s="15"/>
      <c r="F2985" s="15"/>
      <c r="G2985" s="36" t="str">
        <f t="array" ref="G2985">IF($F2985="","",IFERROR(INDEX(Config!$E:$E,MATCH($F2985,Config!$D:$D,0)),0))</f>
        <v/>
      </c>
      <c r="H2985" s="16"/>
      <c r="I2985" s="36" t="str">
        <f t="shared" si="1"/>
        <v/>
      </c>
      <c r="J2985" s="16"/>
      <c r="K2985" s="15"/>
      <c r="L2985" s="15"/>
      <c r="M2985" s="36" t="str">
        <f t="array" ref="M2985">IF($A2985="","",IF($L2985="Atendido",IFERROR($I2985*INDEX(Config!$B:$B,MATCH($C2985,Config!$A:$A,0)),0),0))</f>
        <v/>
      </c>
      <c r="N2985" s="36" t="str">
        <f t="shared" si="2"/>
        <v/>
      </c>
      <c r="O2985" s="36" t="str">
        <f t="shared" si="3"/>
        <v/>
      </c>
      <c r="P2985" s="15"/>
      <c r="Q2985" s="37" t="str">
        <f t="shared" si="4"/>
        <v/>
      </c>
      <c r="R2985" s="37" t="str">
        <f t="shared" si="5"/>
        <v/>
      </c>
      <c r="S2985" s="32" t="str">
        <f t="shared" si="6"/>
        <v/>
      </c>
      <c r="T2985" s="37" t="str">
        <f t="shared" si="7"/>
        <v/>
      </c>
      <c r="U2985" s="37" t="str">
        <f t="array" ref="U2985">IF($F2985="","",IFERROR(INDEX(Config!$F:$F,MATCH($F2985,Config!$D:$D,0)),0))</f>
        <v/>
      </c>
    </row>
    <row r="2986" ht="15.0" customHeight="1">
      <c r="A2986" s="34"/>
      <c r="B2986" s="35"/>
      <c r="C2986" s="15"/>
      <c r="D2986" s="15"/>
      <c r="E2986" s="15"/>
      <c r="F2986" s="15"/>
      <c r="G2986" s="36" t="str">
        <f t="array" ref="G2986">IF($F2986="","",IFERROR(INDEX(Config!$E:$E,MATCH($F2986,Config!$D:$D,0)),0))</f>
        <v/>
      </c>
      <c r="H2986" s="16"/>
      <c r="I2986" s="36" t="str">
        <f t="shared" si="1"/>
        <v/>
      </c>
      <c r="J2986" s="16"/>
      <c r="K2986" s="15"/>
      <c r="L2986" s="15"/>
      <c r="M2986" s="36" t="str">
        <f t="array" ref="M2986">IF($A2986="","",IF($L2986="Atendido",IFERROR($I2986*INDEX(Config!$B:$B,MATCH($C2986,Config!$A:$A,0)),0),0))</f>
        <v/>
      </c>
      <c r="N2986" s="36" t="str">
        <f t="shared" si="2"/>
        <v/>
      </c>
      <c r="O2986" s="36" t="str">
        <f t="shared" si="3"/>
        <v/>
      </c>
      <c r="P2986" s="15"/>
      <c r="Q2986" s="37" t="str">
        <f t="shared" si="4"/>
        <v/>
      </c>
      <c r="R2986" s="37" t="str">
        <f t="shared" si="5"/>
        <v/>
      </c>
      <c r="S2986" s="32" t="str">
        <f t="shared" si="6"/>
        <v/>
      </c>
      <c r="T2986" s="37" t="str">
        <f t="shared" si="7"/>
        <v/>
      </c>
      <c r="U2986" s="37" t="str">
        <f t="array" ref="U2986">IF($F2986="","",IFERROR(INDEX(Config!$F:$F,MATCH($F2986,Config!$D:$D,0)),0))</f>
        <v/>
      </c>
    </row>
    <row r="2987" ht="15.0" customHeight="1">
      <c r="A2987" s="34"/>
      <c r="B2987" s="35"/>
      <c r="C2987" s="15"/>
      <c r="D2987" s="15"/>
      <c r="E2987" s="15"/>
      <c r="F2987" s="15"/>
      <c r="G2987" s="36" t="str">
        <f t="array" ref="G2987">IF($F2987="","",IFERROR(INDEX(Config!$E:$E,MATCH($F2987,Config!$D:$D,0)),0))</f>
        <v/>
      </c>
      <c r="H2987" s="16"/>
      <c r="I2987" s="36" t="str">
        <f t="shared" si="1"/>
        <v/>
      </c>
      <c r="J2987" s="16"/>
      <c r="K2987" s="15"/>
      <c r="L2987" s="15"/>
      <c r="M2987" s="36" t="str">
        <f t="array" ref="M2987">IF($A2987="","",IF($L2987="Atendido",IFERROR($I2987*INDEX(Config!$B:$B,MATCH($C2987,Config!$A:$A,0)),0),0))</f>
        <v/>
      </c>
      <c r="N2987" s="36" t="str">
        <f t="shared" si="2"/>
        <v/>
      </c>
      <c r="O2987" s="36" t="str">
        <f t="shared" si="3"/>
        <v/>
      </c>
      <c r="P2987" s="15"/>
      <c r="Q2987" s="37" t="str">
        <f t="shared" si="4"/>
        <v/>
      </c>
      <c r="R2987" s="37" t="str">
        <f t="shared" si="5"/>
        <v/>
      </c>
      <c r="S2987" s="32" t="str">
        <f t="shared" si="6"/>
        <v/>
      </c>
      <c r="T2987" s="37" t="str">
        <f t="shared" si="7"/>
        <v/>
      </c>
      <c r="U2987" s="37" t="str">
        <f t="array" ref="U2987">IF($F2987="","",IFERROR(INDEX(Config!$F:$F,MATCH($F2987,Config!$D:$D,0)),0))</f>
        <v/>
      </c>
    </row>
    <row r="2988" ht="15.0" customHeight="1">
      <c r="A2988" s="34"/>
      <c r="B2988" s="35"/>
      <c r="C2988" s="15"/>
      <c r="D2988" s="15"/>
      <c r="E2988" s="15"/>
      <c r="F2988" s="15"/>
      <c r="G2988" s="36" t="str">
        <f t="array" ref="G2988">IF($F2988="","",IFERROR(INDEX(Config!$E:$E,MATCH($F2988,Config!$D:$D,0)),0))</f>
        <v/>
      </c>
      <c r="H2988" s="16"/>
      <c r="I2988" s="36" t="str">
        <f t="shared" si="1"/>
        <v/>
      </c>
      <c r="J2988" s="16"/>
      <c r="K2988" s="15"/>
      <c r="L2988" s="15"/>
      <c r="M2988" s="36" t="str">
        <f t="array" ref="M2988">IF($A2988="","",IF($L2988="Atendido",IFERROR($I2988*INDEX(Config!$B:$B,MATCH($C2988,Config!$A:$A,0)),0),0))</f>
        <v/>
      </c>
      <c r="N2988" s="36" t="str">
        <f t="shared" si="2"/>
        <v/>
      </c>
      <c r="O2988" s="36" t="str">
        <f t="shared" si="3"/>
        <v/>
      </c>
      <c r="P2988" s="15"/>
      <c r="Q2988" s="37" t="str">
        <f t="shared" si="4"/>
        <v/>
      </c>
      <c r="R2988" s="37" t="str">
        <f t="shared" si="5"/>
        <v/>
      </c>
      <c r="S2988" s="32" t="str">
        <f t="shared" si="6"/>
        <v/>
      </c>
      <c r="T2988" s="37" t="str">
        <f t="shared" si="7"/>
        <v/>
      </c>
      <c r="U2988" s="37" t="str">
        <f t="array" ref="U2988">IF($F2988="","",IFERROR(INDEX(Config!$F:$F,MATCH($F2988,Config!$D:$D,0)),0))</f>
        <v/>
      </c>
    </row>
    <row r="2989" ht="15.0" customHeight="1">
      <c r="A2989" s="34"/>
      <c r="B2989" s="35"/>
      <c r="C2989" s="15"/>
      <c r="D2989" s="15"/>
      <c r="E2989" s="15"/>
      <c r="F2989" s="15"/>
      <c r="G2989" s="36" t="str">
        <f t="array" ref="G2989">IF($F2989="","",IFERROR(INDEX(Config!$E:$E,MATCH($F2989,Config!$D:$D,0)),0))</f>
        <v/>
      </c>
      <c r="H2989" s="16"/>
      <c r="I2989" s="36" t="str">
        <f t="shared" si="1"/>
        <v/>
      </c>
      <c r="J2989" s="16"/>
      <c r="K2989" s="15"/>
      <c r="L2989" s="15"/>
      <c r="M2989" s="36" t="str">
        <f t="array" ref="M2989">IF($A2989="","",IF($L2989="Atendido",IFERROR($I2989*INDEX(Config!$B:$B,MATCH($C2989,Config!$A:$A,0)),0),0))</f>
        <v/>
      </c>
      <c r="N2989" s="36" t="str">
        <f t="shared" si="2"/>
        <v/>
      </c>
      <c r="O2989" s="36" t="str">
        <f t="shared" si="3"/>
        <v/>
      </c>
      <c r="P2989" s="15"/>
      <c r="Q2989" s="37" t="str">
        <f t="shared" si="4"/>
        <v/>
      </c>
      <c r="R2989" s="37" t="str">
        <f t="shared" si="5"/>
        <v/>
      </c>
      <c r="S2989" s="32" t="str">
        <f t="shared" si="6"/>
        <v/>
      </c>
      <c r="T2989" s="37" t="str">
        <f t="shared" si="7"/>
        <v/>
      </c>
      <c r="U2989" s="37" t="str">
        <f t="array" ref="U2989">IF($F2989="","",IFERROR(INDEX(Config!$F:$F,MATCH($F2989,Config!$D:$D,0)),0))</f>
        <v/>
      </c>
    </row>
    <row r="2990" ht="15.0" customHeight="1">
      <c r="A2990" s="34"/>
      <c r="B2990" s="35"/>
      <c r="C2990" s="15"/>
      <c r="D2990" s="15"/>
      <c r="E2990" s="15"/>
      <c r="F2990" s="15"/>
      <c r="G2990" s="36" t="str">
        <f t="array" ref="G2990">IF($F2990="","",IFERROR(INDEX(Config!$E:$E,MATCH($F2990,Config!$D:$D,0)),0))</f>
        <v/>
      </c>
      <c r="H2990" s="16"/>
      <c r="I2990" s="36" t="str">
        <f t="shared" si="1"/>
        <v/>
      </c>
      <c r="J2990" s="16"/>
      <c r="K2990" s="15"/>
      <c r="L2990" s="15"/>
      <c r="M2990" s="36" t="str">
        <f t="array" ref="M2990">IF($A2990="","",IF($L2990="Atendido",IFERROR($I2990*INDEX(Config!$B:$B,MATCH($C2990,Config!$A:$A,0)),0),0))</f>
        <v/>
      </c>
      <c r="N2990" s="36" t="str">
        <f t="shared" si="2"/>
        <v/>
      </c>
      <c r="O2990" s="36" t="str">
        <f t="shared" si="3"/>
        <v/>
      </c>
      <c r="P2990" s="15"/>
      <c r="Q2990" s="37" t="str">
        <f t="shared" si="4"/>
        <v/>
      </c>
      <c r="R2990" s="37" t="str">
        <f t="shared" si="5"/>
        <v/>
      </c>
      <c r="S2990" s="32" t="str">
        <f t="shared" si="6"/>
        <v/>
      </c>
      <c r="T2990" s="37" t="str">
        <f t="shared" si="7"/>
        <v/>
      </c>
      <c r="U2990" s="37" t="str">
        <f t="array" ref="U2990">IF($F2990="","",IFERROR(INDEX(Config!$F:$F,MATCH($F2990,Config!$D:$D,0)),0))</f>
        <v/>
      </c>
    </row>
    <row r="2991" ht="15.0" customHeight="1">
      <c r="A2991" s="34"/>
      <c r="B2991" s="35"/>
      <c r="C2991" s="15"/>
      <c r="D2991" s="15"/>
      <c r="E2991" s="15"/>
      <c r="F2991" s="15"/>
      <c r="G2991" s="36" t="str">
        <f t="array" ref="G2991">IF($F2991="","",IFERROR(INDEX(Config!$E:$E,MATCH($F2991,Config!$D:$D,0)),0))</f>
        <v/>
      </c>
      <c r="H2991" s="16"/>
      <c r="I2991" s="36" t="str">
        <f t="shared" si="1"/>
        <v/>
      </c>
      <c r="J2991" s="16"/>
      <c r="K2991" s="15"/>
      <c r="L2991" s="15"/>
      <c r="M2991" s="36" t="str">
        <f t="array" ref="M2991">IF($A2991="","",IF($L2991="Atendido",IFERROR($I2991*INDEX(Config!$B:$B,MATCH($C2991,Config!$A:$A,0)),0),0))</f>
        <v/>
      </c>
      <c r="N2991" s="36" t="str">
        <f t="shared" si="2"/>
        <v/>
      </c>
      <c r="O2991" s="36" t="str">
        <f t="shared" si="3"/>
        <v/>
      </c>
      <c r="P2991" s="15"/>
      <c r="Q2991" s="37" t="str">
        <f t="shared" si="4"/>
        <v/>
      </c>
      <c r="R2991" s="37" t="str">
        <f t="shared" si="5"/>
        <v/>
      </c>
      <c r="S2991" s="32" t="str">
        <f t="shared" si="6"/>
        <v/>
      </c>
      <c r="T2991" s="37" t="str">
        <f t="shared" si="7"/>
        <v/>
      </c>
      <c r="U2991" s="37" t="str">
        <f t="array" ref="U2991">IF($F2991="","",IFERROR(INDEX(Config!$F:$F,MATCH($F2991,Config!$D:$D,0)),0))</f>
        <v/>
      </c>
    </row>
    <row r="2992" ht="15.0" customHeight="1">
      <c r="A2992" s="34"/>
      <c r="B2992" s="35"/>
      <c r="C2992" s="15"/>
      <c r="D2992" s="15"/>
      <c r="E2992" s="15"/>
      <c r="F2992" s="15"/>
      <c r="G2992" s="36" t="str">
        <f t="array" ref="G2992">IF($F2992="","",IFERROR(INDEX(Config!$E:$E,MATCH($F2992,Config!$D:$D,0)),0))</f>
        <v/>
      </c>
      <c r="H2992" s="16"/>
      <c r="I2992" s="36" t="str">
        <f t="shared" si="1"/>
        <v/>
      </c>
      <c r="J2992" s="16"/>
      <c r="K2992" s="15"/>
      <c r="L2992" s="15"/>
      <c r="M2992" s="36" t="str">
        <f t="array" ref="M2992">IF($A2992="","",IF($L2992="Atendido",IFERROR($I2992*INDEX(Config!$B:$B,MATCH($C2992,Config!$A:$A,0)),0),0))</f>
        <v/>
      </c>
      <c r="N2992" s="36" t="str">
        <f t="shared" si="2"/>
        <v/>
      </c>
      <c r="O2992" s="36" t="str">
        <f t="shared" si="3"/>
        <v/>
      </c>
      <c r="P2992" s="15"/>
      <c r="Q2992" s="37" t="str">
        <f t="shared" si="4"/>
        <v/>
      </c>
      <c r="R2992" s="37" t="str">
        <f t="shared" si="5"/>
        <v/>
      </c>
      <c r="S2992" s="32" t="str">
        <f t="shared" si="6"/>
        <v/>
      </c>
      <c r="T2992" s="37" t="str">
        <f t="shared" si="7"/>
        <v/>
      </c>
      <c r="U2992" s="37" t="str">
        <f t="array" ref="U2992">IF($F2992="","",IFERROR(INDEX(Config!$F:$F,MATCH($F2992,Config!$D:$D,0)),0))</f>
        <v/>
      </c>
    </row>
    <row r="2993" ht="15.0" customHeight="1">
      <c r="A2993" s="34"/>
      <c r="B2993" s="35"/>
      <c r="C2993" s="15"/>
      <c r="D2993" s="15"/>
      <c r="E2993" s="15"/>
      <c r="F2993" s="15"/>
      <c r="G2993" s="36" t="str">
        <f t="array" ref="G2993">IF($F2993="","",IFERROR(INDEX(Config!$E:$E,MATCH($F2993,Config!$D:$D,0)),0))</f>
        <v/>
      </c>
      <c r="H2993" s="16"/>
      <c r="I2993" s="36" t="str">
        <f t="shared" si="1"/>
        <v/>
      </c>
      <c r="J2993" s="16"/>
      <c r="K2993" s="15"/>
      <c r="L2993" s="15"/>
      <c r="M2993" s="36" t="str">
        <f t="array" ref="M2993">IF($A2993="","",IF($L2993="Atendido",IFERROR($I2993*INDEX(Config!$B:$B,MATCH($C2993,Config!$A:$A,0)),0),0))</f>
        <v/>
      </c>
      <c r="N2993" s="36" t="str">
        <f t="shared" si="2"/>
        <v/>
      </c>
      <c r="O2993" s="36" t="str">
        <f t="shared" si="3"/>
        <v/>
      </c>
      <c r="P2993" s="15"/>
      <c r="Q2993" s="37" t="str">
        <f t="shared" si="4"/>
        <v/>
      </c>
      <c r="R2993" s="37" t="str">
        <f t="shared" si="5"/>
        <v/>
      </c>
      <c r="S2993" s="32" t="str">
        <f t="shared" si="6"/>
        <v/>
      </c>
      <c r="T2993" s="37" t="str">
        <f t="shared" si="7"/>
        <v/>
      </c>
      <c r="U2993" s="37" t="str">
        <f t="array" ref="U2993">IF($F2993="","",IFERROR(INDEX(Config!$F:$F,MATCH($F2993,Config!$D:$D,0)),0))</f>
        <v/>
      </c>
    </row>
    <row r="2994" ht="15.0" customHeight="1">
      <c r="A2994" s="34"/>
      <c r="B2994" s="35"/>
      <c r="C2994" s="15"/>
      <c r="D2994" s="15"/>
      <c r="E2994" s="15"/>
      <c r="F2994" s="15"/>
      <c r="G2994" s="36" t="str">
        <f t="array" ref="G2994">IF($F2994="","",IFERROR(INDEX(Config!$E:$E,MATCH($F2994,Config!$D:$D,0)),0))</f>
        <v/>
      </c>
      <c r="H2994" s="16"/>
      <c r="I2994" s="36" t="str">
        <f t="shared" si="1"/>
        <v/>
      </c>
      <c r="J2994" s="16"/>
      <c r="K2994" s="15"/>
      <c r="L2994" s="15"/>
      <c r="M2994" s="36" t="str">
        <f t="array" ref="M2994">IF($A2994="","",IF($L2994="Atendido",IFERROR($I2994*INDEX(Config!$B:$B,MATCH($C2994,Config!$A:$A,0)),0),0))</f>
        <v/>
      </c>
      <c r="N2994" s="36" t="str">
        <f t="shared" si="2"/>
        <v/>
      </c>
      <c r="O2994" s="36" t="str">
        <f t="shared" si="3"/>
        <v/>
      </c>
      <c r="P2994" s="15"/>
      <c r="Q2994" s="37" t="str">
        <f t="shared" si="4"/>
        <v/>
      </c>
      <c r="R2994" s="37" t="str">
        <f t="shared" si="5"/>
        <v/>
      </c>
      <c r="S2994" s="32" t="str">
        <f t="shared" si="6"/>
        <v/>
      </c>
      <c r="T2994" s="37" t="str">
        <f t="shared" si="7"/>
        <v/>
      </c>
      <c r="U2994" s="37" t="str">
        <f t="array" ref="U2994">IF($F2994="","",IFERROR(INDEX(Config!$F:$F,MATCH($F2994,Config!$D:$D,0)),0))</f>
        <v/>
      </c>
    </row>
    <row r="2995" ht="15.0" customHeight="1">
      <c r="A2995" s="34"/>
      <c r="B2995" s="35"/>
      <c r="C2995" s="15"/>
      <c r="D2995" s="15"/>
      <c r="E2995" s="15"/>
      <c r="F2995" s="15"/>
      <c r="G2995" s="36" t="str">
        <f t="array" ref="G2995">IF($F2995="","",IFERROR(INDEX(Config!$E:$E,MATCH($F2995,Config!$D:$D,0)),0))</f>
        <v/>
      </c>
      <c r="H2995" s="16"/>
      <c r="I2995" s="36" t="str">
        <f t="shared" si="1"/>
        <v/>
      </c>
      <c r="J2995" s="16"/>
      <c r="K2995" s="15"/>
      <c r="L2995" s="15"/>
      <c r="M2995" s="36" t="str">
        <f t="array" ref="M2995">IF($A2995="","",IF($L2995="Atendido",IFERROR($I2995*INDEX(Config!$B:$B,MATCH($C2995,Config!$A:$A,0)),0),0))</f>
        <v/>
      </c>
      <c r="N2995" s="36" t="str">
        <f t="shared" si="2"/>
        <v/>
      </c>
      <c r="O2995" s="36" t="str">
        <f t="shared" si="3"/>
        <v/>
      </c>
      <c r="P2995" s="15"/>
      <c r="Q2995" s="37" t="str">
        <f t="shared" si="4"/>
        <v/>
      </c>
      <c r="R2995" s="37" t="str">
        <f t="shared" si="5"/>
        <v/>
      </c>
      <c r="S2995" s="32" t="str">
        <f t="shared" si="6"/>
        <v/>
      </c>
      <c r="T2995" s="37" t="str">
        <f t="shared" si="7"/>
        <v/>
      </c>
      <c r="U2995" s="37" t="str">
        <f t="array" ref="U2995">IF($F2995="","",IFERROR(INDEX(Config!$F:$F,MATCH($F2995,Config!$D:$D,0)),0))</f>
        <v/>
      </c>
    </row>
    <row r="2996" ht="15.0" customHeight="1">
      <c r="A2996" s="34"/>
      <c r="B2996" s="35"/>
      <c r="C2996" s="15"/>
      <c r="D2996" s="15"/>
      <c r="E2996" s="15"/>
      <c r="F2996" s="15"/>
      <c r="G2996" s="36" t="str">
        <f t="array" ref="G2996">IF($F2996="","",IFERROR(INDEX(Config!$E:$E,MATCH($F2996,Config!$D:$D,0)),0))</f>
        <v/>
      </c>
      <c r="H2996" s="16"/>
      <c r="I2996" s="36" t="str">
        <f t="shared" si="1"/>
        <v/>
      </c>
      <c r="J2996" s="16"/>
      <c r="K2996" s="15"/>
      <c r="L2996" s="15"/>
      <c r="M2996" s="36" t="str">
        <f t="array" ref="M2996">IF($A2996="","",IF($L2996="Atendido",IFERROR($I2996*INDEX(Config!$B:$B,MATCH($C2996,Config!$A:$A,0)),0),0))</f>
        <v/>
      </c>
      <c r="N2996" s="36" t="str">
        <f t="shared" si="2"/>
        <v/>
      </c>
      <c r="O2996" s="36" t="str">
        <f t="shared" si="3"/>
        <v/>
      </c>
      <c r="P2996" s="15"/>
      <c r="Q2996" s="37" t="str">
        <f t="shared" si="4"/>
        <v/>
      </c>
      <c r="R2996" s="37" t="str">
        <f t="shared" si="5"/>
        <v/>
      </c>
      <c r="S2996" s="32" t="str">
        <f t="shared" si="6"/>
        <v/>
      </c>
      <c r="T2996" s="37" t="str">
        <f t="shared" si="7"/>
        <v/>
      </c>
      <c r="U2996" s="37" t="str">
        <f t="array" ref="U2996">IF($F2996="","",IFERROR(INDEX(Config!$F:$F,MATCH($F2996,Config!$D:$D,0)),0))</f>
        <v/>
      </c>
    </row>
    <row r="2997" ht="15.0" customHeight="1">
      <c r="A2997" s="34"/>
      <c r="B2997" s="35"/>
      <c r="C2997" s="15"/>
      <c r="D2997" s="15"/>
      <c r="E2997" s="15"/>
      <c r="F2997" s="15"/>
      <c r="G2997" s="36" t="str">
        <f t="array" ref="G2997">IF($F2997="","",IFERROR(INDEX(Config!$E:$E,MATCH($F2997,Config!$D:$D,0)),0))</f>
        <v/>
      </c>
      <c r="H2997" s="16"/>
      <c r="I2997" s="36" t="str">
        <f t="shared" si="1"/>
        <v/>
      </c>
      <c r="J2997" s="16"/>
      <c r="K2997" s="15"/>
      <c r="L2997" s="15"/>
      <c r="M2997" s="36" t="str">
        <f t="array" ref="M2997">IF($A2997="","",IF($L2997="Atendido",IFERROR($I2997*INDEX(Config!$B:$B,MATCH($C2997,Config!$A:$A,0)),0),0))</f>
        <v/>
      </c>
      <c r="N2997" s="36" t="str">
        <f t="shared" si="2"/>
        <v/>
      </c>
      <c r="O2997" s="36" t="str">
        <f t="shared" si="3"/>
        <v/>
      </c>
      <c r="P2997" s="15"/>
      <c r="Q2997" s="37" t="str">
        <f t="shared" si="4"/>
        <v/>
      </c>
      <c r="R2997" s="37" t="str">
        <f t="shared" si="5"/>
        <v/>
      </c>
      <c r="S2997" s="32" t="str">
        <f t="shared" si="6"/>
        <v/>
      </c>
      <c r="T2997" s="37" t="str">
        <f t="shared" si="7"/>
        <v/>
      </c>
      <c r="U2997" s="37" t="str">
        <f t="array" ref="U2997">IF($F2997="","",IFERROR(INDEX(Config!$F:$F,MATCH($F2997,Config!$D:$D,0)),0))</f>
        <v/>
      </c>
    </row>
    <row r="2998" ht="15.0" customHeight="1">
      <c r="A2998" s="34"/>
      <c r="B2998" s="35"/>
      <c r="C2998" s="15"/>
      <c r="D2998" s="15"/>
      <c r="E2998" s="15"/>
      <c r="F2998" s="15"/>
      <c r="G2998" s="36" t="str">
        <f t="array" ref="G2998">IF($F2998="","",IFERROR(INDEX(Config!$E:$E,MATCH($F2998,Config!$D:$D,0)),0))</f>
        <v/>
      </c>
      <c r="H2998" s="16"/>
      <c r="I2998" s="36" t="str">
        <f t="shared" si="1"/>
        <v/>
      </c>
      <c r="J2998" s="16"/>
      <c r="K2998" s="15"/>
      <c r="L2998" s="15"/>
      <c r="M2998" s="36" t="str">
        <f t="array" ref="M2998">IF($A2998="","",IF($L2998="Atendido",IFERROR($I2998*INDEX(Config!$B:$B,MATCH($C2998,Config!$A:$A,0)),0),0))</f>
        <v/>
      </c>
      <c r="N2998" s="36" t="str">
        <f t="shared" si="2"/>
        <v/>
      </c>
      <c r="O2998" s="36" t="str">
        <f t="shared" si="3"/>
        <v/>
      </c>
      <c r="P2998" s="15"/>
      <c r="Q2998" s="37" t="str">
        <f t="shared" si="4"/>
        <v/>
      </c>
      <c r="R2998" s="37" t="str">
        <f t="shared" si="5"/>
        <v/>
      </c>
      <c r="S2998" s="32" t="str">
        <f t="shared" si="6"/>
        <v/>
      </c>
      <c r="T2998" s="37" t="str">
        <f t="shared" si="7"/>
        <v/>
      </c>
      <c r="U2998" s="37" t="str">
        <f t="array" ref="U2998">IF($F2998="","",IFERROR(INDEX(Config!$F:$F,MATCH($F2998,Config!$D:$D,0)),0))</f>
        <v/>
      </c>
    </row>
    <row r="2999" ht="15.0" customHeight="1">
      <c r="A2999" s="34"/>
      <c r="B2999" s="35"/>
      <c r="C2999" s="15"/>
      <c r="D2999" s="15"/>
      <c r="E2999" s="15"/>
      <c r="F2999" s="15"/>
      <c r="G2999" s="36" t="str">
        <f t="array" ref="G2999">IF($F2999="","",IFERROR(INDEX(Config!$E:$E,MATCH($F2999,Config!$D:$D,0)),0))</f>
        <v/>
      </c>
      <c r="H2999" s="16"/>
      <c r="I2999" s="36" t="str">
        <f t="shared" si="1"/>
        <v/>
      </c>
      <c r="J2999" s="16"/>
      <c r="K2999" s="15"/>
      <c r="L2999" s="15"/>
      <c r="M2999" s="36" t="str">
        <f t="array" ref="M2999">IF($A2999="","",IF($L2999="Atendido",IFERROR($I2999*INDEX(Config!$B:$B,MATCH($C2999,Config!$A:$A,0)),0),0))</f>
        <v/>
      </c>
      <c r="N2999" s="36" t="str">
        <f t="shared" si="2"/>
        <v/>
      </c>
      <c r="O2999" s="36" t="str">
        <f t="shared" si="3"/>
        <v/>
      </c>
      <c r="P2999" s="15"/>
      <c r="Q2999" s="37" t="str">
        <f t="shared" si="4"/>
        <v/>
      </c>
      <c r="R2999" s="37" t="str">
        <f t="shared" si="5"/>
        <v/>
      </c>
      <c r="S2999" s="32" t="str">
        <f t="shared" si="6"/>
        <v/>
      </c>
      <c r="T2999" s="37" t="str">
        <f t="shared" si="7"/>
        <v/>
      </c>
      <c r="U2999" s="37" t="str">
        <f t="array" ref="U2999">IF($F2999="","",IFERROR(INDEX(Config!$F:$F,MATCH($F2999,Config!$D:$D,0)),0))</f>
        <v/>
      </c>
    </row>
    <row r="3000" ht="15.0" customHeight="1">
      <c r="A3000" s="34"/>
      <c r="B3000" s="35"/>
      <c r="C3000" s="15"/>
      <c r="D3000" s="15"/>
      <c r="E3000" s="15"/>
      <c r="F3000" s="15"/>
      <c r="G3000" s="36" t="str">
        <f t="array" ref="G3000">IF($F3000="","",IFERROR(INDEX(Config!$E:$E,MATCH($F3000,Config!$D:$D,0)),0))</f>
        <v/>
      </c>
      <c r="H3000" s="16"/>
      <c r="I3000" s="36" t="str">
        <f t="shared" si="1"/>
        <v/>
      </c>
      <c r="J3000" s="16"/>
      <c r="K3000" s="15"/>
      <c r="L3000" s="15"/>
      <c r="M3000" s="36" t="str">
        <f t="array" ref="M3000">IF($A3000="","",IF($L3000="Atendido",IFERROR($I3000*INDEX(Config!$B:$B,MATCH($C3000,Config!$A:$A,0)),0),0))</f>
        <v/>
      </c>
      <c r="N3000" s="36" t="str">
        <f t="shared" si="2"/>
        <v/>
      </c>
      <c r="O3000" s="36" t="str">
        <f t="shared" si="3"/>
        <v/>
      </c>
      <c r="P3000" s="15"/>
      <c r="Q3000" s="37" t="str">
        <f t="shared" si="4"/>
        <v/>
      </c>
      <c r="R3000" s="37" t="str">
        <f t="shared" si="5"/>
        <v/>
      </c>
      <c r="S3000" s="32" t="str">
        <f t="shared" si="6"/>
        <v/>
      </c>
      <c r="T3000" s="37" t="str">
        <f t="shared" si="7"/>
        <v/>
      </c>
      <c r="U3000" s="37" t="str">
        <f t="array" ref="U3000">IF($F3000="","",IFERROR(INDEX(Config!$F:$F,MATCH($F3000,Config!$D:$D,0)),0))</f>
        <v/>
      </c>
    </row>
  </sheetData>
  <dataValidations>
    <dataValidation type="list" allowBlank="1" sqref="L2:L1001">
      <formula1>ListaEstados</formula1>
    </dataValidation>
    <dataValidation type="list" allowBlank="1" sqref="C2:C1001">
      <formula1>ListaBarberos</formula1>
    </dataValidation>
    <dataValidation type="list" allowBlank="1" sqref="F2:F1001">
      <formula1>ListaServicios</formula1>
    </dataValidation>
    <dataValidation type="list" allowBlank="1" sqref="K2:K1001">
      <formula1>ListaMetodos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2.0"/>
    <col customWidth="1" min="4" max="4" width="15.0"/>
    <col customWidth="1" min="5" max="5" width="13.0"/>
    <col customWidth="1" min="6" max="6" width="14.0"/>
    <col customWidth="1" min="7" max="8" width="15.0"/>
    <col customWidth="1" min="9" max="9" width="13.0"/>
    <col customWidth="1" min="10" max="26" width="8.71"/>
  </cols>
  <sheetData>
    <row r="1" ht="17.25" customHeight="1">
      <c r="A1" s="1"/>
      <c r="B1" s="3" t="s">
        <v>134</v>
      </c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 ht="15.0" customHeight="1">
      <c r="A3" s="1"/>
      <c r="B3" s="38" t="s">
        <v>135</v>
      </c>
      <c r="C3" s="34">
        <v>46241.0</v>
      </c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15.0" customHeight="1">
      <c r="A5" s="1"/>
      <c r="B5" s="7" t="s">
        <v>136</v>
      </c>
      <c r="C5" s="1"/>
      <c r="D5" s="1"/>
      <c r="E5" s="1"/>
      <c r="F5" s="1"/>
      <c r="G5" s="1"/>
      <c r="H5" s="1"/>
      <c r="I5" s="1"/>
    </row>
    <row r="6" ht="15.0" customHeight="1">
      <c r="A6" s="1"/>
      <c r="B6" s="11" t="s">
        <v>7</v>
      </c>
      <c r="C6" s="11" t="s">
        <v>137</v>
      </c>
      <c r="D6" s="11" t="s">
        <v>138</v>
      </c>
      <c r="E6" s="11" t="s">
        <v>139</v>
      </c>
      <c r="F6" s="11" t="s">
        <v>140</v>
      </c>
      <c r="G6" s="11" t="s">
        <v>125</v>
      </c>
      <c r="H6" s="11" t="s">
        <v>126</v>
      </c>
      <c r="I6" s="11" t="s">
        <v>141</v>
      </c>
    </row>
    <row r="7" ht="15.0" customHeight="1">
      <c r="A7" s="1"/>
      <c r="B7" s="39" t="str">
        <f>IF(Config!$A$5="","",Config!$A$5)</f>
        <v>Rafael Castro</v>
      </c>
      <c r="C7" s="37">
        <f>IF($B7="","",COUNTIFS(Registro!$A$2:$A$3001,$C$3,Registro!$C$2:$C$3001,$B7,Registro!$L$2:$L$3001,"Atendido"))</f>
        <v>0</v>
      </c>
      <c r="D7" s="36">
        <f>IF($B7="","",SUMIFS(Registro!$I$2:$I$3001,Registro!$A$2:$A$3001,$C$3,Registro!$C$2:$C$3001,$B7,Registro!$L$2:$L$3001,"Atendido"))</f>
        <v>0</v>
      </c>
      <c r="E7" s="36">
        <f>IF($B7="","",SUMIFS(Registro!$J$2:$J$3001,Registro!$A$2:$A$3001,$C$3,Registro!$C$2:$C$3001,$B7,Registro!$L$2:$L$3001,"Atendido"))</f>
        <v>0</v>
      </c>
      <c r="F7" s="36">
        <f>IF($B7="","",SUMIFS(Registro!$M$2:$M$3001,Registro!$A$2:$A$3001,$C$3,Registro!$C$2:$C$3001,$B7))</f>
        <v>0</v>
      </c>
      <c r="G7" s="36">
        <f>IF($B7="","",SUMIFS(Registro!$N$2:$N$3001,Registro!$A$2:$A$3001,$C$3,Registro!$C$2:$C$3001,$B7))</f>
        <v>0</v>
      </c>
      <c r="H7" s="36">
        <f>IF($B7="","",SUMIFS(Registro!$O$2:$O$3001,Registro!$A$2:$A$3001,$C$3,Registro!$C$2:$C$3001,$B7))</f>
        <v>0</v>
      </c>
      <c r="I7" s="41">
        <f>IF($B7="","",SUMIFS(Registro!$U$2:$U$3001,Registro!$A$2:$A$3001,$C$3,Registro!$C$2:$C$3001,$B7,Registro!$L$2:$L$3001,"Atendido")/60)</f>
        <v>0</v>
      </c>
    </row>
    <row r="8" ht="15.0" customHeight="1">
      <c r="A8" s="1"/>
      <c r="B8" s="39" t="str">
        <f>IF(Config!$A$6="","",Config!$A$6)</f>
        <v>Daniel Avila</v>
      </c>
      <c r="C8" s="37">
        <f>IF($B8="","",COUNTIFS(Registro!$A$2:$A$3001,$C$3,Registro!$C$2:$C$3001,$B8,Registro!$L$2:$L$3001,"Atendido"))</f>
        <v>0</v>
      </c>
      <c r="D8" s="36">
        <f>IF($B8="","",SUMIFS(Registro!$I$2:$I$3001,Registro!$A$2:$A$3001,$C$3,Registro!$C$2:$C$3001,$B8,Registro!$L$2:$L$3001,"Atendido"))</f>
        <v>0</v>
      </c>
      <c r="E8" s="36">
        <f>IF($B8="","",SUMIFS(Registro!$J$2:$J$3001,Registro!$A$2:$A$3001,$C$3,Registro!$C$2:$C$3001,$B8,Registro!$L$2:$L$3001,"Atendido"))</f>
        <v>0</v>
      </c>
      <c r="F8" s="36">
        <f>IF($B8="","",SUMIFS(Registro!$M$2:$M$3001,Registro!$A$2:$A$3001,$C$3,Registro!$C$2:$C$3001,$B8))</f>
        <v>0</v>
      </c>
      <c r="G8" s="36">
        <f>IF($B8="","",SUMIFS(Registro!$N$2:$N$3001,Registro!$A$2:$A$3001,$C$3,Registro!$C$2:$C$3001,$B8))</f>
        <v>0</v>
      </c>
      <c r="H8" s="36">
        <f>IF($B8="","",SUMIFS(Registro!$O$2:$O$3001,Registro!$A$2:$A$3001,$C$3,Registro!$C$2:$C$3001,$B8))</f>
        <v>0</v>
      </c>
      <c r="I8" s="41">
        <f>IF($B8="","",SUMIFS(Registro!$U$2:$U$3001,Registro!$A$2:$A$3001,$C$3,Registro!$C$2:$C$3001,$B8,Registro!$L$2:$L$3001,"Atendido")/60)</f>
        <v>0</v>
      </c>
    </row>
    <row r="9" ht="15.0" customHeight="1">
      <c r="A9" s="1"/>
      <c r="B9" s="39" t="str">
        <f>IF(Config!$A$7="","",Config!$A$7)</f>
        <v/>
      </c>
      <c r="C9" s="37" t="str">
        <f>IF($B9="","",COUNTIFS(Registro!$A$2:$A$3001,$C$3,Registro!$C$2:$C$3001,$B9,Registro!$L$2:$L$3001,"Atendido"))</f>
        <v/>
      </c>
      <c r="D9" s="36" t="str">
        <f>IF($B9="","",SUMIFS(Registro!$I$2:$I$3001,Registro!$A$2:$A$3001,$C$3,Registro!$C$2:$C$3001,$B9,Registro!$L$2:$L$3001,"Atendido"))</f>
        <v/>
      </c>
      <c r="E9" s="36" t="str">
        <f>IF($B9="","",SUMIFS(Registro!$J$2:$J$3001,Registro!$A$2:$A$3001,$C$3,Registro!$C$2:$C$3001,$B9,Registro!$L$2:$L$3001,"Atendido"))</f>
        <v/>
      </c>
      <c r="F9" s="36" t="str">
        <f>IF($B9="","",SUMIFS(Registro!$M$2:$M$3001,Registro!$A$2:$A$3001,$C$3,Registro!$C$2:$C$3001,$B9))</f>
        <v/>
      </c>
      <c r="G9" s="36" t="str">
        <f>IF($B9="","",SUMIFS(Registro!$N$2:$N$3001,Registro!$A$2:$A$3001,$C$3,Registro!$C$2:$C$3001,$B9))</f>
        <v/>
      </c>
      <c r="H9" s="36" t="str">
        <f>IF($B9="","",SUMIFS(Registro!$O$2:$O$3001,Registro!$A$2:$A$3001,$C$3,Registro!$C$2:$C$3001,$B9))</f>
        <v/>
      </c>
      <c r="I9" s="41" t="str">
        <f>IF($B9="","",SUMIFS(Registro!$U$2:$U$3001,Registro!$A$2:$A$3001,$C$3,Registro!$C$2:$C$3001,$B9,Registro!$L$2:$L$3001,"Atendido")/60)</f>
        <v/>
      </c>
    </row>
    <row r="10" ht="15.0" customHeight="1">
      <c r="A10" s="1"/>
      <c r="B10" s="39" t="str">
        <f>IF(Config!$A$8="","",Config!$A$8)</f>
        <v/>
      </c>
      <c r="C10" s="37" t="str">
        <f>IF($B10="","",COUNTIFS(Registro!$A$2:$A$3001,$C$3,Registro!$C$2:$C$3001,$B10,Registro!$L$2:$L$3001,"Atendido"))</f>
        <v/>
      </c>
      <c r="D10" s="36" t="str">
        <f>IF($B10="","",SUMIFS(Registro!$I$2:$I$3001,Registro!$A$2:$A$3001,$C$3,Registro!$C$2:$C$3001,$B10,Registro!$L$2:$L$3001,"Atendido"))</f>
        <v/>
      </c>
      <c r="E10" s="36" t="str">
        <f>IF($B10="","",SUMIFS(Registro!$J$2:$J$3001,Registro!$A$2:$A$3001,$C$3,Registro!$C$2:$C$3001,$B10,Registro!$L$2:$L$3001,"Atendido"))</f>
        <v/>
      </c>
      <c r="F10" s="36" t="str">
        <f>IF($B10="","",SUMIFS(Registro!$M$2:$M$3001,Registro!$A$2:$A$3001,$C$3,Registro!$C$2:$C$3001,$B10))</f>
        <v/>
      </c>
      <c r="G10" s="36" t="str">
        <f>IF($B10="","",SUMIFS(Registro!$N$2:$N$3001,Registro!$A$2:$A$3001,$C$3,Registro!$C$2:$C$3001,$B10))</f>
        <v/>
      </c>
      <c r="H10" s="36" t="str">
        <f>IF($B10="","",SUMIFS(Registro!$O$2:$O$3001,Registro!$A$2:$A$3001,$C$3,Registro!$C$2:$C$3001,$B10))</f>
        <v/>
      </c>
      <c r="I10" s="41" t="str">
        <f>IF($B10="","",SUMIFS(Registro!$U$2:$U$3001,Registro!$A$2:$A$3001,$C$3,Registro!$C$2:$C$3001,$B10,Registro!$L$2:$L$3001,"Atendido")/60)</f>
        <v/>
      </c>
    </row>
    <row r="11" ht="15.0" customHeight="1">
      <c r="A11" s="1"/>
      <c r="B11" s="39" t="str">
        <f>IF(Config!$A$9="","",Config!$A$9)</f>
        <v/>
      </c>
      <c r="C11" s="37" t="str">
        <f>IF($B11="","",COUNTIFS(Registro!$A$2:$A$3001,$C$3,Registro!$C$2:$C$3001,$B11,Registro!$L$2:$L$3001,"Atendido"))</f>
        <v/>
      </c>
      <c r="D11" s="36" t="str">
        <f>IF($B11="","",SUMIFS(Registro!$I$2:$I$3001,Registro!$A$2:$A$3001,$C$3,Registro!$C$2:$C$3001,$B11,Registro!$L$2:$L$3001,"Atendido"))</f>
        <v/>
      </c>
      <c r="E11" s="36" t="str">
        <f>IF($B11="","",SUMIFS(Registro!$J$2:$J$3001,Registro!$A$2:$A$3001,$C$3,Registro!$C$2:$C$3001,$B11,Registro!$L$2:$L$3001,"Atendido"))</f>
        <v/>
      </c>
      <c r="F11" s="36" t="str">
        <f>IF($B11="","",SUMIFS(Registro!$M$2:$M$3001,Registro!$A$2:$A$3001,$C$3,Registro!$C$2:$C$3001,$B11))</f>
        <v/>
      </c>
      <c r="G11" s="36" t="str">
        <f>IF($B11="","",SUMIFS(Registro!$N$2:$N$3001,Registro!$A$2:$A$3001,$C$3,Registro!$C$2:$C$3001,$B11))</f>
        <v/>
      </c>
      <c r="H11" s="36" t="str">
        <f>IF($B11="","",SUMIFS(Registro!$O$2:$O$3001,Registro!$A$2:$A$3001,$C$3,Registro!$C$2:$C$3001,$B11))</f>
        <v/>
      </c>
      <c r="I11" s="41" t="str">
        <f>IF($B11="","",SUMIFS(Registro!$U$2:$U$3001,Registro!$A$2:$A$3001,$C$3,Registro!$C$2:$C$3001,$B11,Registro!$L$2:$L$3001,"Atendido")/60)</f>
        <v/>
      </c>
    </row>
    <row r="12" ht="15.0" customHeight="1">
      <c r="A12" s="1"/>
      <c r="B12" s="39" t="str">
        <f>IF(Config!$A$10="","",Config!$A$10)</f>
        <v/>
      </c>
      <c r="C12" s="37" t="str">
        <f>IF($B12="","",COUNTIFS(Registro!$A$2:$A$3001,$C$3,Registro!$C$2:$C$3001,$B12,Registro!$L$2:$L$3001,"Atendido"))</f>
        <v/>
      </c>
      <c r="D12" s="36" t="str">
        <f>IF($B12="","",SUMIFS(Registro!$I$2:$I$3001,Registro!$A$2:$A$3001,$C$3,Registro!$C$2:$C$3001,$B12,Registro!$L$2:$L$3001,"Atendido"))</f>
        <v/>
      </c>
      <c r="E12" s="36" t="str">
        <f>IF($B12="","",SUMIFS(Registro!$J$2:$J$3001,Registro!$A$2:$A$3001,$C$3,Registro!$C$2:$C$3001,$B12,Registro!$L$2:$L$3001,"Atendido"))</f>
        <v/>
      </c>
      <c r="F12" s="36" t="str">
        <f>IF($B12="","",SUMIFS(Registro!$M$2:$M$3001,Registro!$A$2:$A$3001,$C$3,Registro!$C$2:$C$3001,$B12))</f>
        <v/>
      </c>
      <c r="G12" s="36" t="str">
        <f>IF($B12="","",SUMIFS(Registro!$N$2:$N$3001,Registro!$A$2:$A$3001,$C$3,Registro!$C$2:$C$3001,$B12))</f>
        <v/>
      </c>
      <c r="H12" s="36" t="str">
        <f>IF($B12="","",SUMIFS(Registro!$O$2:$O$3001,Registro!$A$2:$A$3001,$C$3,Registro!$C$2:$C$3001,$B12))</f>
        <v/>
      </c>
      <c r="I12" s="41" t="str">
        <f>IF($B12="","",SUMIFS(Registro!$U$2:$U$3001,Registro!$A$2:$A$3001,$C$3,Registro!$C$2:$C$3001,$B12,Registro!$L$2:$L$3001,"Atendido")/60)</f>
        <v/>
      </c>
    </row>
    <row r="13" ht="15.0" customHeight="1">
      <c r="A13" s="1"/>
      <c r="B13" s="44" t="s">
        <v>146</v>
      </c>
      <c r="C13" s="45">
        <f t="shared" ref="C13:I13" si="1">SUM(C7:C12)</f>
        <v>0</v>
      </c>
      <c r="D13" s="46">
        <f t="shared" si="1"/>
        <v>0</v>
      </c>
      <c r="E13" s="46">
        <f t="shared" si="1"/>
        <v>0</v>
      </c>
      <c r="F13" s="46">
        <f t="shared" si="1"/>
        <v>0</v>
      </c>
      <c r="G13" s="46">
        <f t="shared" si="1"/>
        <v>0</v>
      </c>
      <c r="H13" s="46">
        <f t="shared" si="1"/>
        <v>0</v>
      </c>
      <c r="I13" s="47">
        <f t="shared" si="1"/>
        <v>0</v>
      </c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 ht="15.0" customHeight="1">
      <c r="A15" s="1"/>
      <c r="B15" s="7" t="s">
        <v>148</v>
      </c>
      <c r="C15" s="1"/>
      <c r="D15" s="1"/>
      <c r="E15" s="1"/>
      <c r="F15" s="7" t="s">
        <v>149</v>
      </c>
      <c r="G15" s="1"/>
      <c r="H15" s="1"/>
      <c r="I15" s="1"/>
    </row>
    <row r="16" ht="15.0" customHeight="1">
      <c r="A16" s="1"/>
      <c r="B16" s="11" t="s">
        <v>32</v>
      </c>
      <c r="C16" s="11" t="s">
        <v>137</v>
      </c>
      <c r="D16" s="11" t="s">
        <v>150</v>
      </c>
      <c r="E16" s="1"/>
      <c r="F16" s="48" t="s">
        <v>53</v>
      </c>
      <c r="G16" s="49">
        <f>COUNTIFS(Registro!$A$2:$A$3001,$C$3,Registro!$L$2:$L$3001,"No asistió")</f>
        <v>0</v>
      </c>
      <c r="H16" s="1"/>
      <c r="I16" s="1"/>
    </row>
    <row r="17" ht="15.0" customHeight="1">
      <c r="A17" s="1"/>
      <c r="B17" s="39" t="str">
        <f>IF(Config!$H$5="","",Config!$H$5)</f>
        <v>Efectivo</v>
      </c>
      <c r="C17" s="37">
        <f>IF($B17="","",COUNTIFS(Registro!$A$2:$A$3001,$C$3,Registro!$K$2:$K$3001,$B17,Registro!$L$2:$L$3001,"Atendido"))</f>
        <v>0</v>
      </c>
      <c r="D17" s="36">
        <f>IF($B17="","",SUMIFS(Registro!$I$2:$I$3001,Registro!$A$2:$A$3001,$C$3,Registro!$K$2:$K$3001,$B17,Registro!$L$2:$L$3001,"Atendido")+SUMIFS(Registro!$J$2:$J$3001,Registro!$A$2:$A$3001,$C$3,Registro!$K$2:$K$3001,$B17,Registro!$L$2:$L$3001,"Atendido"))</f>
        <v>0</v>
      </c>
      <c r="E17" s="1"/>
      <c r="F17" s="48" t="s">
        <v>58</v>
      </c>
      <c r="G17" s="49">
        <f>COUNTIFS(Registro!$A$2:$A$3001,$C$3,Registro!$L$2:$L$3001,"Cancelado")</f>
        <v>0</v>
      </c>
      <c r="H17" s="1"/>
      <c r="I17" s="1"/>
    </row>
    <row r="18" ht="15.0" customHeight="1">
      <c r="A18" s="1"/>
      <c r="B18" s="39" t="str">
        <f>IF(Config!$H$6="","",Config!$H$6)</f>
        <v>Nequi</v>
      </c>
      <c r="C18" s="37">
        <f>IF($B18="","",COUNTIFS(Registro!$A$2:$A$3001,$C$3,Registro!$K$2:$K$3001,$B18,Registro!$L$2:$L$3001,"Atendido"))</f>
        <v>0</v>
      </c>
      <c r="D18" s="36">
        <f>IF($B18="","",SUMIFS(Registro!$I$2:$I$3001,Registro!$A$2:$A$3001,$C$3,Registro!$K$2:$K$3001,$B18,Registro!$L$2:$L$3001,"Atendido")+SUMIFS(Registro!$J$2:$J$3001,Registro!$A$2:$A$3001,$C$3,Registro!$K$2:$K$3001,$B18,Registro!$L$2:$L$3001,"Atendido"))</f>
        <v>0</v>
      </c>
      <c r="E18" s="1"/>
      <c r="F18" s="48" t="s">
        <v>157</v>
      </c>
      <c r="G18" s="52">
        <f>SUMIFS(Registro!$I$2:$I$3001,Registro!$A$2:$A$3001,$C$3,Registro!$L$2:$L$3001,"No asistió")+SUMIFS(Registro!$I$2:$I$3001,Registro!$A$2:$A$3001,$C$3,Registro!$L$2:$L$3001,"Cancelado")</f>
        <v>0</v>
      </c>
      <c r="H18" s="1"/>
      <c r="I18" s="1"/>
    </row>
    <row r="19" ht="15.0" customHeight="1">
      <c r="A19" s="1"/>
      <c r="B19" s="39" t="str">
        <f>IF(Config!$H$7="","",Config!$H$7)</f>
        <v>Daviplata</v>
      </c>
      <c r="C19" s="37">
        <f>IF($B19="","",COUNTIFS(Registro!$A$2:$A$3001,$C$3,Registro!$K$2:$K$3001,$B19,Registro!$L$2:$L$3001,"Atendido"))</f>
        <v>0</v>
      </c>
      <c r="D19" s="36">
        <f>IF($B19="","",SUMIFS(Registro!$I$2:$I$3001,Registro!$A$2:$A$3001,$C$3,Registro!$K$2:$K$3001,$B19,Registro!$L$2:$L$3001,"Atendido")+SUMIFS(Registro!$J$2:$J$3001,Registro!$A$2:$A$3001,$C$3,Registro!$K$2:$K$3001,$B19,Registro!$L$2:$L$3001,"Atendido"))</f>
        <v>0</v>
      </c>
      <c r="E19" s="1"/>
      <c r="F19" s="48" t="s">
        <v>160</v>
      </c>
      <c r="G19" s="41">
        <f>(SUMIFS(Registro!$U$2:$U$3001,Registro!$A$2:$A$3001,$C$3,Registro!$L$2:$L$3001,"No asistió")+SUMIFS(Registro!$U$2:$U$3001,Registro!$A$2:$A$3001,$C$3,Registro!$L$2:$L$3001,"Cancelado"))/60</f>
        <v>0</v>
      </c>
      <c r="H19" s="1"/>
      <c r="I19" s="1"/>
    </row>
    <row r="20" ht="15.0" customHeight="1">
      <c r="A20" s="1"/>
      <c r="B20" s="39" t="str">
        <f>IF(Config!$H$8="","",Config!$H$8)</f>
        <v>Tarjeta débito</v>
      </c>
      <c r="C20" s="37">
        <f>IF($B20="","",COUNTIFS(Registro!$A$2:$A$3001,$C$3,Registro!$K$2:$K$3001,$B20,Registro!$L$2:$L$3001,"Atendido"))</f>
        <v>0</v>
      </c>
      <c r="D20" s="36">
        <f>IF($B20="","",SUMIFS(Registro!$I$2:$I$3001,Registro!$A$2:$A$3001,$C$3,Registro!$K$2:$K$3001,$B20,Registro!$L$2:$L$3001,"Atendido")+SUMIFS(Registro!$J$2:$J$3001,Registro!$A$2:$A$3001,$C$3,Registro!$K$2:$K$3001,$B20,Registro!$L$2:$L$3001,"Atendido"))</f>
        <v>0</v>
      </c>
      <c r="E20" s="1"/>
      <c r="F20" s="1"/>
      <c r="G20" s="1"/>
      <c r="H20" s="1"/>
      <c r="I20" s="1"/>
    </row>
    <row r="21" ht="15.0" customHeight="1">
      <c r="A21" s="1"/>
      <c r="B21" s="39" t="str">
        <f>IF(Config!$H$9="","",Config!$H$9)</f>
        <v>Tarjeta crédito</v>
      </c>
      <c r="C21" s="37">
        <f>IF($B21="","",COUNTIFS(Registro!$A$2:$A$3001,$C$3,Registro!$K$2:$K$3001,$B21,Registro!$L$2:$L$3001,"Atendido"))</f>
        <v>0</v>
      </c>
      <c r="D21" s="36">
        <f>IF($B21="","",SUMIFS(Registro!$I$2:$I$3001,Registro!$A$2:$A$3001,$C$3,Registro!$K$2:$K$3001,$B21,Registro!$L$2:$L$3001,"Atendido")+SUMIFS(Registro!$J$2:$J$3001,Registro!$A$2:$A$3001,$C$3,Registro!$K$2:$K$3001,$B21,Registro!$L$2:$L$3001,"Atendido"))</f>
        <v>0</v>
      </c>
      <c r="E21" s="1"/>
      <c r="F21" s="1"/>
      <c r="G21" s="1"/>
      <c r="H21" s="1"/>
      <c r="I21" s="1"/>
    </row>
    <row r="22" ht="15.0" customHeight="1">
      <c r="A22" s="1"/>
      <c r="B22" s="39" t="str">
        <f>IF(Config!$H$10="","",Config!$H$10)</f>
        <v>Transferencia</v>
      </c>
      <c r="C22" s="37">
        <f>IF($B22="","",COUNTIFS(Registro!$A$2:$A$3001,$C$3,Registro!$K$2:$K$3001,$B22,Registro!$L$2:$L$3001,"Atendido"))</f>
        <v>0</v>
      </c>
      <c r="D22" s="36">
        <f>IF($B22="","",SUMIFS(Registro!$I$2:$I$3001,Registro!$A$2:$A$3001,$C$3,Registro!$K$2:$K$3001,$B22,Registro!$L$2:$L$3001,"Atendido")+SUMIFS(Registro!$J$2:$J$3001,Registro!$A$2:$A$3001,$C$3,Registro!$K$2:$K$3001,$B22,Registro!$L$2:$L$3001,"Atendido"))</f>
        <v>0</v>
      </c>
      <c r="E22" s="1"/>
      <c r="F22" s="1"/>
      <c r="G22" s="1"/>
      <c r="H22" s="1"/>
      <c r="I22" s="1"/>
    </row>
    <row r="23" ht="15.0" customHeight="1">
      <c r="A23" s="1"/>
      <c r="B23" s="39" t="str">
        <f>IF(Config!$H$11="","",Config!$H$11)</f>
        <v>Bold / Datáfono</v>
      </c>
      <c r="C23" s="37">
        <f>IF($B23="","",COUNTIFS(Registro!$A$2:$A$3001,$C$3,Registro!$K$2:$K$3001,$B23,Registro!$L$2:$L$3001,"Atendido"))</f>
        <v>0</v>
      </c>
      <c r="D23" s="36">
        <f>IF($B23="","",SUMIFS(Registro!$I$2:$I$3001,Registro!$A$2:$A$3001,$C$3,Registro!$K$2:$K$3001,$B23,Registro!$L$2:$L$3001,"Atendido")+SUMIFS(Registro!$J$2:$J$3001,Registro!$A$2:$A$3001,$C$3,Registro!$K$2:$K$3001,$B23,Registro!$L$2:$L$3001,"Atendido"))</f>
        <v>0</v>
      </c>
      <c r="E23" s="1"/>
      <c r="F23" s="1"/>
      <c r="G23" s="1"/>
      <c r="H23" s="1"/>
      <c r="I23" s="1"/>
    </row>
    <row r="24" ht="15.0" customHeight="1">
      <c r="A24" s="1"/>
      <c r="B24" s="39" t="str">
        <f>IF(Config!$H$12="","",Config!$H$12)</f>
        <v/>
      </c>
      <c r="C24" s="37" t="str">
        <f>IF($B24="","",COUNTIFS(Registro!$A$2:$A$3001,$C$3,Registro!$K$2:$K$3001,$B24,Registro!$L$2:$L$3001,"Atendido"))</f>
        <v/>
      </c>
      <c r="D24" s="36" t="str">
        <f>IF($B24="","",SUMIFS(Registro!$I$2:$I$3001,Registro!$A$2:$A$3001,$C$3,Registro!$K$2:$K$3001,$B24,Registro!$L$2:$L$3001,"Atendido")+SUMIFS(Registro!$J$2:$J$3001,Registro!$A$2:$A$3001,$C$3,Registro!$K$2:$K$3001,$B24,Registro!$L$2:$L$3001,"Atendido"))</f>
        <v/>
      </c>
      <c r="E24" s="1"/>
      <c r="F24" s="1"/>
      <c r="G24" s="1"/>
      <c r="H24" s="1"/>
      <c r="I24" s="1"/>
    </row>
    <row r="25" ht="15.0" customHeight="1">
      <c r="A25" s="1"/>
      <c r="B25" s="39" t="str">
        <f>IF(Config!$H$13="","",Config!$H$13)</f>
        <v/>
      </c>
      <c r="C25" s="37" t="str">
        <f>IF($B25="","",COUNTIFS(Registro!$A$2:$A$3001,$C$3,Registro!$K$2:$K$3001,$B25,Registro!$L$2:$L$3001,"Atendido"))</f>
        <v/>
      </c>
      <c r="D25" s="36" t="str">
        <f>IF($B25="","",SUMIFS(Registro!$I$2:$I$3001,Registro!$A$2:$A$3001,$C$3,Registro!$K$2:$K$3001,$B25,Registro!$L$2:$L$3001,"Atendido")+SUMIFS(Registro!$J$2:$J$3001,Registro!$A$2:$A$3001,$C$3,Registro!$K$2:$K$3001,$B25,Registro!$L$2:$L$3001,"Atendido"))</f>
        <v/>
      </c>
      <c r="E25" s="1"/>
      <c r="F25" s="1"/>
      <c r="G25" s="1"/>
      <c r="H25" s="1"/>
      <c r="I25" s="1"/>
    </row>
    <row r="26" ht="15.0" customHeight="1">
      <c r="A26" s="1"/>
      <c r="B26" s="44" t="s">
        <v>164</v>
      </c>
      <c r="C26" s="45">
        <f t="shared" ref="C26:D26" si="2">SUM(C17:C25)</f>
        <v>0</v>
      </c>
      <c r="D26" s="46">
        <f t="shared" si="2"/>
        <v>0</v>
      </c>
      <c r="E26" s="1"/>
      <c r="F26" s="1"/>
      <c r="G26" s="1"/>
      <c r="H26" s="1"/>
      <c r="I26" s="1"/>
    </row>
    <row r="27" ht="15.0" customHeight="1">
      <c r="A27" s="1"/>
      <c r="B27" s="6" t="s">
        <v>165</v>
      </c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2.0"/>
    <col customWidth="1" min="4" max="4" width="15.0"/>
    <col customWidth="1" min="5" max="5" width="11.0"/>
    <col customWidth="1" min="6" max="6" width="14.0"/>
    <col customWidth="1" min="7" max="7" width="13.0"/>
    <col customWidth="1" min="8" max="8" width="16.0"/>
    <col customWidth="1" min="9" max="9" width="15.0"/>
    <col customWidth="1" min="10" max="26" width="8.71"/>
  </cols>
  <sheetData>
    <row r="1" ht="17.25" customHeight="1">
      <c r="A1" s="1"/>
      <c r="B1" s="3" t="s">
        <v>142</v>
      </c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 ht="15.0" customHeight="1">
      <c r="A3" s="1"/>
      <c r="B3" s="38" t="s">
        <v>143</v>
      </c>
      <c r="C3" s="40">
        <v>2026.0</v>
      </c>
      <c r="D3" s="1"/>
      <c r="E3" s="1"/>
      <c r="F3" s="1"/>
      <c r="G3" s="1"/>
      <c r="H3" s="1"/>
      <c r="I3" s="1"/>
    </row>
    <row r="4" ht="15.0" customHeight="1">
      <c r="A4" s="1"/>
      <c r="B4" s="38" t="s">
        <v>144</v>
      </c>
      <c r="C4" s="40">
        <v>8.0</v>
      </c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 ht="15.0" customHeight="1">
      <c r="A6" s="1"/>
      <c r="B6" s="11" t="s">
        <v>7</v>
      </c>
      <c r="C6" s="11" t="s">
        <v>137</v>
      </c>
      <c r="D6" s="11" t="s">
        <v>138</v>
      </c>
      <c r="E6" s="11" t="s">
        <v>30</v>
      </c>
      <c r="F6" s="11" t="s">
        <v>140</v>
      </c>
      <c r="G6" s="11" t="s">
        <v>139</v>
      </c>
      <c r="H6" s="11" t="s">
        <v>145</v>
      </c>
      <c r="I6" s="11" t="s">
        <v>126</v>
      </c>
    </row>
    <row r="7" ht="15.0" customHeight="1">
      <c r="A7" s="1"/>
      <c r="B7" s="39" t="str">
        <f>IF(Config!$A$5="","",Config!$A$5)</f>
        <v>Rafael Castro</v>
      </c>
      <c r="C7" s="37">
        <f>IF($B7="","",COUNTIFS(Registro!$Q$2:$Q$3001,$C$3,Registro!$R$2:$R$3001,$C$4,Registro!$C$2:$C$3001,$B7,Registro!$L$2:$L$3001,"Atendido"))</f>
        <v>0</v>
      </c>
      <c r="D7" s="36">
        <f>IF($B7="","",SUMIFS(Registro!$I$2:$I$3001,Registro!$Q$2:$Q$3001,$C$3,Registro!$R$2:$R$3001,$C$4,Registro!$C$2:$C$3001,$B7,Registro!$L$2:$L$3001,"Atendido"))</f>
        <v>0</v>
      </c>
      <c r="E7" s="42">
        <f>IF($B7="","",Config!$B$5)</f>
        <v>0.5</v>
      </c>
      <c r="F7" s="36">
        <f>IF($B7="","",SUMIFS(Registro!$M$2:$M$3001,Registro!$Q$2:$Q$3001,$C$3,Registro!$R$2:$R$3001,$C$4,Registro!$C$2:$C$3001,$B7))</f>
        <v>0</v>
      </c>
      <c r="G7" s="36">
        <f>IF($B7="","",SUMIFS(Registro!$J$2:$J$3001,Registro!$Q$2:$Q$3001,$C$3,Registro!$R$2:$R$3001,$C$4,Registro!$C$2:$C$3001,$B7,Registro!$L$2:$L$3001,"Atendido"))</f>
        <v>0</v>
      </c>
      <c r="H7" s="43">
        <f>IF($B7="","",SUMIFS(Registro!$N$2:$N$3001,Registro!$Q$2:$Q$3001,$C$3,Registro!$R$2:$R$3001,$C$4,Registro!$C$2:$C$3001,$B7))</f>
        <v>0</v>
      </c>
      <c r="I7" s="36">
        <f>IF($B7="","",SUMIFS(Registro!$O$2:$O$3001,Registro!$Q$2:$Q$3001,$C$3,Registro!$R$2:$R$3001,$C$4,Registro!$C$2:$C$3001,$B7))</f>
        <v>0</v>
      </c>
    </row>
    <row r="8" ht="15.0" customHeight="1">
      <c r="A8" s="1"/>
      <c r="B8" s="39" t="str">
        <f>IF(Config!$A$6="","",Config!$A$6)</f>
        <v>Daniel Avila</v>
      </c>
      <c r="C8" s="37">
        <f>IF($B8="","",COUNTIFS(Registro!$Q$2:$Q$3001,$C$3,Registro!$R$2:$R$3001,$C$4,Registro!$C$2:$C$3001,$B8,Registro!$L$2:$L$3001,"Atendido"))</f>
        <v>0</v>
      </c>
      <c r="D8" s="36">
        <f>IF($B8="","",SUMIFS(Registro!$I$2:$I$3001,Registro!$Q$2:$Q$3001,$C$3,Registro!$R$2:$R$3001,$C$4,Registro!$C$2:$C$3001,$B8,Registro!$L$2:$L$3001,"Atendido"))</f>
        <v>0</v>
      </c>
      <c r="E8" s="42">
        <f>IF($B8="","",Config!$B$6)</f>
        <v>0.5</v>
      </c>
      <c r="F8" s="36">
        <f>IF($B8="","",SUMIFS(Registro!$M$2:$M$3001,Registro!$Q$2:$Q$3001,$C$3,Registro!$R$2:$R$3001,$C$4,Registro!$C$2:$C$3001,$B8))</f>
        <v>0</v>
      </c>
      <c r="G8" s="36">
        <f>IF($B8="","",SUMIFS(Registro!$J$2:$J$3001,Registro!$Q$2:$Q$3001,$C$3,Registro!$R$2:$R$3001,$C$4,Registro!$C$2:$C$3001,$B8,Registro!$L$2:$L$3001,"Atendido"))</f>
        <v>0</v>
      </c>
      <c r="H8" s="43">
        <f>IF($B8="","",SUMIFS(Registro!$N$2:$N$3001,Registro!$Q$2:$Q$3001,$C$3,Registro!$R$2:$R$3001,$C$4,Registro!$C$2:$C$3001,$B8))</f>
        <v>0</v>
      </c>
      <c r="I8" s="36">
        <f>IF($B8="","",SUMIFS(Registro!$O$2:$O$3001,Registro!$Q$2:$Q$3001,$C$3,Registro!$R$2:$R$3001,$C$4,Registro!$C$2:$C$3001,$B8))</f>
        <v>0</v>
      </c>
    </row>
    <row r="9" ht="15.0" customHeight="1">
      <c r="A9" s="1"/>
      <c r="B9" s="39" t="str">
        <f>IF(Config!$A$7="","",Config!$A$7)</f>
        <v/>
      </c>
      <c r="C9" s="37" t="str">
        <f>IF($B9="","",COUNTIFS(Registro!$Q$2:$Q$3001,$C$3,Registro!$R$2:$R$3001,$C$4,Registro!$C$2:$C$3001,$B9,Registro!$L$2:$L$3001,"Atendido"))</f>
        <v/>
      </c>
      <c r="D9" s="36" t="str">
        <f>IF($B9="","",SUMIFS(Registro!$I$2:$I$3001,Registro!$Q$2:$Q$3001,$C$3,Registro!$R$2:$R$3001,$C$4,Registro!$C$2:$C$3001,$B9,Registro!$L$2:$L$3001,"Atendido"))</f>
        <v/>
      </c>
      <c r="E9" s="42" t="str">
        <f>IF($B9="","",Config!$B$7)</f>
        <v/>
      </c>
      <c r="F9" s="36" t="str">
        <f>IF($B9="","",SUMIFS(Registro!$M$2:$M$3001,Registro!$Q$2:$Q$3001,$C$3,Registro!$R$2:$R$3001,$C$4,Registro!$C$2:$C$3001,$B9))</f>
        <v/>
      </c>
      <c r="G9" s="36" t="str">
        <f>IF($B9="","",SUMIFS(Registro!$J$2:$J$3001,Registro!$Q$2:$Q$3001,$C$3,Registro!$R$2:$R$3001,$C$4,Registro!$C$2:$C$3001,$B9,Registro!$L$2:$L$3001,"Atendido"))</f>
        <v/>
      </c>
      <c r="H9" s="43" t="str">
        <f>IF($B9="","",SUMIFS(Registro!$N$2:$N$3001,Registro!$Q$2:$Q$3001,$C$3,Registro!$R$2:$R$3001,$C$4,Registro!$C$2:$C$3001,$B9))</f>
        <v/>
      </c>
      <c r="I9" s="36" t="str">
        <f>IF($B9="","",SUMIFS(Registro!$O$2:$O$3001,Registro!$Q$2:$Q$3001,$C$3,Registro!$R$2:$R$3001,$C$4,Registro!$C$2:$C$3001,$B9))</f>
        <v/>
      </c>
    </row>
    <row r="10" ht="15.0" customHeight="1">
      <c r="A10" s="1"/>
      <c r="B10" s="39" t="str">
        <f>IF(Config!$A$8="","",Config!$A$8)</f>
        <v/>
      </c>
      <c r="C10" s="37" t="str">
        <f>IF($B10="","",COUNTIFS(Registro!$Q$2:$Q$3001,$C$3,Registro!$R$2:$R$3001,$C$4,Registro!$C$2:$C$3001,$B10,Registro!$L$2:$L$3001,"Atendido"))</f>
        <v/>
      </c>
      <c r="D10" s="36" t="str">
        <f>IF($B10="","",SUMIFS(Registro!$I$2:$I$3001,Registro!$Q$2:$Q$3001,$C$3,Registro!$R$2:$R$3001,$C$4,Registro!$C$2:$C$3001,$B10,Registro!$L$2:$L$3001,"Atendido"))</f>
        <v/>
      </c>
      <c r="E10" s="42" t="str">
        <f>IF($B10="","",Config!$B$8)</f>
        <v/>
      </c>
      <c r="F10" s="36" t="str">
        <f>IF($B10="","",SUMIFS(Registro!$M$2:$M$3001,Registro!$Q$2:$Q$3001,$C$3,Registro!$R$2:$R$3001,$C$4,Registro!$C$2:$C$3001,$B10))</f>
        <v/>
      </c>
      <c r="G10" s="36" t="str">
        <f>IF($B10="","",SUMIFS(Registro!$J$2:$J$3001,Registro!$Q$2:$Q$3001,$C$3,Registro!$R$2:$R$3001,$C$4,Registro!$C$2:$C$3001,$B10,Registro!$L$2:$L$3001,"Atendido"))</f>
        <v/>
      </c>
      <c r="H10" s="43" t="str">
        <f>IF($B10="","",SUMIFS(Registro!$N$2:$N$3001,Registro!$Q$2:$Q$3001,$C$3,Registro!$R$2:$R$3001,$C$4,Registro!$C$2:$C$3001,$B10))</f>
        <v/>
      </c>
      <c r="I10" s="36" t="str">
        <f>IF($B10="","",SUMIFS(Registro!$O$2:$O$3001,Registro!$Q$2:$Q$3001,$C$3,Registro!$R$2:$R$3001,$C$4,Registro!$C$2:$C$3001,$B10))</f>
        <v/>
      </c>
    </row>
    <row r="11" ht="15.0" customHeight="1">
      <c r="A11" s="1"/>
      <c r="B11" s="39" t="str">
        <f>IF(Config!$A$9="","",Config!$A$9)</f>
        <v/>
      </c>
      <c r="C11" s="37" t="str">
        <f>IF($B11="","",COUNTIFS(Registro!$Q$2:$Q$3001,$C$3,Registro!$R$2:$R$3001,$C$4,Registro!$C$2:$C$3001,$B11,Registro!$L$2:$L$3001,"Atendido"))</f>
        <v/>
      </c>
      <c r="D11" s="36" t="str">
        <f>IF($B11="","",SUMIFS(Registro!$I$2:$I$3001,Registro!$Q$2:$Q$3001,$C$3,Registro!$R$2:$R$3001,$C$4,Registro!$C$2:$C$3001,$B11,Registro!$L$2:$L$3001,"Atendido"))</f>
        <v/>
      </c>
      <c r="E11" s="42" t="str">
        <f>IF($B11="","",Config!$B$9)</f>
        <v/>
      </c>
      <c r="F11" s="36" t="str">
        <f>IF($B11="","",SUMIFS(Registro!$M$2:$M$3001,Registro!$Q$2:$Q$3001,$C$3,Registro!$R$2:$R$3001,$C$4,Registro!$C$2:$C$3001,$B11))</f>
        <v/>
      </c>
      <c r="G11" s="36" t="str">
        <f>IF($B11="","",SUMIFS(Registro!$J$2:$J$3001,Registro!$Q$2:$Q$3001,$C$3,Registro!$R$2:$R$3001,$C$4,Registro!$C$2:$C$3001,$B11,Registro!$L$2:$L$3001,"Atendido"))</f>
        <v/>
      </c>
      <c r="H11" s="43" t="str">
        <f>IF($B11="","",SUMIFS(Registro!$N$2:$N$3001,Registro!$Q$2:$Q$3001,$C$3,Registro!$R$2:$R$3001,$C$4,Registro!$C$2:$C$3001,$B11))</f>
        <v/>
      </c>
      <c r="I11" s="36" t="str">
        <f>IF($B11="","",SUMIFS(Registro!$O$2:$O$3001,Registro!$Q$2:$Q$3001,$C$3,Registro!$R$2:$R$3001,$C$4,Registro!$C$2:$C$3001,$B11))</f>
        <v/>
      </c>
    </row>
    <row r="12" ht="15.0" customHeight="1">
      <c r="A12" s="1"/>
      <c r="B12" s="39" t="str">
        <f>IF(Config!$A$10="","",Config!$A$10)</f>
        <v/>
      </c>
      <c r="C12" s="37" t="str">
        <f>IF($B12="","",COUNTIFS(Registro!$Q$2:$Q$3001,$C$3,Registro!$R$2:$R$3001,$C$4,Registro!$C$2:$C$3001,$B12,Registro!$L$2:$L$3001,"Atendido"))</f>
        <v/>
      </c>
      <c r="D12" s="36" t="str">
        <f>IF($B12="","",SUMIFS(Registro!$I$2:$I$3001,Registro!$Q$2:$Q$3001,$C$3,Registro!$R$2:$R$3001,$C$4,Registro!$C$2:$C$3001,$B12,Registro!$L$2:$L$3001,"Atendido"))</f>
        <v/>
      </c>
      <c r="E12" s="42" t="str">
        <f>IF($B12="","",Config!$B$10)</f>
        <v/>
      </c>
      <c r="F12" s="36" t="str">
        <f>IF($B12="","",SUMIFS(Registro!$M$2:$M$3001,Registro!$Q$2:$Q$3001,$C$3,Registro!$R$2:$R$3001,$C$4,Registro!$C$2:$C$3001,$B12))</f>
        <v/>
      </c>
      <c r="G12" s="36" t="str">
        <f>IF($B12="","",SUMIFS(Registro!$J$2:$J$3001,Registro!$Q$2:$Q$3001,$C$3,Registro!$R$2:$R$3001,$C$4,Registro!$C$2:$C$3001,$B12,Registro!$L$2:$L$3001,"Atendido"))</f>
        <v/>
      </c>
      <c r="H12" s="43" t="str">
        <f>IF($B12="","",SUMIFS(Registro!$N$2:$N$3001,Registro!$Q$2:$Q$3001,$C$3,Registro!$R$2:$R$3001,$C$4,Registro!$C$2:$C$3001,$B12))</f>
        <v/>
      </c>
      <c r="I12" s="36" t="str">
        <f>IF($B12="","",SUMIFS(Registro!$O$2:$O$3001,Registro!$Q$2:$Q$3001,$C$3,Registro!$R$2:$R$3001,$C$4,Registro!$C$2:$C$3001,$B12))</f>
        <v/>
      </c>
    </row>
    <row r="13" ht="15.0" customHeight="1">
      <c r="A13" s="1"/>
      <c r="B13" s="44" t="s">
        <v>147</v>
      </c>
      <c r="C13" s="45">
        <f t="shared" ref="C13:D13" si="1">SUM(C7:C12)</f>
        <v>0</v>
      </c>
      <c r="D13" s="46">
        <f t="shared" si="1"/>
        <v>0</v>
      </c>
      <c r="E13" s="44"/>
      <c r="F13" s="46">
        <f t="shared" ref="F13:I13" si="2">SUM(F7:F12)</f>
        <v>0</v>
      </c>
      <c r="G13" s="46">
        <f t="shared" si="2"/>
        <v>0</v>
      </c>
      <c r="H13" s="46">
        <f t="shared" si="2"/>
        <v>0</v>
      </c>
      <c r="I13" s="46">
        <f t="shared" si="2"/>
        <v>0</v>
      </c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 ht="15.0" customHeight="1">
      <c r="A15" s="1"/>
      <c r="B15" s="7" t="s">
        <v>151</v>
      </c>
      <c r="C15" s="1"/>
      <c r="D15" s="1"/>
      <c r="E15" s="1"/>
      <c r="F15" s="1"/>
      <c r="G15" s="1"/>
      <c r="H15" s="1"/>
      <c r="I15" s="1"/>
    </row>
    <row r="16" ht="15.0" customHeight="1">
      <c r="A16" s="1"/>
      <c r="B16" s="50" t="s">
        <v>152</v>
      </c>
      <c r="C16" s="43">
        <f>SUMIFS(Registro!$I$2:$I$3001,Registro!$Q$2:$Q$3001,$C$3,Registro!$R$2:$R$3001,$C$4,Registro!$L$2:$L$3001,"Atendido")</f>
        <v>85000</v>
      </c>
      <c r="D16" s="1"/>
      <c r="E16" s="1"/>
      <c r="F16" s="1"/>
      <c r="G16" s="1"/>
      <c r="H16" s="1"/>
      <c r="I16" s="1"/>
    </row>
    <row r="17" ht="15.0" customHeight="1">
      <c r="A17" s="1"/>
      <c r="B17" s="50" t="s">
        <v>153</v>
      </c>
      <c r="C17" s="43">
        <f>SUMIFS(Registro!$J$2:$J$3001,Registro!$Q$2:$Q$3001,$C$3,Registro!$R$2:$R$3001,$C$4,Registro!$L$2:$L$3001,"Atendido")</f>
        <v>0</v>
      </c>
      <c r="D17" s="1"/>
      <c r="E17" s="1"/>
      <c r="F17" s="1"/>
      <c r="G17" s="1"/>
      <c r="H17" s="1"/>
      <c r="I17" s="1"/>
    </row>
    <row r="18" ht="15.0" customHeight="1">
      <c r="A18" s="1"/>
      <c r="B18" s="50" t="s">
        <v>154</v>
      </c>
      <c r="C18" s="43">
        <f>SUMIFS(Registro!$M$2:$M$3001,Registro!$Q$2:$Q$3001,$C$3,Registro!$R$2:$R$3001,$C$4)</f>
        <v>0</v>
      </c>
      <c r="D18" s="1"/>
      <c r="E18" s="1"/>
      <c r="F18" s="1"/>
      <c r="G18" s="1"/>
      <c r="H18" s="1"/>
      <c r="I18" s="1"/>
    </row>
    <row r="19" ht="15.0" customHeight="1">
      <c r="A19" s="1"/>
      <c r="B19" s="50" t="s">
        <v>155</v>
      </c>
      <c r="C19" s="43">
        <f>SUMIFS(Registro!$O$2:$O$3001,Registro!$Q$2:$Q$3001,$C$3,Registro!$R$2:$R$3001,$C$4)</f>
        <v>85000</v>
      </c>
      <c r="D19" s="1"/>
      <c r="E19" s="1"/>
      <c r="F19" s="1"/>
      <c r="G19" s="1"/>
      <c r="H19" s="1"/>
      <c r="I19" s="1"/>
    </row>
    <row r="20" ht="15.0" customHeight="1">
      <c r="A20" s="1"/>
      <c r="B20" s="50" t="s">
        <v>156</v>
      </c>
      <c r="C20" s="51">
        <f>COUNTIFS(Registro!$Q$2:$Q$3001,$C$3,Registro!$R$2:$R$3001,$C$4,Registro!$L$2:$L$3001,"Atendido")</f>
        <v>1</v>
      </c>
      <c r="D20" s="1"/>
      <c r="E20" s="1"/>
      <c r="F20" s="1"/>
      <c r="G20" s="1"/>
      <c r="H20" s="1"/>
      <c r="I20" s="1"/>
    </row>
    <row r="21" ht="15.0" customHeight="1">
      <c r="A21" s="1"/>
      <c r="B21" s="50" t="s">
        <v>158</v>
      </c>
      <c r="C21" s="43">
        <f>IFERROR(SUMIFS(Registro!$I$2:$I$3001,Registro!$Q$2:$Q$3001,$C$3,Registro!$R$2:$R$3001,$C$4,Registro!$L$2:$L$3001,"Atendido")/COUNTIFS(Registro!$Q$2:$Q$3001,$C$3,Registro!$R$2:$R$3001,$C$4,Registro!$L$2:$L$3001,"Atendido"),0)</f>
        <v>85000</v>
      </c>
      <c r="D21" s="1"/>
      <c r="E21" s="1"/>
      <c r="F21" s="1"/>
      <c r="G21" s="1"/>
      <c r="H21" s="1"/>
      <c r="I21" s="1"/>
    </row>
    <row r="22" ht="15.0" customHeight="1">
      <c r="A22" s="1"/>
      <c r="B22" s="50" t="s">
        <v>159</v>
      </c>
      <c r="C22" s="53">
        <f>SUMIFS(Registro!$U$2:$U$3001,Registro!$Q$2:$Q$3001,$C$3,Registro!$R$2:$R$3001,$C$4,Registro!$L$2:$L$3001,"Atendido")/60</f>
        <v>1.25</v>
      </c>
      <c r="D22" s="1"/>
      <c r="E22" s="1"/>
      <c r="F22" s="1"/>
      <c r="G22" s="1"/>
      <c r="H22" s="1"/>
      <c r="I22" s="1"/>
    </row>
    <row r="23" ht="15.0" customHeight="1">
      <c r="A23" s="1"/>
      <c r="B23" s="50" t="s">
        <v>161</v>
      </c>
      <c r="C23" s="43">
        <f>IFERROR(SUMIFS(Registro!$I$2:$I$3001,Registro!$Q$2:$Q$3001,$C$3,Registro!$R$2:$R$3001,$C$4,Registro!$L$2:$L$3001,"Atendido")/(SUMIFS(Registro!$U$2:$U$3001,Registro!$Q$2:$Q$3001,$C$3,Registro!$R$2:$R$3001,$C$4,Registro!$L$2:$L$3001,"Atendido")/60),0)</f>
        <v>68000</v>
      </c>
      <c r="D23" s="1"/>
      <c r="E23" s="1"/>
      <c r="F23" s="1"/>
      <c r="G23" s="1"/>
      <c r="H23" s="1"/>
      <c r="I23" s="1"/>
    </row>
    <row r="24" ht="15.0" customHeight="1">
      <c r="A24" s="1"/>
      <c r="B24" s="50" t="s">
        <v>162</v>
      </c>
      <c r="C24" s="51">
        <f>COUNTIFS(Registro!$Q$2:$Q$3001,$C$3,Registro!$R$2:$R$3001,$C$4,Registro!$L$2:$L$3001,"No asistió")+COUNTIFS(Registro!$Q$2:$Q$3001,$C$3,Registro!$R$2:$R$3001,$C$4,Registro!$L$2:$L$3001,"Cancelado")</f>
        <v>0</v>
      </c>
      <c r="D24" s="1"/>
      <c r="E24" s="1"/>
      <c r="F24" s="1"/>
      <c r="G24" s="1"/>
      <c r="H24" s="1"/>
      <c r="I24" s="1"/>
    </row>
    <row r="25" ht="15.0" customHeight="1">
      <c r="A25" s="1"/>
      <c r="B25" s="50" t="s">
        <v>163</v>
      </c>
      <c r="C25" s="43">
        <f>SUMIFS(Registro!$I$2:$I$3001,Registro!$Q$2:$Q$3001,$C$3,Registro!$R$2:$R$3001,$C$4,Registro!$L$2:$L$3001,"No asistió")+SUMIFS(Registro!$I$2:$I$3001,Registro!$Q$2:$Q$3001,$C$3,Registro!$R$2:$R$3001,$C$4,Registro!$L$2:$L$3001,"Cancelado")</f>
        <v>0</v>
      </c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0.0"/>
    <col customWidth="1" min="4" max="4" width="15.0"/>
    <col customWidth="1" min="5" max="5" width="13.0"/>
    <col customWidth="1" min="6" max="6" width="9.0"/>
    <col customWidth="1" min="7" max="7" width="15.0"/>
    <col customWidth="1" min="8" max="8" width="3.0"/>
    <col customWidth="1" min="9" max="9" width="13.0"/>
    <col customWidth="1" min="10" max="10" width="11.0"/>
    <col customWidth="1" min="11" max="11" width="15.0"/>
    <col customWidth="1" min="12" max="12" width="3.0"/>
    <col customWidth="1" min="13" max="13" width="14.0"/>
    <col customWidth="1" min="14" max="14" width="11.0"/>
    <col customWidth="1" min="15" max="15" width="15.0"/>
    <col customWidth="1" min="16" max="26" width="8.71"/>
  </cols>
  <sheetData>
    <row r="1" ht="17.25" customHeight="1">
      <c r="A1" s="1"/>
      <c r="B1" s="3" t="s">
        <v>166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0" customHeight="1">
      <c r="A2" s="1"/>
      <c r="B2" s="6" t="s">
        <v>167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0" customHeight="1">
      <c r="A4" s="1"/>
      <c r="B4" s="7" t="s">
        <v>168</v>
      </c>
      <c r="C4" s="1"/>
      <c r="D4" s="1"/>
      <c r="E4" s="1"/>
      <c r="F4" s="1"/>
      <c r="G4" s="1"/>
      <c r="H4" s="1"/>
      <c r="I4" s="7" t="s">
        <v>169</v>
      </c>
      <c r="J4" s="1"/>
      <c r="K4" s="1"/>
      <c r="L4" s="1"/>
      <c r="M4" s="7" t="s">
        <v>170</v>
      </c>
      <c r="N4" s="1"/>
      <c r="O4" s="1"/>
    </row>
    <row r="5" ht="15.0" customHeight="1">
      <c r="A5" s="1"/>
      <c r="B5" s="11" t="s">
        <v>8</v>
      </c>
      <c r="C5" s="11" t="s">
        <v>171</v>
      </c>
      <c r="D5" s="11" t="s">
        <v>172</v>
      </c>
      <c r="E5" s="11" t="s">
        <v>173</v>
      </c>
      <c r="F5" s="11" t="s">
        <v>174</v>
      </c>
      <c r="G5" s="11" t="s">
        <v>175</v>
      </c>
      <c r="H5" s="1"/>
      <c r="I5" s="11" t="s">
        <v>93</v>
      </c>
      <c r="J5" s="11" t="s">
        <v>137</v>
      </c>
      <c r="K5" s="11" t="s">
        <v>172</v>
      </c>
      <c r="L5" s="1"/>
      <c r="M5" s="11" t="s">
        <v>118</v>
      </c>
      <c r="N5" s="11" t="s">
        <v>137</v>
      </c>
      <c r="O5" s="11" t="s">
        <v>172</v>
      </c>
    </row>
    <row r="6" ht="15.0" customHeight="1">
      <c r="A6" s="1"/>
      <c r="B6" s="39" t="str">
        <f>IF(Config!$D$5="","",Config!$D$5)</f>
        <v>Tinte (cambio de color)</v>
      </c>
      <c r="C6" s="37">
        <f>IF($B6="","",COUNTIFS(Registro!$F$2:$F$3001,$B6,Registro!$L$2:$L$3001,"Atendido"))</f>
        <v>0</v>
      </c>
      <c r="D6" s="36">
        <f>IF($B6="","",SUMIFS(Registro!$I$2:$I$3001,Registro!$F$2:$F$3001,$B6,Registro!$L$2:$L$3001,"Atendido"))</f>
        <v>0</v>
      </c>
      <c r="E6" s="36">
        <f t="shared" ref="E6:E25" si="1">IF($B6="","",IFERROR($D6/$C6,0))</f>
        <v>0</v>
      </c>
      <c r="F6" s="41">
        <f>IF($B6="","",SUMIFS(Registro!$U$2:$U$3001,Registro!$F$2:$F$3001,$B6,Registro!$L$2:$L$3001,"Atendido")/60)</f>
        <v>0</v>
      </c>
      <c r="G6" s="43">
        <f>IF($B6="","",IFERROR(Config!$E5/(Config!$F5/60),0))</f>
        <v>83076.92308</v>
      </c>
      <c r="H6" s="1"/>
      <c r="I6" s="39" t="s">
        <v>97</v>
      </c>
      <c r="J6" s="37">
        <f>COUNTIFS(Registro!$S$2:$S$3001,"Lunes",Registro!$L$2:$L$3001,"Atendido")</f>
        <v>0</v>
      </c>
      <c r="K6" s="36">
        <f>SUMIFS(Registro!$I$2:$I$3001,Registro!$S$2:$S$3001,"Lunes",Registro!$L$2:$L$3001,"Atendido")</f>
        <v>0</v>
      </c>
      <c r="L6" s="1"/>
      <c r="M6" s="39" t="s">
        <v>176</v>
      </c>
      <c r="N6" s="37">
        <f>COUNTIFS(Registro!$T$2:$T$3001,7,Registro!$L$2:$L$3001,"Atendido")</f>
        <v>0</v>
      </c>
      <c r="O6" s="36">
        <f>SUMIFS(Registro!$I$2:$I$3001,Registro!$T$2:$T$3001,7,Registro!$L$2:$L$3001,"Atendido")</f>
        <v>0</v>
      </c>
    </row>
    <row r="7" ht="15.0" customHeight="1">
      <c r="A7" s="1"/>
      <c r="B7" s="39" t="str">
        <f>IF(Config!$D$6="","",Config!$D$6)</f>
        <v>Corte y Barba Riif Experience</v>
      </c>
      <c r="C7" s="37">
        <f>IF($B7="","",COUNTIFS(Registro!$F$2:$F$3001,$B7,Registro!$L$2:$L$3001,"Atendido"))</f>
        <v>0</v>
      </c>
      <c r="D7" s="36">
        <f>IF($B7="","",SUMIFS(Registro!$I$2:$I$3001,Registro!$F$2:$F$3001,$B7,Registro!$L$2:$L$3001,"Atendido"))</f>
        <v>0</v>
      </c>
      <c r="E7" s="36">
        <f t="shared" si="1"/>
        <v>0</v>
      </c>
      <c r="F7" s="41">
        <f>IF($B7="","",SUMIFS(Registro!$U$2:$U$3001,Registro!$F$2:$F$3001,$B7,Registro!$L$2:$L$3001,"Atendido")/60)</f>
        <v>0</v>
      </c>
      <c r="G7" s="43">
        <f>IF($B7="","",IFERROR(Config!$E6/(Config!$F6/60),0))</f>
        <v>82500</v>
      </c>
      <c r="H7" s="1"/>
      <c r="I7" s="39" t="s">
        <v>100</v>
      </c>
      <c r="J7" s="37">
        <f>COUNTIFS(Registro!$S$2:$S$3001,"Martes",Registro!$L$2:$L$3001,"Atendido")</f>
        <v>0</v>
      </c>
      <c r="K7" s="36">
        <f>SUMIFS(Registro!$I$2:$I$3001,Registro!$S$2:$S$3001,"Martes",Registro!$L$2:$L$3001,"Atendido")</f>
        <v>0</v>
      </c>
      <c r="L7" s="1"/>
      <c r="M7" s="39" t="s">
        <v>177</v>
      </c>
      <c r="N7" s="37">
        <f>COUNTIFS(Registro!$T$2:$T$3001,8,Registro!$L$2:$L$3001,"Atendido")</f>
        <v>0</v>
      </c>
      <c r="O7" s="36">
        <f>SUMIFS(Registro!$I$2:$I$3001,Registro!$T$2:$T$3001,8,Registro!$L$2:$L$3001,"Atendido")</f>
        <v>0</v>
      </c>
    </row>
    <row r="8" ht="15.0" customHeight="1">
      <c r="A8" s="1"/>
      <c r="B8" s="39" t="str">
        <f>IF(Config!$D$7="","",Config!$D$7)</f>
        <v>Corte y Barba VIP</v>
      </c>
      <c r="C8" s="37">
        <f>IF($B8="","",COUNTIFS(Registro!$F$2:$F$3001,$B8,Registro!$L$2:$L$3001,"Atendido"))</f>
        <v>1</v>
      </c>
      <c r="D8" s="36">
        <f>IF($B8="","",SUMIFS(Registro!$I$2:$I$3001,Registro!$F$2:$F$3001,$B8,Registro!$L$2:$L$3001,"Atendido"))</f>
        <v>85000</v>
      </c>
      <c r="E8" s="36">
        <f t="shared" si="1"/>
        <v>85000</v>
      </c>
      <c r="F8" s="41">
        <f>IF($B8="","",SUMIFS(Registro!$U$2:$U$3001,Registro!$F$2:$F$3001,$B8,Registro!$L$2:$L$3001,"Atendido")/60)</f>
        <v>1.25</v>
      </c>
      <c r="G8" s="43">
        <f>IF($B8="","",IFERROR(Config!$E7/(Config!$F7/60),0))</f>
        <v>68000</v>
      </c>
      <c r="H8" s="1"/>
      <c r="I8" s="39" t="s">
        <v>101</v>
      </c>
      <c r="J8" s="37">
        <f>COUNTIFS(Registro!$S$2:$S$3001,"Miércoles",Registro!$L$2:$L$3001,"Atendido")</f>
        <v>1</v>
      </c>
      <c r="K8" s="36">
        <f>SUMIFS(Registro!$I$2:$I$3001,Registro!$S$2:$S$3001,"Miércoles",Registro!$L$2:$L$3001,"Atendido")</f>
        <v>85000</v>
      </c>
      <c r="L8" s="1"/>
      <c r="M8" s="39" t="s">
        <v>178</v>
      </c>
      <c r="N8" s="37">
        <f>COUNTIFS(Registro!$T$2:$T$3001,9,Registro!$L$2:$L$3001,"Atendido")</f>
        <v>0</v>
      </c>
      <c r="O8" s="36">
        <f>SUMIFS(Registro!$I$2:$I$3001,Registro!$T$2:$T$3001,9,Registro!$L$2:$L$3001,"Atendido")</f>
        <v>0</v>
      </c>
    </row>
    <row r="9" ht="15.0" customHeight="1">
      <c r="A9" s="1"/>
      <c r="B9" s="39" t="str">
        <f>IF(Config!$D$8="","",Config!$D$8)</f>
        <v>Tinte un Color</v>
      </c>
      <c r="C9" s="37">
        <f>IF($B9="","",COUNTIFS(Registro!$F$2:$F$3001,$B9,Registro!$L$2:$L$3001,"Atendido"))</f>
        <v>0</v>
      </c>
      <c r="D9" s="36">
        <f>IF($B9="","",SUMIFS(Registro!$I$2:$I$3001,Registro!$F$2:$F$3001,$B9,Registro!$L$2:$L$3001,"Atendido"))</f>
        <v>0</v>
      </c>
      <c r="E9" s="36">
        <f t="shared" si="1"/>
        <v>0</v>
      </c>
      <c r="F9" s="41">
        <f>IF($B9="","",SUMIFS(Registro!$U$2:$U$3001,Registro!$F$2:$F$3001,$B9,Registro!$L$2:$L$3001,"Atendido")/60)</f>
        <v>0</v>
      </c>
      <c r="G9" s="43">
        <f>IF($B9="","",IFERROR(Config!$E8/(Config!$F8/60),0))</f>
        <v>106666.6667</v>
      </c>
      <c r="H9" s="1"/>
      <c r="I9" s="39" t="s">
        <v>102</v>
      </c>
      <c r="J9" s="37">
        <f>COUNTIFS(Registro!$S$2:$S$3001,"Jueves",Registro!$L$2:$L$3001,"Atendido")</f>
        <v>0</v>
      </c>
      <c r="K9" s="36">
        <f>SUMIFS(Registro!$I$2:$I$3001,Registro!$S$2:$S$3001,"Jueves",Registro!$L$2:$L$3001,"Atendido")</f>
        <v>0</v>
      </c>
      <c r="L9" s="1"/>
      <c r="M9" s="39" t="s">
        <v>179</v>
      </c>
      <c r="N9" s="37">
        <f>COUNTIFS(Registro!$T$2:$T$3001,10,Registro!$L$2:$L$3001,"Atendido")</f>
        <v>0</v>
      </c>
      <c r="O9" s="36">
        <f>SUMIFS(Registro!$I$2:$I$3001,Registro!$T$2:$T$3001,10,Registro!$L$2:$L$3001,"Atendido")</f>
        <v>0</v>
      </c>
    </row>
    <row r="10" ht="15.0" customHeight="1">
      <c r="A10" s="1"/>
      <c r="B10" s="39" t="str">
        <f>IF(Config!$D$9="","",Config!$D$9)</f>
        <v>Corte Riif Experience</v>
      </c>
      <c r="C10" s="37">
        <f>IF($B10="","",COUNTIFS(Registro!$F$2:$F$3001,$B10,Registro!$L$2:$L$3001,"Atendido"))</f>
        <v>0</v>
      </c>
      <c r="D10" s="36">
        <f>IF($B10="","",SUMIFS(Registro!$I$2:$I$3001,Registro!$F$2:$F$3001,$B10,Registro!$L$2:$L$3001,"Atendido"))</f>
        <v>0</v>
      </c>
      <c r="E10" s="36">
        <f t="shared" si="1"/>
        <v>0</v>
      </c>
      <c r="F10" s="41">
        <f>IF($B10="","",SUMIFS(Registro!$U$2:$U$3001,Registro!$F$2:$F$3001,$B10,Registro!$L$2:$L$3001,"Atendido")/60)</f>
        <v>0</v>
      </c>
      <c r="G10" s="43">
        <f>IF($B10="","",IFERROR(Config!$E9/(Config!$F9/60),0))</f>
        <v>50000</v>
      </c>
      <c r="H10" s="1"/>
      <c r="I10" s="39" t="s">
        <v>103</v>
      </c>
      <c r="J10" s="37">
        <f>COUNTIFS(Registro!$S$2:$S$3001,"Viernes",Registro!$L$2:$L$3001,"Atendido")</f>
        <v>0</v>
      </c>
      <c r="K10" s="36">
        <f>SUMIFS(Registro!$I$2:$I$3001,Registro!$S$2:$S$3001,"Viernes",Registro!$L$2:$L$3001,"Atendido")</f>
        <v>0</v>
      </c>
      <c r="L10" s="1"/>
      <c r="M10" s="39" t="s">
        <v>180</v>
      </c>
      <c r="N10" s="37">
        <f>COUNTIFS(Registro!$T$2:$T$3001,11,Registro!$L$2:$L$3001,"Atendido")</f>
        <v>0</v>
      </c>
      <c r="O10" s="36">
        <f>SUMIFS(Registro!$I$2:$I$3001,Registro!$T$2:$T$3001,11,Registro!$L$2:$L$3001,"Atendido")</f>
        <v>0</v>
      </c>
    </row>
    <row r="11" ht="15.0" customHeight="1">
      <c r="A11" s="1"/>
      <c r="B11" s="39" t="str">
        <f>IF(Config!$D$10="","",Config!$D$10)</f>
        <v>Tratamiento facial</v>
      </c>
      <c r="C11" s="37">
        <f>IF($B11="","",COUNTIFS(Registro!$F$2:$F$3001,$B11,Registro!$L$2:$L$3001,"Atendido"))</f>
        <v>0</v>
      </c>
      <c r="D11" s="36">
        <f>IF($B11="","",SUMIFS(Registro!$I$2:$I$3001,Registro!$F$2:$F$3001,$B11,Registro!$L$2:$L$3001,"Atendido"))</f>
        <v>0</v>
      </c>
      <c r="E11" s="36">
        <f t="shared" si="1"/>
        <v>0</v>
      </c>
      <c r="F11" s="41">
        <f>IF($B11="","",SUMIFS(Registro!$U$2:$U$3001,Registro!$F$2:$F$3001,$B11,Registro!$L$2:$L$3001,"Atendido")/60)</f>
        <v>0</v>
      </c>
      <c r="G11" s="43">
        <f>IF($B11="","",IFERROR(Config!$E10/(Config!$F10/60),0))</f>
        <v>60000</v>
      </c>
      <c r="H11" s="1"/>
      <c r="I11" s="39" t="s">
        <v>104</v>
      </c>
      <c r="J11" s="37">
        <f>COUNTIFS(Registro!$S$2:$S$3001,"Sábado",Registro!$L$2:$L$3001,"Atendido")</f>
        <v>0</v>
      </c>
      <c r="K11" s="36">
        <f>SUMIFS(Registro!$I$2:$I$3001,Registro!$S$2:$S$3001,"Sábado",Registro!$L$2:$L$3001,"Atendido")</f>
        <v>0</v>
      </c>
      <c r="L11" s="1"/>
      <c r="M11" s="39" t="s">
        <v>181</v>
      </c>
      <c r="N11" s="37">
        <f>COUNTIFS(Registro!$T$2:$T$3001,12,Registro!$L$2:$L$3001,"Atendido")</f>
        <v>0</v>
      </c>
      <c r="O11" s="36">
        <f>SUMIFS(Registro!$I$2:$I$3001,Registro!$T$2:$T$3001,12,Registro!$L$2:$L$3001,"Atendido")</f>
        <v>0</v>
      </c>
    </row>
    <row r="12" ht="15.0" customHeight="1">
      <c r="A12" s="1"/>
      <c r="B12" s="39" t="str">
        <f>IF(Config!$D$11="","",Config!$D$11)</f>
        <v>Corte y Barba</v>
      </c>
      <c r="C12" s="37">
        <f>IF($B12="","",COUNTIFS(Registro!$F$2:$F$3001,$B12,Registro!$L$2:$L$3001,"Atendido"))</f>
        <v>0</v>
      </c>
      <c r="D12" s="36">
        <f>IF($B12="","",SUMIFS(Registro!$I$2:$I$3001,Registro!$F$2:$F$3001,$B12,Registro!$L$2:$L$3001,"Atendido"))</f>
        <v>0</v>
      </c>
      <c r="E12" s="36">
        <f t="shared" si="1"/>
        <v>0</v>
      </c>
      <c r="F12" s="41">
        <f>IF($B12="","",SUMIFS(Registro!$U$2:$U$3001,Registro!$F$2:$F$3001,$B12,Registro!$L$2:$L$3001,"Atendido")/60)</f>
        <v>0</v>
      </c>
      <c r="G12" s="43">
        <f>IF($B12="","",IFERROR(Config!$E11/(Config!$F11/60),0))</f>
        <v>80000</v>
      </c>
      <c r="H12" s="1"/>
      <c r="I12" s="39" t="s">
        <v>182</v>
      </c>
      <c r="J12" s="37">
        <f>COUNTIFS(Registro!$S$2:$S$3001,"Domingo",Registro!$L$2:$L$3001,"Atendido")</f>
        <v>0</v>
      </c>
      <c r="K12" s="36">
        <f>SUMIFS(Registro!$I$2:$I$3001,Registro!$S$2:$S$3001,"Domingo",Registro!$L$2:$L$3001,"Atendido")</f>
        <v>0</v>
      </c>
      <c r="L12" s="1"/>
      <c r="M12" s="39" t="s">
        <v>183</v>
      </c>
      <c r="N12" s="37">
        <f>COUNTIFS(Registro!$T$2:$T$3001,13,Registro!$L$2:$L$3001,"Atendido")</f>
        <v>0</v>
      </c>
      <c r="O12" s="36">
        <f>SUMIFS(Registro!$I$2:$I$3001,Registro!$T$2:$T$3001,13,Registro!$L$2:$L$3001,"Atendido")</f>
        <v>0</v>
      </c>
    </row>
    <row r="13" ht="15.0" customHeight="1">
      <c r="A13" s="1"/>
      <c r="B13" s="39" t="str">
        <f>IF(Config!$D$12="","",Config!$D$12)</f>
        <v>Corte VIP</v>
      </c>
      <c r="C13" s="37">
        <f>IF($B13="","",COUNTIFS(Registro!$F$2:$F$3001,$B13,Registro!$L$2:$L$3001,"Atendido"))</f>
        <v>0</v>
      </c>
      <c r="D13" s="36">
        <f>IF($B13="","",SUMIFS(Registro!$I$2:$I$3001,Registro!$F$2:$F$3001,$B13,Registro!$L$2:$L$3001,"Atendido"))</f>
        <v>0</v>
      </c>
      <c r="E13" s="36">
        <f t="shared" si="1"/>
        <v>0</v>
      </c>
      <c r="F13" s="41">
        <f>IF($B13="","",SUMIFS(Registro!$U$2:$U$3001,Registro!$F$2:$F$3001,$B13,Registro!$L$2:$L$3001,"Atendido")/60)</f>
        <v>0</v>
      </c>
      <c r="G13" s="43">
        <f>IF($B13="","",IFERROR(Config!$E12/(Config!$F12/60),0))</f>
        <v>60000</v>
      </c>
      <c r="H13" s="1"/>
      <c r="I13" s="1"/>
      <c r="J13" s="1"/>
      <c r="K13" s="1"/>
      <c r="L13" s="1"/>
      <c r="M13" s="39" t="s">
        <v>184</v>
      </c>
      <c r="N13" s="37">
        <f>COUNTIFS(Registro!$T$2:$T$3001,14,Registro!$L$2:$L$3001,"Atendido")</f>
        <v>0</v>
      </c>
      <c r="O13" s="36">
        <f>SUMIFS(Registro!$I$2:$I$3001,Registro!$T$2:$T$3001,14,Registro!$L$2:$L$3001,"Atendido")</f>
        <v>0</v>
      </c>
    </row>
    <row r="14" ht="15.0" customHeight="1">
      <c r="A14" s="1"/>
      <c r="B14" s="39" t="str">
        <f>IF(Config!$D$13="","",Config!$D$13)</f>
        <v>Matizante</v>
      </c>
      <c r="C14" s="37">
        <f>IF($B14="","",COUNTIFS(Registro!$F$2:$F$3001,$B14,Registro!$L$2:$L$3001,"Atendido"))</f>
        <v>0</v>
      </c>
      <c r="D14" s="36">
        <f>IF($B14="","",SUMIFS(Registro!$I$2:$I$3001,Registro!$F$2:$F$3001,$B14,Registro!$L$2:$L$3001,"Atendido"))</f>
        <v>0</v>
      </c>
      <c r="E14" s="36">
        <f t="shared" si="1"/>
        <v>0</v>
      </c>
      <c r="F14" s="41">
        <f>IF($B14="","",SUMIFS(Registro!$U$2:$U$3001,Registro!$F$2:$F$3001,$B14,Registro!$L$2:$L$3001,"Atendido")/60)</f>
        <v>0</v>
      </c>
      <c r="G14" s="43">
        <f>IF($B14="","",IFERROR(Config!$E13/(Config!$F13/60),0))</f>
        <v>90000</v>
      </c>
      <c r="H14" s="1"/>
      <c r="I14" s="1"/>
      <c r="J14" s="1"/>
      <c r="K14" s="1"/>
      <c r="L14" s="1"/>
      <c r="M14" s="39" t="s">
        <v>185</v>
      </c>
      <c r="N14" s="37">
        <f>COUNTIFS(Registro!$T$2:$T$3001,15,Registro!$L$2:$L$3001,"Atendido")</f>
        <v>1</v>
      </c>
      <c r="O14" s="36">
        <f>SUMIFS(Registro!$I$2:$I$3001,Registro!$T$2:$T$3001,15,Registro!$L$2:$L$3001,"Atendido")</f>
        <v>85000</v>
      </c>
    </row>
    <row r="15" ht="15.0" customHeight="1">
      <c r="A15" s="1"/>
      <c r="B15" s="39" t="str">
        <f>IF(Config!$D$14="","",Config!$D$14)</f>
        <v>Barba VIP</v>
      </c>
      <c r="C15" s="37">
        <f>IF($B15="","",COUNTIFS(Registro!$F$2:$F$3001,$B15,Registro!$L$2:$L$3001,"Atendido"))</f>
        <v>0</v>
      </c>
      <c r="D15" s="36">
        <f>IF($B15="","",SUMIFS(Registro!$I$2:$I$3001,Registro!$F$2:$F$3001,$B15,Registro!$L$2:$L$3001,"Atendido"))</f>
        <v>0</v>
      </c>
      <c r="E15" s="36">
        <f t="shared" si="1"/>
        <v>0</v>
      </c>
      <c r="F15" s="41">
        <f>IF($B15="","",SUMIFS(Registro!$U$2:$U$3001,Registro!$F$2:$F$3001,$B15,Registro!$L$2:$L$3001,"Atendido")/60)</f>
        <v>0</v>
      </c>
      <c r="G15" s="43">
        <f>IF($B15="","",IFERROR(Config!$E14/(Config!$F14/60),0))</f>
        <v>60000</v>
      </c>
      <c r="H15" s="1"/>
      <c r="I15" s="1"/>
      <c r="J15" s="1"/>
      <c r="K15" s="1"/>
      <c r="L15" s="1"/>
      <c r="M15" s="39" t="s">
        <v>186</v>
      </c>
      <c r="N15" s="37">
        <f>COUNTIFS(Registro!$T$2:$T$3001,16,Registro!$L$2:$L$3001,"Atendido")</f>
        <v>0</v>
      </c>
      <c r="O15" s="36">
        <f>SUMIFS(Registro!$I$2:$I$3001,Registro!$T$2:$T$3001,16,Registro!$L$2:$L$3001,"Atendido")</f>
        <v>0</v>
      </c>
    </row>
    <row r="16" ht="15.0" customHeight="1">
      <c r="A16" s="1"/>
      <c r="B16" s="39" t="str">
        <f>IF(Config!$D$15="","",Config!$D$15)</f>
        <v>Barba + Tinte</v>
      </c>
      <c r="C16" s="37">
        <f>IF($B16="","",COUNTIFS(Registro!$F$2:$F$3001,$B16,Registro!$L$2:$L$3001,"Atendido"))</f>
        <v>0</v>
      </c>
      <c r="D16" s="36">
        <f>IF($B16="","",SUMIFS(Registro!$I$2:$I$3001,Registro!$F$2:$F$3001,$B16,Registro!$L$2:$L$3001,"Atendido"))</f>
        <v>0</v>
      </c>
      <c r="E16" s="36">
        <f t="shared" si="1"/>
        <v>0</v>
      </c>
      <c r="F16" s="41">
        <f>IF($B16="","",SUMIFS(Registro!$U$2:$U$3001,Registro!$F$2:$F$3001,$B16,Registro!$L$2:$L$3001,"Atendido")/60)</f>
        <v>0</v>
      </c>
      <c r="G16" s="43">
        <f>IF($B16="","",IFERROR(Config!$E15/(Config!$F15/60),0))</f>
        <v>80000</v>
      </c>
      <c r="H16" s="1"/>
      <c r="I16" s="1"/>
      <c r="J16" s="1"/>
      <c r="K16" s="1"/>
      <c r="L16" s="1"/>
      <c r="M16" s="39" t="s">
        <v>187</v>
      </c>
      <c r="N16" s="37">
        <f>COUNTIFS(Registro!$T$2:$T$3001,17,Registro!$L$2:$L$3001,"Atendido")</f>
        <v>0</v>
      </c>
      <c r="O16" s="36">
        <f>SUMIFS(Registro!$I$2:$I$3001,Registro!$T$2:$T$3001,17,Registro!$L$2:$L$3001,"Atendido")</f>
        <v>0</v>
      </c>
    </row>
    <row r="17" ht="15.0" customHeight="1">
      <c r="A17" s="1"/>
      <c r="B17" s="39" t="str">
        <f>IF(Config!$D$16="","",Config!$D$16)</f>
        <v>Corte de Cabello</v>
      </c>
      <c r="C17" s="37">
        <f>IF($B17="","",COUNTIFS(Registro!$F$2:$F$3001,$B17,Registro!$L$2:$L$3001,"Atendido"))</f>
        <v>0</v>
      </c>
      <c r="D17" s="36">
        <f>IF($B17="","",SUMIFS(Registro!$I$2:$I$3001,Registro!$F$2:$F$3001,$B17,Registro!$L$2:$L$3001,"Atendido"))</f>
        <v>0</v>
      </c>
      <c r="E17" s="36">
        <f t="shared" si="1"/>
        <v>0</v>
      </c>
      <c r="F17" s="41">
        <f>IF($B17="","",SUMIFS(Registro!$U$2:$U$3001,Registro!$F$2:$F$3001,$B17,Registro!$L$2:$L$3001,"Atendido")/60)</f>
        <v>0</v>
      </c>
      <c r="G17" s="43">
        <f>IF($B17="","",IFERROR(Config!$E16/(Config!$F16/60),0))</f>
        <v>60000</v>
      </c>
      <c r="H17" s="1"/>
      <c r="I17" s="1"/>
      <c r="J17" s="1"/>
      <c r="K17" s="1"/>
      <c r="L17" s="1"/>
      <c r="M17" s="39" t="s">
        <v>188</v>
      </c>
      <c r="N17" s="37">
        <f>COUNTIFS(Registro!$T$2:$T$3001,18,Registro!$L$2:$L$3001,"Atendido")</f>
        <v>0</v>
      </c>
      <c r="O17" s="36">
        <f>SUMIFS(Registro!$I$2:$I$3001,Registro!$T$2:$T$3001,18,Registro!$L$2:$L$3001,"Atendido")</f>
        <v>0</v>
      </c>
    </row>
    <row r="18" ht="15.0" customHeight="1">
      <c r="A18" s="1"/>
      <c r="B18" s="39" t="str">
        <f>IF(Config!$D$17="","",Config!$D$17)</f>
        <v>Barba</v>
      </c>
      <c r="C18" s="37">
        <f>IF($B18="","",COUNTIFS(Registro!$F$2:$F$3001,$B18,Registro!$L$2:$L$3001,"Atendido"))</f>
        <v>0</v>
      </c>
      <c r="D18" s="36">
        <f>IF($B18="","",SUMIFS(Registro!$I$2:$I$3001,Registro!$F$2:$F$3001,$B18,Registro!$L$2:$L$3001,"Atendido"))</f>
        <v>0</v>
      </c>
      <c r="E18" s="36">
        <f t="shared" si="1"/>
        <v>0</v>
      </c>
      <c r="F18" s="41">
        <f>IF($B18="","",SUMIFS(Registro!$U$2:$U$3001,Registro!$F$2:$F$3001,$B18,Registro!$L$2:$L$3001,"Atendido")/60)</f>
        <v>0</v>
      </c>
      <c r="G18" s="43">
        <f>IF($B18="","",IFERROR(Config!$E17/(Config!$F17/60),0))</f>
        <v>60000</v>
      </c>
      <c r="H18" s="1"/>
      <c r="I18" s="1"/>
      <c r="J18" s="1"/>
      <c r="K18" s="1"/>
      <c r="L18" s="1"/>
      <c r="M18" s="39" t="s">
        <v>189</v>
      </c>
      <c r="N18" s="37">
        <f>COUNTIFS(Registro!$T$2:$T$3001,19,Registro!$L$2:$L$3001,"Atendido")</f>
        <v>0</v>
      </c>
      <c r="O18" s="36">
        <f>SUMIFS(Registro!$I$2:$I$3001,Registro!$T$2:$T$3001,19,Registro!$L$2:$L$3001,"Atendido")</f>
        <v>0</v>
      </c>
    </row>
    <row r="19" ht="15.0" customHeight="1">
      <c r="A19" s="1"/>
      <c r="B19" s="39" t="str">
        <f>IF(Config!$D$18="","",Config!$D$18)</f>
        <v>Mascarilla puntos negros</v>
      </c>
      <c r="C19" s="37">
        <f>IF($B19="","",COUNTIFS(Registro!$F$2:$F$3001,$B19,Registro!$L$2:$L$3001,"Atendido"))</f>
        <v>0</v>
      </c>
      <c r="D19" s="36">
        <f>IF($B19="","",SUMIFS(Registro!$I$2:$I$3001,Registro!$F$2:$F$3001,$B19,Registro!$L$2:$L$3001,"Atendido"))</f>
        <v>0</v>
      </c>
      <c r="E19" s="36">
        <f t="shared" si="1"/>
        <v>0</v>
      </c>
      <c r="F19" s="41">
        <f>IF($B19="","",SUMIFS(Registro!$U$2:$U$3001,Registro!$F$2:$F$3001,$B19,Registro!$L$2:$L$3001,"Atendido")/60)</f>
        <v>0</v>
      </c>
      <c r="G19" s="43">
        <f>IF($B19="","",IFERROR(Config!$E18/(Config!$F18/60),0))</f>
        <v>48000</v>
      </c>
      <c r="H19" s="1"/>
      <c r="I19" s="1"/>
      <c r="J19" s="1"/>
      <c r="K19" s="1"/>
      <c r="L19" s="1"/>
      <c r="M19" s="39" t="s">
        <v>190</v>
      </c>
      <c r="N19" s="37">
        <f>COUNTIFS(Registro!$T$2:$T$3001,20,Registro!$L$2:$L$3001,"Atendido")</f>
        <v>0</v>
      </c>
      <c r="O19" s="36">
        <f>SUMIFS(Registro!$I$2:$I$3001,Registro!$T$2:$T$3001,20,Registro!$L$2:$L$3001,"Atendido")</f>
        <v>0</v>
      </c>
    </row>
    <row r="20" ht="15.0" customHeight="1">
      <c r="A20" s="1"/>
      <c r="B20" s="39" t="str">
        <f>IF(Config!$D$19="","",Config!$D$19)</f>
        <v>Peinado</v>
      </c>
      <c r="C20" s="37">
        <f>IF($B20="","",COUNTIFS(Registro!$F$2:$F$3001,$B20,Registro!$L$2:$L$3001,"Atendido"))</f>
        <v>0</v>
      </c>
      <c r="D20" s="36">
        <f>IF($B20="","",SUMIFS(Registro!$I$2:$I$3001,Registro!$F$2:$F$3001,$B20,Registro!$L$2:$L$3001,"Atendido"))</f>
        <v>0</v>
      </c>
      <c r="E20" s="36">
        <f t="shared" si="1"/>
        <v>0</v>
      </c>
      <c r="F20" s="41">
        <f>IF($B20="","",SUMIFS(Registro!$U$2:$U$3001,Registro!$F$2:$F$3001,$B20,Registro!$L$2:$L$3001,"Atendido")/60)</f>
        <v>0</v>
      </c>
      <c r="G20" s="43">
        <f>IF($B20="","",IFERROR(Config!$E19/(Config!$F19/60),0))</f>
        <v>80000</v>
      </c>
      <c r="H20" s="1"/>
      <c r="I20" s="1"/>
      <c r="J20" s="1"/>
      <c r="K20" s="1"/>
      <c r="L20" s="1"/>
      <c r="M20" s="39" t="s">
        <v>191</v>
      </c>
      <c r="N20" s="37">
        <f>COUNTIFS(Registro!$T$2:$T$3001,21,Registro!$L$2:$L$3001,"Atendido")</f>
        <v>0</v>
      </c>
      <c r="O20" s="36">
        <f>SUMIFS(Registro!$I$2:$I$3001,Registro!$T$2:$T$3001,21,Registro!$L$2:$L$3001,"Atendido")</f>
        <v>0</v>
      </c>
    </row>
    <row r="21" ht="15.0" customHeight="1">
      <c r="A21" s="1"/>
      <c r="B21" s="39" t="str">
        <f>IF(Config!$D$20="","",Config!$D$20)</f>
        <v>Bordes / Line-up</v>
      </c>
      <c r="C21" s="37">
        <f>IF($B21="","",COUNTIFS(Registro!$F$2:$F$3001,$B21,Registro!$L$2:$L$3001,"Atendido"))</f>
        <v>0</v>
      </c>
      <c r="D21" s="36">
        <f>IF($B21="","",SUMIFS(Registro!$I$2:$I$3001,Registro!$F$2:$F$3001,$B21,Registro!$L$2:$L$3001,"Atendido"))</f>
        <v>0</v>
      </c>
      <c r="E21" s="36">
        <f t="shared" si="1"/>
        <v>0</v>
      </c>
      <c r="F21" s="41">
        <f>IF($B21="","",SUMIFS(Registro!$U$2:$U$3001,Registro!$F$2:$F$3001,$B21,Registro!$L$2:$L$3001,"Atendido")/60)</f>
        <v>0</v>
      </c>
      <c r="G21" s="43">
        <f>IF($B21="","",IFERROR(Config!$E20/(Config!$F20/60),0))</f>
        <v>45000</v>
      </c>
      <c r="H21" s="1"/>
      <c r="I21" s="1"/>
      <c r="J21" s="1"/>
      <c r="K21" s="1"/>
      <c r="L21" s="1"/>
      <c r="M21" s="1"/>
      <c r="N21" s="1"/>
      <c r="O21" s="1"/>
    </row>
    <row r="22" ht="15.0" customHeight="1">
      <c r="A22" s="1"/>
      <c r="B22" s="39" t="str">
        <f>IF(Config!$D$21="","",Config!$D$21)</f>
        <v>Cejas</v>
      </c>
      <c r="C22" s="37">
        <f>IF($B22="","",COUNTIFS(Registro!$F$2:$F$3001,$B22,Registro!$L$2:$L$3001,"Atendido"))</f>
        <v>0</v>
      </c>
      <c r="D22" s="36">
        <f>IF($B22="","",SUMIFS(Registro!$I$2:$I$3001,Registro!$F$2:$F$3001,$B22,Registro!$L$2:$L$3001,"Atendido"))</f>
        <v>0</v>
      </c>
      <c r="E22" s="36">
        <f t="shared" si="1"/>
        <v>0</v>
      </c>
      <c r="F22" s="41">
        <f>IF($B22="","",SUMIFS(Registro!$U$2:$U$3001,Registro!$F$2:$F$3001,$B22,Registro!$L$2:$L$3001,"Atendido")/60)</f>
        <v>0</v>
      </c>
      <c r="G22" s="43">
        <f>IF($B22="","",IFERROR(Config!$E21/(Config!$F21/60),0))</f>
        <v>40000</v>
      </c>
      <c r="H22" s="1"/>
      <c r="I22" s="1"/>
      <c r="J22" s="1"/>
      <c r="K22" s="1"/>
      <c r="L22" s="1"/>
      <c r="M22" s="1"/>
      <c r="N22" s="1"/>
      <c r="O22" s="1"/>
    </row>
    <row r="23" ht="15.0" customHeight="1">
      <c r="A23" s="1"/>
      <c r="B23" s="39" t="str">
        <f>IF(Config!$D$22="","",Config!$D$22)</f>
        <v/>
      </c>
      <c r="C23" s="37" t="str">
        <f>IF($B23="","",COUNTIFS(Registro!$F$2:$F$3001,$B23,Registro!$L$2:$L$3001,"Atendido"))</f>
        <v/>
      </c>
      <c r="D23" s="36" t="str">
        <f>IF($B23="","",SUMIFS(Registro!$I$2:$I$3001,Registro!$F$2:$F$3001,$B23,Registro!$L$2:$L$3001,"Atendido"))</f>
        <v/>
      </c>
      <c r="E23" s="36" t="str">
        <f t="shared" si="1"/>
        <v/>
      </c>
      <c r="F23" s="41" t="str">
        <f>IF($B23="","",SUMIFS(Registro!$U$2:$U$3001,Registro!$F$2:$F$3001,$B23,Registro!$L$2:$L$3001,"Atendido")/60)</f>
        <v/>
      </c>
      <c r="G23" s="43" t="str">
        <f>IF($B23="","",IFERROR(Config!$E22/(Config!$F22/60),0))</f>
        <v/>
      </c>
      <c r="H23" s="1"/>
      <c r="I23" s="1"/>
      <c r="J23" s="1"/>
      <c r="K23" s="1"/>
      <c r="L23" s="1"/>
      <c r="M23" s="1"/>
      <c r="N23" s="1"/>
      <c r="O23" s="1"/>
    </row>
    <row r="24" ht="15.0" customHeight="1">
      <c r="A24" s="1"/>
      <c r="B24" s="39" t="str">
        <f>IF(Config!$D$23="","",Config!$D$23)</f>
        <v/>
      </c>
      <c r="C24" s="37" t="str">
        <f>IF($B24="","",COUNTIFS(Registro!$F$2:$F$3001,$B24,Registro!$L$2:$L$3001,"Atendido"))</f>
        <v/>
      </c>
      <c r="D24" s="36" t="str">
        <f>IF($B24="","",SUMIFS(Registro!$I$2:$I$3001,Registro!$F$2:$F$3001,$B24,Registro!$L$2:$L$3001,"Atendido"))</f>
        <v/>
      </c>
      <c r="E24" s="36" t="str">
        <f t="shared" si="1"/>
        <v/>
      </c>
      <c r="F24" s="41" t="str">
        <f>IF($B24="","",SUMIFS(Registro!$U$2:$U$3001,Registro!$F$2:$F$3001,$B24,Registro!$L$2:$L$3001,"Atendido")/60)</f>
        <v/>
      </c>
      <c r="G24" s="43" t="str">
        <f>IF($B24="","",IFERROR(Config!$E23/(Config!$F23/60),0))</f>
        <v/>
      </c>
      <c r="H24" s="1"/>
      <c r="I24" s="1"/>
      <c r="J24" s="1"/>
      <c r="K24" s="1"/>
      <c r="L24" s="1"/>
      <c r="M24" s="1"/>
      <c r="N24" s="1"/>
      <c r="O24" s="1"/>
    </row>
    <row r="25" ht="15.0" customHeight="1">
      <c r="A25" s="1"/>
      <c r="B25" s="39" t="str">
        <f>IF(Config!$D$24="","",Config!$D$24)</f>
        <v/>
      </c>
      <c r="C25" s="37" t="str">
        <f>IF($B25="","",COUNTIFS(Registro!$F$2:$F$3001,$B25,Registro!$L$2:$L$3001,"Atendido"))</f>
        <v/>
      </c>
      <c r="D25" s="36" t="str">
        <f>IF($B25="","",SUMIFS(Registro!$I$2:$I$3001,Registro!$F$2:$F$3001,$B25,Registro!$L$2:$L$3001,"Atendido"))</f>
        <v/>
      </c>
      <c r="E25" s="36" t="str">
        <f t="shared" si="1"/>
        <v/>
      </c>
      <c r="F25" s="41" t="str">
        <f>IF($B25="","",SUMIFS(Registro!$U$2:$U$3001,Registro!$F$2:$F$3001,$B25,Registro!$L$2:$L$3001,"Atendido")/60)</f>
        <v/>
      </c>
      <c r="G25" s="43" t="str">
        <f>IF($B25="","",IFERROR(Config!$E24/(Config!$F24/60),0))</f>
        <v/>
      </c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0" customHeight="1">
      <c r="A27" s="1"/>
      <c r="B27" s="6" t="s">
        <v>192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0" customHeight="1">
      <c r="A30" s="1"/>
      <c r="B30" s="7" t="s">
        <v>193</v>
      </c>
      <c r="C30" s="1"/>
      <c r="D30" s="1"/>
      <c r="E30" s="1"/>
      <c r="F30" s="1"/>
      <c r="G30" s="1"/>
      <c r="H30" s="1"/>
      <c r="I30" s="1"/>
      <c r="J30" s="7" t="s">
        <v>194</v>
      </c>
      <c r="K30" s="1"/>
      <c r="L30" s="1"/>
      <c r="M30" s="1"/>
      <c r="N30" s="1"/>
      <c r="O30" s="1"/>
    </row>
    <row r="31" ht="45.75" customHeight="1">
      <c r="A31" s="1"/>
      <c r="B31" s="11" t="s">
        <v>7</v>
      </c>
      <c r="C31" s="11" t="s">
        <v>137</v>
      </c>
      <c r="D31" s="11" t="s">
        <v>138</v>
      </c>
      <c r="E31" s="11" t="s">
        <v>173</v>
      </c>
      <c r="F31" s="11" t="s">
        <v>174</v>
      </c>
      <c r="G31" s="11" t="s">
        <v>175</v>
      </c>
      <c r="H31" s="11" t="s">
        <v>53</v>
      </c>
      <c r="I31" s="1"/>
      <c r="J31" s="50" t="s">
        <v>195</v>
      </c>
      <c r="K31" s="51">
        <f>COUNTIFS(Registro!$L$2:$L$3001,"Atendido")</f>
        <v>1</v>
      </c>
      <c r="L31" s="1"/>
      <c r="M31" s="1"/>
      <c r="N31" s="1"/>
      <c r="O31" s="1"/>
    </row>
    <row r="32" ht="15.0" customHeight="1">
      <c r="A32" s="1"/>
      <c r="B32" s="39" t="str">
        <f>IF(Config!$A$5="","",Config!$A$5)</f>
        <v>Rafael Castro</v>
      </c>
      <c r="C32" s="37">
        <f>IF($B32="","",COUNTIFS(Registro!$C$2:$C$3001,$B32,Registro!$L$2:$L$3001,"Atendido"))</f>
        <v>0</v>
      </c>
      <c r="D32" s="36">
        <f>IF($B32="","",SUMIFS(Registro!$I$2:$I$3001,Registro!$C$2:$C$3001,$B32,Registro!$L$2:$L$3001,"Atendido"))</f>
        <v>0</v>
      </c>
      <c r="E32" s="36">
        <f t="shared" ref="E32:E37" si="2">IF($B32="","",IFERROR($D32/$C32,0))</f>
        <v>0</v>
      </c>
      <c r="F32" s="41">
        <f>IF($B32="","",SUMIFS(Registro!$U$2:$U$3001,Registro!$C$2:$C$3001,$B32,Registro!$L$2:$L$3001,"Atendido")/60)</f>
        <v>0</v>
      </c>
      <c r="G32" s="36">
        <f t="shared" ref="G32:G37" si="3">IF($B32="","",IFERROR($D32/$F32,0))</f>
        <v>0</v>
      </c>
      <c r="H32" s="37">
        <f>IF($B32="","",COUNTIFS(Registro!$C$2:$C$3001,$B32,Registro!$L$2:$L$3001,"No asistió"))</f>
        <v>0</v>
      </c>
      <c r="I32" s="1"/>
      <c r="J32" s="50" t="s">
        <v>196</v>
      </c>
      <c r="K32" s="43">
        <f>SUMIFS(Registro!$I$2:$I$3001,Registro!$L$2:$L$3001,"Atendido")</f>
        <v>85000</v>
      </c>
      <c r="L32" s="1"/>
      <c r="M32" s="1"/>
      <c r="N32" s="1"/>
      <c r="O32" s="1"/>
    </row>
    <row r="33" ht="15.0" customHeight="1">
      <c r="A33" s="1"/>
      <c r="B33" s="39" t="str">
        <f>IF(Config!$A$6="","",Config!$A$6)</f>
        <v>Daniel Avila</v>
      </c>
      <c r="C33" s="37">
        <f>IF($B33="","",COUNTIFS(Registro!$C$2:$C$3001,$B33,Registro!$L$2:$L$3001,"Atendido"))</f>
        <v>0</v>
      </c>
      <c r="D33" s="36">
        <f>IF($B33="","",SUMIFS(Registro!$I$2:$I$3001,Registro!$C$2:$C$3001,$B33,Registro!$L$2:$L$3001,"Atendido"))</f>
        <v>0</v>
      </c>
      <c r="E33" s="36">
        <f t="shared" si="2"/>
        <v>0</v>
      </c>
      <c r="F33" s="41">
        <f>IF($B33="","",SUMIFS(Registro!$U$2:$U$3001,Registro!$C$2:$C$3001,$B33,Registro!$L$2:$L$3001,"Atendido")/60)</f>
        <v>0</v>
      </c>
      <c r="G33" s="36">
        <f t="shared" si="3"/>
        <v>0</v>
      </c>
      <c r="H33" s="37">
        <f>IF($B33="","",COUNTIFS(Registro!$C$2:$C$3001,$B33,Registro!$L$2:$L$3001,"No asistió"))</f>
        <v>0</v>
      </c>
      <c r="I33" s="1"/>
      <c r="J33" s="50" t="s">
        <v>197</v>
      </c>
      <c r="K33" s="43">
        <f>IFERROR(SUMIFS(Registro!$I$2:$I$3001,Registro!$L$2:$L$3001,"Atendido")/COUNTIFS(Registro!$L$2:$L$3001,"Atendido"),0)</f>
        <v>85000</v>
      </c>
      <c r="L33" s="1"/>
      <c r="M33" s="1"/>
      <c r="N33" s="1"/>
      <c r="O33" s="1"/>
    </row>
    <row r="34" ht="15.0" customHeight="1">
      <c r="A34" s="1"/>
      <c r="B34" s="39" t="str">
        <f>IF(Config!$A$7="","",Config!$A$7)</f>
        <v/>
      </c>
      <c r="C34" s="37" t="str">
        <f>IF($B34="","",COUNTIFS(Registro!$C$2:$C$3001,$B34,Registro!$L$2:$L$3001,"Atendido"))</f>
        <v/>
      </c>
      <c r="D34" s="36" t="str">
        <f>IF($B34="","",SUMIFS(Registro!$I$2:$I$3001,Registro!$C$2:$C$3001,$B34,Registro!$L$2:$L$3001,"Atendido"))</f>
        <v/>
      </c>
      <c r="E34" s="36" t="str">
        <f t="shared" si="2"/>
        <v/>
      </c>
      <c r="F34" s="41" t="str">
        <f>IF($B34="","",SUMIFS(Registro!$U$2:$U$3001,Registro!$C$2:$C$3001,$B34,Registro!$L$2:$L$3001,"Atendido")/60)</f>
        <v/>
      </c>
      <c r="G34" s="36" t="str">
        <f t="shared" si="3"/>
        <v/>
      </c>
      <c r="H34" s="37" t="str">
        <f>IF($B34="","",COUNTIFS(Registro!$C$2:$C$3001,$B34,Registro!$L$2:$L$3001,"No asistió"))</f>
        <v/>
      </c>
      <c r="I34" s="1"/>
      <c r="J34" s="50" t="s">
        <v>159</v>
      </c>
      <c r="K34" s="53">
        <f>SUMIFS(Registro!$U$2:$U$3001,Registro!$L$2:$L$3001,"Atendido")/60</f>
        <v>1.25</v>
      </c>
      <c r="L34" s="1"/>
      <c r="M34" s="1"/>
      <c r="N34" s="1"/>
      <c r="O34" s="1"/>
    </row>
    <row r="35" ht="15.0" customHeight="1">
      <c r="A35" s="1"/>
      <c r="B35" s="39" t="str">
        <f>IF(Config!$A$8="","",Config!$A$8)</f>
        <v/>
      </c>
      <c r="C35" s="37" t="str">
        <f>IF($B35="","",COUNTIFS(Registro!$C$2:$C$3001,$B35,Registro!$L$2:$L$3001,"Atendido"))</f>
        <v/>
      </c>
      <c r="D35" s="36" t="str">
        <f>IF($B35="","",SUMIFS(Registro!$I$2:$I$3001,Registro!$C$2:$C$3001,$B35,Registro!$L$2:$L$3001,"Atendido"))</f>
        <v/>
      </c>
      <c r="E35" s="36" t="str">
        <f t="shared" si="2"/>
        <v/>
      </c>
      <c r="F35" s="41" t="str">
        <f>IF($B35="","",SUMIFS(Registro!$U$2:$U$3001,Registro!$C$2:$C$3001,$B35,Registro!$L$2:$L$3001,"Atendido")/60)</f>
        <v/>
      </c>
      <c r="G35" s="36" t="str">
        <f t="shared" si="3"/>
        <v/>
      </c>
      <c r="H35" s="37" t="str">
        <f>IF($B35="","",COUNTIFS(Registro!$C$2:$C$3001,$B35,Registro!$L$2:$L$3001,"No asistió"))</f>
        <v/>
      </c>
      <c r="I35" s="1"/>
      <c r="J35" s="50" t="s">
        <v>161</v>
      </c>
      <c r="K35" s="43">
        <f>IFERROR(SUMIFS(Registro!$I$2:$I$3001,Registro!$L$2:$L$3001,"Atendido")/(SUMIFS(Registro!$U$2:$U$3001,Registro!$L$2:$L$3001,"Atendido")/60),0)</f>
        <v>68000</v>
      </c>
      <c r="L35" s="1"/>
      <c r="M35" s="1"/>
      <c r="N35" s="1"/>
      <c r="O35" s="1"/>
    </row>
    <row r="36" ht="15.0" customHeight="1">
      <c r="A36" s="1"/>
      <c r="B36" s="39" t="str">
        <f>IF(Config!$A$9="","",Config!$A$9)</f>
        <v/>
      </c>
      <c r="C36" s="37" t="str">
        <f>IF($B36="","",COUNTIFS(Registro!$C$2:$C$3001,$B36,Registro!$L$2:$L$3001,"Atendido"))</f>
        <v/>
      </c>
      <c r="D36" s="36" t="str">
        <f>IF($B36="","",SUMIFS(Registro!$I$2:$I$3001,Registro!$C$2:$C$3001,$B36,Registro!$L$2:$L$3001,"Atendido"))</f>
        <v/>
      </c>
      <c r="E36" s="36" t="str">
        <f t="shared" si="2"/>
        <v/>
      </c>
      <c r="F36" s="41" t="str">
        <f>IF($B36="","",SUMIFS(Registro!$U$2:$U$3001,Registro!$C$2:$C$3001,$B36,Registro!$L$2:$L$3001,"Atendido")/60)</f>
        <v/>
      </c>
      <c r="G36" s="36" t="str">
        <f t="shared" si="3"/>
        <v/>
      </c>
      <c r="H36" s="37" t="str">
        <f>IF($B36="","",COUNTIFS(Registro!$C$2:$C$3001,$B36,Registro!$L$2:$L$3001,"No asistió"))</f>
        <v/>
      </c>
      <c r="I36" s="1"/>
      <c r="J36" s="50" t="s">
        <v>198</v>
      </c>
      <c r="K36" s="51">
        <f>COUNTIFS(Registro!$L$2:$L$3001,"No asistió")+COUNTIFS(Registro!$L$2:$L$3001,"Cancelado")</f>
        <v>0</v>
      </c>
      <c r="L36" s="1"/>
      <c r="M36" s="1"/>
      <c r="N36" s="1"/>
      <c r="O36" s="1"/>
    </row>
    <row r="37" ht="15.0" customHeight="1">
      <c r="A37" s="1"/>
      <c r="B37" s="39" t="str">
        <f>IF(Config!$A$10="","",Config!$A$10)</f>
        <v/>
      </c>
      <c r="C37" s="37" t="str">
        <f>IF($B37="","",COUNTIFS(Registro!$C$2:$C$3001,$B37,Registro!$L$2:$L$3001,"Atendido"))</f>
        <v/>
      </c>
      <c r="D37" s="36" t="str">
        <f>IF($B37="","",SUMIFS(Registro!$I$2:$I$3001,Registro!$C$2:$C$3001,$B37,Registro!$L$2:$L$3001,"Atendido"))</f>
        <v/>
      </c>
      <c r="E37" s="36" t="str">
        <f t="shared" si="2"/>
        <v/>
      </c>
      <c r="F37" s="41" t="str">
        <f>IF($B37="","",SUMIFS(Registro!$U$2:$U$3001,Registro!$C$2:$C$3001,$B37,Registro!$L$2:$L$3001,"Atendido")/60)</f>
        <v/>
      </c>
      <c r="G37" s="36" t="str">
        <f t="shared" si="3"/>
        <v/>
      </c>
      <c r="H37" s="37" t="str">
        <f>IF($B37="","",COUNTIFS(Registro!$C$2:$C$3001,$B37,Registro!$L$2:$L$3001,"No asistió"))</f>
        <v/>
      </c>
      <c r="I37" s="1"/>
      <c r="J37" s="50" t="s">
        <v>199</v>
      </c>
      <c r="K37" s="54">
        <f>IFERROR((COUNTIFS(Registro!$L$2:$L$3001,"No asistió")+COUNTIFS(Registro!$L$2:$L$3001,"Cancelado"))/(COUNTIFS(Registro!$L$2:$L$3001,"Atendido")+COUNTIFS(Registro!$L$2:$L$3001,"No asistió")+COUNTIFS(Registro!$L$2:$L$3001,"Cancelado")),0)</f>
        <v>0</v>
      </c>
      <c r="L37" s="1"/>
      <c r="M37" s="1"/>
      <c r="N37" s="1"/>
      <c r="O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50" t="s">
        <v>200</v>
      </c>
      <c r="K38" s="43">
        <f>SUM(Registro!$M$2:$M$3001)</f>
        <v>0</v>
      </c>
      <c r="L38" s="1"/>
      <c r="M38" s="1"/>
      <c r="N38" s="1"/>
      <c r="O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50" t="s">
        <v>201</v>
      </c>
      <c r="K39" s="43">
        <f>SUM(Registro!$O$2:$O$3001)</f>
        <v>85000</v>
      </c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printOptions/>
  <pageMargins bottom="1.0" footer="0.0" header="0.0" left="0.75" right="0.75" top="1.0"/>
  <pageSetup paperSize="9" orientation="portrait"/>
  <drawing r:id="rId1"/>
</worksheet>
</file>